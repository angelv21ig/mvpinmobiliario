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eta" sheetId="2" r:id="rId6"/>
    <sheet state="visible" name="Resum_Semanal" sheetId="3" r:id="rId7"/>
    <sheet state="visible" name="eventos" sheetId="4" r:id="rId8"/>
    <sheet state="visible" name="Asesores" sheetId="5" r:id="rId9"/>
    <sheet state="visible" name="Costos" sheetId="6" r:id="rId10"/>
    <sheet state="visible" name="Data_Ventas" sheetId="7" r:id="rId11"/>
    <sheet state="visible" name="Data_Cotiz" sheetId="8" r:id="rId12"/>
    <sheet state="visible" name="Data_Leads" sheetId="9" r:id="rId13"/>
    <sheet state="visible" name="Inventario" sheetId="10" r:id="rId14"/>
    <sheet state="visible" name="Configuracion" sheetId="11" r:id="rId15"/>
    <sheet state="visible" name="diccionario" sheetId="12" r:id="rId16"/>
    <sheet state="visible" name="Hoja 3" sheetId="13" r:id="rId17"/>
  </sheets>
  <definedNames>
    <definedName hidden="1" localSheetId="6" name="_xlnm._FilterDatabase">Data_Ventas!$A$1:$U$1013</definedName>
    <definedName hidden="1" localSheetId="7" name="_xlnm._FilterDatabase">Data_Cotiz!$A$1:$U$1013</definedName>
    <definedName hidden="1" localSheetId="8" name="_xlnm._FilterDatabase">Data_Leads!$A$1:$L$1013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genera cartera</t>
      </text>
    </comment>
    <comment authorId="0" ref="B96">
      <text>
        <t xml:space="preserve">Meses al ritmo actual</t>
      </text>
    </comment>
    <comment authorId="0" ref="B158">
      <text>
        <t xml:space="preserve">CLO /CSO</t>
      </text>
    </comment>
    <comment authorId="0" ref="B92">
      <text>
        <t xml:space="preserve">acumulado</t>
      </text>
    </comment>
    <comment authorId="0" ref="B154">
      <text>
        <t xml:space="preserve">reducir aging</t>
      </text>
    </comment>
    <comment authorId="0" ref="B14">
      <text>
        <t xml:space="preserve">cuánto de esa bolsa probablemente cierre, según probabilidades.</t>
      </text>
    </comment>
    <comment authorId="0" ref="B109">
      <text>
        <t xml:space="preserve">productividad demanda</t>
      </text>
    </comment>
    <comment authorId="0" ref="B76">
      <text>
        <t xml:space="preserve">Meta Ads;
TikTok Ads;
Google;
producción publicitaria;
agencia;
trafficker;
landing;
campañas;
activaciones de marketing.</t>
      </text>
    </comment>
    <comment authorId="0" ref="B171">
      <text>
        <t xml:space="preserve">¿Qué necesita aprobación CEO/CFO/CMO?</t>
      </text>
    </comment>
    <comment authorId="0" ref="D76">
      <text>
        <t xml:space="preserve">costo por generar demanda</t>
      </text>
    </comment>
    <comment authorId="0" ref="B105">
      <text>
        <t xml:space="preserve">carga actual</t>
      </text>
    </comment>
    <comment authorId="0" ref="B167">
      <text>
        <t xml:space="preserve">¿El plan anual sigue realista?</t>
      </text>
    </comment>
    <comment authorId="0" ref="B97">
      <text>
        <t xml:space="preserve">Aging crítico
análisis que identifica los productos con mayor tiempo de almacenamiento y riesgo de obsolescencia</t>
      </text>
    </comment>
    <comment authorId="0" ref="B64">
      <text>
        <t xml:space="preserve">% clientes que desisten la compra</t>
      </text>
    </comment>
    <comment authorId="0" ref="B159">
      <text>
        <t xml:space="preserve">SLA/ cadencia</t>
      </text>
    </comment>
    <comment authorId="0" ref="B93">
      <text>
        <t xml:space="preserve">stock pendientes</t>
      </text>
    </comment>
    <comment authorId="0" ref="B155">
      <text>
        <t xml:space="preserve">analizar causa</t>
      </text>
    </comment>
    <comment authorId="0" ref="B56">
      <text>
        <t xml:space="preserve">la suma de ventas reales + cancelaciones</t>
      </text>
    </comment>
    <comment authorId="0" ref="B52">
      <text>
        <t xml:space="preserve">venta real/ venta precio lista</t>
      </text>
    </comment>
    <comment authorId="0" ref="B15">
      <text>
        <t xml:space="preserve">cuánto proyectas vender realmente al cierre del periodo, considerando lo ya vendido + separados + lo que probablemente cerrarás.</t>
      </text>
    </comment>
    <comment authorId="0" ref="B110">
      <text>
        <t xml:space="preserve">SLA</t>
      </text>
    </comment>
    <comment authorId="0" ref="B11">
      <text>
        <t xml:space="preserve">ventas reales en el rango de fecha despues de descuentos</t>
      </text>
    </comment>
    <comment authorId="0" ref="B106">
      <text>
        <t xml:space="preserve">saturacion</t>
      </text>
    </comment>
    <comment authorId="0" ref="B168">
      <text>
        <t xml:space="preserve">¿Qué recursos necesito para el año?</t>
      </text>
    </comment>
    <comment authorId="0" ref="B164">
      <text>
        <t xml:space="preserve">¿El plan suma la meta?</t>
      </text>
    </comment>
    <comment authorId="0" ref="B98">
      <text>
        <t xml:space="preserve">Producto sin atracción</t>
      </text>
    </comment>
    <comment authorId="0" ref="B65">
      <text>
        <t xml:space="preserve">% de cancelaciones + ventas reales / ventas reales</t>
      </text>
    </comment>
    <comment authorId="0" ref="B94">
      <text>
        <t xml:space="preserve">ritmo historico</t>
      </text>
    </comment>
    <comment authorId="0" ref="B156">
      <text>
        <t xml:space="preserve">product/ pricing</t>
      </text>
    </comment>
    <comment authorId="0" ref="B86">
      <text>
        <t xml:space="preserve">son las ventas totales - los gastos directos comercial y gastos de publicidad y marketing</t>
      </text>
    </comment>
    <comment authorId="0" ref="B82">
      <text>
        <t xml:space="preserve">Costo Adqusiicion cliente (costo de solo la captacion osoea los gastos relacionaos al marketing en publicidad, gastos fijos, herramientas, etc)</t>
      </text>
    </comment>
    <comment authorId="0" ref="B49">
      <text>
        <t xml:space="preserve">precios de venta antes de descuentos</t>
      </text>
    </comment>
    <comment authorId="0" ref="B16">
      <text>
        <t xml:space="preserve">¿Cuánto me falta para llegar al objetivo?</t>
      </text>
    </comment>
    <comment authorId="0" ref="B12">
      <text>
        <t xml:space="preserve">lotes en separación pendientes de firma y pago inicial</t>
      </text>
    </comment>
    <comment authorId="0" ref="B107">
      <text>
        <t xml:space="preserve">distribucion desempeño</t>
      </text>
    </comment>
    <comment authorId="0" ref="B169">
      <text>
        <t xml:space="preserve">¿Podemos ejecutar el siguiente nivel?</t>
      </text>
    </comment>
    <comment authorId="0" ref="B103">
      <text>
        <t xml:space="preserve">capacidad disponible</t>
      </text>
    </comment>
    <comment authorId="0" ref="B165">
      <text>
        <t xml:space="preserve">¿Qué semana requiere corrección?</t>
      </text>
    </comment>
    <comment authorId="0" ref="B99">
      <text>
        <t xml:space="preserve">Escalera de precio</t>
      </text>
    </comment>
    <comment authorId="0" ref="B66">
      <text>
        <t xml:space="preserve">-FPD (%): Es una métrica crítica de riesgo crediticio. Un FPD alto muestra fallas graves en la evaluación inicial del cliente o fraude en la colocación del crédito.
-Mora temprana (%): Es el porcentaje de la cartera total que acumula entre 1 y 30 días de atraso. Refleja olvidos, problemas temporales de liquidez o fallas operativas en los canales de pago.</t>
      </text>
    </comment>
    <comment authorId="0" ref="B95">
      <text>
        <t xml:space="preserve">% inventario vendido/mes</t>
      </text>
    </comment>
    <comment authorId="0" ref="B157">
      <text>
        <t xml:space="preserve">CFO/ Product</t>
      </text>
    </comment>
    <comment authorId="0" ref="B91">
      <text>
        <t xml:space="preserve">stock acumulado</t>
      </text>
    </comment>
    <comment authorId="0" ref="B153">
      <text>
        <t xml:space="preserve">oportunidades envejecidas</t>
      </text>
    </comment>
    <comment authorId="0" ref="B54">
      <text>
        <t xml:space="preserve">son los que ya separaron, estaban a punto de firmar y al final se desanima</t>
      </text>
    </comment>
    <comment authorId="0" ref="B83">
      <text>
        <t xml:space="preserve">Costo del equipo coercial para convertir esos clientes. Costo por cada cliente
</t>
      </text>
    </comment>
    <comment authorId="0" ref="B13">
      <text>
        <t xml:space="preserve">todo lo que tienes cotizado.</t>
      </text>
    </comment>
    <comment authorId="0" ref="B108">
      <text>
        <t xml:space="preserve">calidad cartera</t>
      </text>
    </comment>
    <comment authorId="0" ref="B75">
      <text>
        <t xml:space="preserve">sueldos vendedores;
líderes comerciales;
comisiones;
movilidad;
alimentación;
viáticos;
bonos;
capacitaciones comerciales;
CRM comercial;
gastos de visitas;
eventos de cierre, cuando sean comerciales.</t>
      </text>
    </comment>
    <comment authorId="0" ref="B9">
      <text>
        <t xml:space="preserve">Ejemplo para CSO: 
“La meta es S/3M. El forecast está en S/2.6M. Tenemos un gap de S/400K. Necesito tu plan para cerrar ese gap y saber qué etapa del embudo debemos incrementar.”</t>
      </text>
    </comment>
    <comment authorId="0" ref="D75">
      <text>
        <t xml:space="preserve">Costo por convertir demanda</t>
      </text>
    </comment>
    <comment authorId="0" ref="B104">
      <text>
        <t xml:space="preserve">maximo gestionable</t>
      </text>
    </comment>
    <comment authorId="0" ref="F75">
      <text>
        <t xml:space="preserve">de cada 100 soles, el area comercial esta consumiendo ese porcentaje</t>
      </text>
    </comment>
    <comment authorId="0" ref="B166">
      <text>
        <t xml:space="preserve">¿Q cierra el gap anual?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">
      <text>
        <t xml:space="preserve">La exactitud del pronóstico (o forecast accuracy) mide qué tan cerca están las predicciones de la demanda de los resultados reales de ventas o consumo.</t>
      </text>
    </comment>
    <comment authorId="0" ref="N3">
      <text>
        <t xml:space="preserve">debo alcanzar esto mes a mes para llegar a mi meta proyectada</t>
      </text>
    </comment>
  </commentList>
</comments>
</file>

<file path=xl/sharedStrings.xml><?xml version="1.0" encoding="utf-8"?>
<sst xmlns="http://schemas.openxmlformats.org/spreadsheetml/2006/main" count="6974" uniqueCount="2687">
  <si>
    <t>RESUMEN SEMANAL AUTOMÁTICO</t>
  </si>
  <si>
    <t>EVENTOS DE CONVERSIÓN — CALENDARIO, PRESUPUESTO, VENTAS, CASH-IN Y ROI</t>
  </si>
  <si>
    <t>PLAN CSO — META, PRESUPUESTO, FORECAST, CASH-IN Y PRECISIÓN</t>
  </si>
  <si>
    <t>PROYECTADA</t>
  </si>
  <si>
    <t>REAL</t>
  </si>
  <si>
    <t>Semana inicia</t>
  </si>
  <si>
    <t>Leads</t>
  </si>
  <si>
    <t>Visitas</t>
  </si>
  <si>
    <t>Separaciones</t>
  </si>
  <si>
    <t>Ventas</t>
  </si>
  <si>
    <t>Facturación</t>
  </si>
  <si>
    <t>Evento_ID</t>
  </si>
  <si>
    <t>Cumplimiento S/.</t>
  </si>
  <si>
    <t>Fecha</t>
  </si>
  <si>
    <t>Evento</t>
  </si>
  <si>
    <t>Tipo</t>
  </si>
  <si>
    <t>Proyecto</t>
  </si>
  <si>
    <t>Meta registrados</t>
  </si>
  <si>
    <t>Registrados real</t>
  </si>
  <si>
    <t>Meta asistentes</t>
  </si>
  <si>
    <t>Asistentes real</t>
  </si>
  <si>
    <t>% asistencia real</t>
  </si>
  <si>
    <t>Conversión meta</t>
  </si>
  <si>
    <t>Ventas unid. real</t>
  </si>
  <si>
    <t>Resultados Proyectados</t>
  </si>
  <si>
    <t>Ticket esperado</t>
  </si>
  <si>
    <t>Venta proyectada S/</t>
  </si>
  <si>
    <t>Venta real S/</t>
  </si>
  <si>
    <t>Presupuesto</t>
  </si>
  <si>
    <t>Costo real</t>
  </si>
  <si>
    <t>Cash-in proyectado</t>
  </si>
  <si>
    <t>Cash-in real</t>
  </si>
  <si>
    <t>ROI proyectado</t>
  </si>
  <si>
    <t>ROI real</t>
  </si>
  <si>
    <t>Venta/S/ costo</t>
  </si>
  <si>
    <t>Cash-in/S/ costo</t>
  </si>
  <si>
    <t>Mes</t>
  </si>
  <si>
    <t>EV-001</t>
  </si>
  <si>
    <t>Meta venta S/</t>
  </si>
  <si>
    <t>Meta lotes</t>
  </si>
  <si>
    <t>Meta cash-in S/</t>
  </si>
  <si>
    <t>Presupuesto CSO</t>
  </si>
  <si>
    <t>Presupuesto CMO</t>
  </si>
  <si>
    <t>Eventos plan</t>
  </si>
  <si>
    <t>Visita Proyecto de Prelanzamiento</t>
  </si>
  <si>
    <t>Forecast S/</t>
  </si>
  <si>
    <t>Lotes real</t>
  </si>
  <si>
    <t>Forecast accuracy</t>
  </si>
  <si>
    <t>Gap vs meta</t>
  </si>
  <si>
    <t>Lead</t>
  </si>
  <si>
    <t>Agenda</t>
  </si>
  <si>
    <t xml:space="preserve">Separaciones </t>
  </si>
  <si>
    <t>Estado</t>
  </si>
  <si>
    <t>Visita proyecto</t>
  </si>
  <si>
    <t>Paraiso de Santa Maria</t>
  </si>
  <si>
    <t>EV-002</t>
  </si>
  <si>
    <t>EV-003</t>
  </si>
  <si>
    <t>EV-004</t>
  </si>
  <si>
    <t>EV-005</t>
  </si>
  <si>
    <t>EV-006</t>
  </si>
  <si>
    <t>EV-007</t>
  </si>
  <si>
    <t>EV-008</t>
  </si>
  <si>
    <t>Coctel de inversionistas - Pre lanzamiento Oficial de Paraiso de Santa Maria</t>
  </si>
  <si>
    <t>Coctel Inversionista</t>
  </si>
  <si>
    <t>EV-009</t>
  </si>
  <si>
    <t>Cierre de Pre-Lanzamiento</t>
  </si>
  <si>
    <t>Evento Proyecto</t>
  </si>
  <si>
    <t>EV-010</t>
  </si>
  <si>
    <t>Visita Cierre de Prelanzamiento</t>
  </si>
  <si>
    <t>EV-011</t>
  </si>
  <si>
    <t>Gran Lanzamiento - Proyecto Paraiso de Santa Maria</t>
  </si>
  <si>
    <t>EV-012</t>
  </si>
  <si>
    <t>Visita Proyecto lanzamiento</t>
  </si>
  <si>
    <t>EV-013</t>
  </si>
  <si>
    <t>EV-014</t>
  </si>
  <si>
    <t>EV-015</t>
  </si>
  <si>
    <t>EV-016</t>
  </si>
  <si>
    <t>EV-017</t>
  </si>
  <si>
    <t>EV-018</t>
  </si>
  <si>
    <t>EV-019</t>
  </si>
  <si>
    <t>Coctel de inversionistas - Cierre de Preventa Paraiso de Santa Maria</t>
  </si>
  <si>
    <t>EV-020</t>
  </si>
  <si>
    <t>EV-021</t>
  </si>
  <si>
    <t>EV-022</t>
  </si>
  <si>
    <t>Gran Cierra Puertas 2026</t>
  </si>
  <si>
    <t>EV-023</t>
  </si>
  <si>
    <t>EV-024</t>
  </si>
  <si>
    <t>EV-025</t>
  </si>
  <si>
    <t>EV-026</t>
  </si>
  <si>
    <t>Gran Evento Navideño y Cierre de Año</t>
  </si>
  <si>
    <t>EV-027</t>
  </si>
  <si>
    <t>EV-028</t>
  </si>
  <si>
    <t>EV-029</t>
  </si>
  <si>
    <t>RESULTADOS POR VENDEDOR</t>
  </si>
  <si>
    <t>Desde</t>
  </si>
  <si>
    <t>Hasta</t>
  </si>
  <si>
    <t>Vendedor</t>
  </si>
  <si>
    <t>Lider</t>
  </si>
  <si>
    <t>Fecha ingreso</t>
  </si>
  <si>
    <t>Meta Unid Mensual</t>
  </si>
  <si>
    <t>Meta S/. Mensual</t>
  </si>
  <si>
    <t>Meta Unid Acumulada</t>
  </si>
  <si>
    <t>Meta S/. acumulada</t>
  </si>
  <si>
    <t>Agendados</t>
  </si>
  <si>
    <t>Ventas Cant</t>
  </si>
  <si>
    <t>Venta S/.</t>
  </si>
  <si>
    <t>% meta venta</t>
  </si>
  <si>
    <t>Conv. Lead→Venta</t>
  </si>
  <si>
    <t>Conv. Visita→Venta</t>
  </si>
  <si>
    <t>Venta/lead S/</t>
  </si>
  <si>
    <t>ticket promedio</t>
  </si>
  <si>
    <t>desc. promo</t>
  </si>
  <si>
    <t>Cash-in S/.</t>
  </si>
  <si>
    <t>Cash-in %</t>
  </si>
  <si>
    <t>Inicial promedio %</t>
  </si>
  <si>
    <t>% descto</t>
  </si>
  <si>
    <t>% cancelaciones</t>
  </si>
  <si>
    <t>consolidación %</t>
  </si>
  <si>
    <t>Dias de cierre</t>
  </si>
  <si>
    <t>Ranking</t>
  </si>
  <si>
    <t>estado</t>
  </si>
  <si>
    <t>calidad vendedor</t>
  </si>
  <si>
    <t>Cumplimiento Meta</t>
  </si>
  <si>
    <t>Score Comercial</t>
  </si>
  <si>
    <t>productividad por asesor;</t>
  </si>
  <si>
    <t>tiempo de respuesta al lead.</t>
  </si>
  <si>
    <t>Vicente Quispe</t>
  </si>
  <si>
    <t>JeanPaul Campos</t>
  </si>
  <si>
    <t>Activo</t>
  </si>
  <si>
    <t>Alfredo Caceda</t>
  </si>
  <si>
    <t>GASTOS COMERCIALES — PRESUPUESTO, REAL Y EFICIENCIA</t>
  </si>
  <si>
    <t>Gasto_ID</t>
  </si>
  <si>
    <t>Área</t>
  </si>
  <si>
    <t>Categoría</t>
  </si>
  <si>
    <t>Detalle / Evento</t>
  </si>
  <si>
    <t>Real</t>
  </si>
  <si>
    <t>Variación S/</t>
  </si>
  <si>
    <t>Variación %</t>
  </si>
  <si>
    <t>Responsable</t>
  </si>
  <si>
    <t>G-001</t>
  </si>
  <si>
    <t>CSO</t>
  </si>
  <si>
    <t>Sueldos</t>
  </si>
  <si>
    <t>Equipo comercial</t>
  </si>
  <si>
    <t>G-002</t>
  </si>
  <si>
    <t>Comisiones</t>
  </si>
  <si>
    <t>Comisiones de ventas</t>
  </si>
  <si>
    <t>Jhovana</t>
  </si>
  <si>
    <t>G-003</t>
  </si>
  <si>
    <t>Movilidad</t>
  </si>
  <si>
    <t>Visitas a proyecto</t>
  </si>
  <si>
    <t>G-004</t>
  </si>
  <si>
    <t>Alimentación</t>
  </si>
  <si>
    <t>Eventos y visitas</t>
  </si>
  <si>
    <t>G-005</t>
  </si>
  <si>
    <t>CRM</t>
  </si>
  <si>
    <t>Licencias comerciales</t>
  </si>
  <si>
    <t>CTO/CSO</t>
  </si>
  <si>
    <t>G-006</t>
  </si>
  <si>
    <t>Capacitación</t>
  </si>
  <si>
    <t>Clínicas de cierre</t>
  </si>
  <si>
    <t>CSO/CHRO</t>
  </si>
  <si>
    <t>G-007</t>
  </si>
  <si>
    <t>Eventos</t>
  </si>
  <si>
    <t>G-008</t>
  </si>
  <si>
    <t>G-009</t>
  </si>
  <si>
    <t>G-010</t>
  </si>
  <si>
    <t>G-011</t>
  </si>
  <si>
    <t>CMO</t>
  </si>
  <si>
    <t>Publicidad</t>
  </si>
  <si>
    <t>Meta Ads</t>
  </si>
  <si>
    <t>G-012</t>
  </si>
  <si>
    <t>TikTok Ads</t>
  </si>
  <si>
    <t>G-013</t>
  </si>
  <si>
    <t>Producción</t>
  </si>
  <si>
    <t>Creativos</t>
  </si>
  <si>
    <t>Ingrid Villegas</t>
  </si>
  <si>
    <t>Josue</t>
  </si>
  <si>
    <t>No activo</t>
  </si>
  <si>
    <t>Jose Carrillo</t>
  </si>
  <si>
    <t>Fecha_Lead</t>
  </si>
  <si>
    <t>Lead_ID</t>
  </si>
  <si>
    <t>Cliente</t>
  </si>
  <si>
    <t>Telefono</t>
  </si>
  <si>
    <t>Fuente</t>
  </si>
  <si>
    <t>Estado_CRM</t>
  </si>
  <si>
    <t>Monto_Separacion</t>
  </si>
  <si>
    <t>Observaciones</t>
  </si>
  <si>
    <t>Manzana</t>
  </si>
  <si>
    <t>Lote</t>
  </si>
  <si>
    <t>Precio Lista</t>
  </si>
  <si>
    <t>Precio venta</t>
  </si>
  <si>
    <t>Dscto S/.</t>
  </si>
  <si>
    <t>Dscto %</t>
  </si>
  <si>
    <t>Tipo de Venta</t>
  </si>
  <si>
    <t>Inicial</t>
  </si>
  <si>
    <t>Saldo</t>
  </si>
  <si>
    <t>Fecha firma</t>
  </si>
  <si>
    <t>Dias cierre</t>
  </si>
  <si>
    <t>Agustina</t>
  </si>
  <si>
    <t>Juan Carlos Paredes</t>
  </si>
  <si>
    <t>Referido</t>
  </si>
  <si>
    <t>Venta</t>
  </si>
  <si>
    <t>H</t>
  </si>
  <si>
    <t>Herberth</t>
  </si>
  <si>
    <t>Financiado</t>
  </si>
  <si>
    <t>Anita Chang</t>
  </si>
  <si>
    <t>P</t>
  </si>
  <si>
    <t>L</t>
  </si>
  <si>
    <t>Sebastiana</t>
  </si>
  <si>
    <t>Celidonio</t>
  </si>
  <si>
    <t>Contado</t>
  </si>
  <si>
    <t>Karina</t>
  </si>
  <si>
    <t>Fabian de la Cruz</t>
  </si>
  <si>
    <t>Publicidad pagada</t>
  </si>
  <si>
    <t>M</t>
  </si>
  <si>
    <t>DASHBOARD COMERCIAL INMOBILIARIO - CSO ( Chief Sales Manager)</t>
  </si>
  <si>
    <t>Control de ventas, embudo, fuentes, visitas, separaciones, facturación y proyecciones. Edita las fechas para analizar cualquier semana o periodo.</t>
  </si>
  <si>
    <t>Fecha inicio</t>
  </si>
  <si>
    <t>Fecha fin</t>
  </si>
  <si>
    <t>Fecha actual</t>
  </si>
  <si>
    <t>Dionicia Chate</t>
  </si>
  <si>
    <t>1. RESULTADOS COMERCIALES</t>
  </si>
  <si>
    <t>Meta vs Resultados</t>
  </si>
  <si>
    <t>Unidades</t>
  </si>
  <si>
    <t>Meta</t>
  </si>
  <si>
    <t>Abraham</t>
  </si>
  <si>
    <t>Ventas Reales</t>
  </si>
  <si>
    <t>Bolsa cotizaciones</t>
  </si>
  <si>
    <t>Venta Perdida</t>
  </si>
  <si>
    <t>El cliente no puede comprar por salud</t>
  </si>
  <si>
    <t>Pipeline Ponderado</t>
  </si>
  <si>
    <t>Forecast cierre</t>
  </si>
  <si>
    <t>Juan</t>
  </si>
  <si>
    <t>Gap</t>
  </si>
  <si>
    <t>cumplimiento de ventas</t>
  </si>
  <si>
    <t>Indice Cumplimiento ventas</t>
  </si>
  <si>
    <t>Facturacion Acumulada</t>
  </si>
  <si>
    <t>Periodo</t>
  </si>
  <si>
    <t>Facturación Acum.</t>
  </si>
  <si>
    <t>Semana actual</t>
  </si>
  <si>
    <t>Mes actual</t>
  </si>
  <si>
    <t>Trimestre actual</t>
  </si>
  <si>
    <t>Semestre actual</t>
  </si>
  <si>
    <t>Año actual</t>
  </si>
  <si>
    <t>2. MIX CONTADO/ FINANCIADO, CASH-IN, PRECIO, DESCUENTOS</t>
  </si>
  <si>
    <t>Tipo de compra</t>
  </si>
  <si>
    <t>% Unid</t>
  </si>
  <si>
    <t>Venta S/</t>
  </si>
  <si>
    <t>ticket prom.</t>
  </si>
  <si>
    <t>% Vent</t>
  </si>
  <si>
    <t>Total</t>
  </si>
  <si>
    <t>Saldo financiado generado</t>
  </si>
  <si>
    <t>Cash-in comercial</t>
  </si>
  <si>
    <t>Cash-in venta</t>
  </si>
  <si>
    <t>Iniciales cobradas financiado</t>
  </si>
  <si>
    <t>ventas contados</t>
  </si>
  <si>
    <t>cash-in total</t>
  </si>
  <si>
    <t>cash-in por lote</t>
  </si>
  <si>
    <t>Inicial promedio S/.</t>
  </si>
  <si>
    <t>Descuentos</t>
  </si>
  <si>
    <t>Ventas a precios lista</t>
  </si>
  <si>
    <t>Descuentos totales</t>
  </si>
  <si>
    <t>Descuento promedio</t>
  </si>
  <si>
    <t>proteccion del precio %</t>
  </si>
  <si>
    <t>Cancelaciones</t>
  </si>
  <si>
    <t>cant</t>
  </si>
  <si>
    <t>Cancelaciones S/.</t>
  </si>
  <si>
    <t>Monto consolidado</t>
  </si>
  <si>
    <t>3. CALIDAD FINANCIERA DE LA VENTA</t>
  </si>
  <si>
    <t>Cash-in total S/.</t>
  </si>
  <si>
    <t>Cash-in total  %</t>
  </si>
  <si>
    <t>Descuentos %</t>
  </si>
  <si>
    <t>Cancelación %</t>
  </si>
  <si>
    <t>Consolidación %</t>
  </si>
  <si>
    <t>FPD / mora temprana %</t>
  </si>
  <si>
    <t>Índice calidad venta</t>
  </si>
  <si>
    <t>Diagnóstico</t>
  </si>
  <si>
    <t>SCORE CSO</t>
  </si>
  <si>
    <t>4. COSTOS Y EFICIENCIA COMERCIAL</t>
  </si>
  <si>
    <t>Gastos directos CSO</t>
  </si>
  <si>
    <t>Gastos de Publicidad y Mkt CMO</t>
  </si>
  <si>
    <t>Gastos totales</t>
  </si>
  <si>
    <t>Venta por S/1 de gasto CSO</t>
  </si>
  <si>
    <t>Cash-in por S/1 de gasto CSO</t>
  </si>
  <si>
    <t>presupuesto consumido %</t>
  </si>
  <si>
    <t>CAC Marketing</t>
  </si>
  <si>
    <t>comisiones/ ventas</t>
  </si>
  <si>
    <t>CAC Comercial</t>
  </si>
  <si>
    <t>CAC Total</t>
  </si>
  <si>
    <t>CONTRIBUCION COMERCIAL</t>
  </si>
  <si>
    <t>ROI</t>
  </si>
  <si>
    <t>5. INVENTARIO, ABSORCIÓN, AGING Y PRICING</t>
  </si>
  <si>
    <t>Inventario Total</t>
  </si>
  <si>
    <t>Total Vendidos</t>
  </si>
  <si>
    <t>Inventario Falta vender</t>
  </si>
  <si>
    <t>Venta mensual promedio (velocid)</t>
  </si>
  <si>
    <t>Absorcion mensual</t>
  </si>
  <si>
    <t>Meses de inventario</t>
  </si>
  <si>
    <t>Lotes &gt;90 días</t>
  </si>
  <si>
    <t>Unidades sin visitas</t>
  </si>
  <si>
    <t>Lotes para próximo aumento precio</t>
  </si>
  <si>
    <t>6. PRODUCTIVIDAD POR ASESOR</t>
  </si>
  <si>
    <t>Asesores activos</t>
  </si>
  <si>
    <t>Capacidad leads/mes</t>
  </si>
  <si>
    <t>Leads Asignados</t>
  </si>
  <si>
    <t>Uso capacidad</t>
  </si>
  <si>
    <t>% asesores en meta</t>
  </si>
  <si>
    <t>calidad promedio asesores</t>
  </si>
  <si>
    <t>venta por lead S/.</t>
  </si>
  <si>
    <t>tiempo resp. promedio min</t>
  </si>
  <si>
    <t>Puesto</t>
  </si>
  <si>
    <t>TOTAL</t>
  </si>
  <si>
    <t>7. EMBUDO Y CONVERSIONES</t>
  </si>
  <si>
    <t>Jorge</t>
  </si>
  <si>
    <t>Canales de Captación</t>
  </si>
  <si>
    <t>Listo para Comprar</t>
  </si>
  <si>
    <t>Separado</t>
  </si>
  <si>
    <t>ALERTA COMERCIAL 3:1</t>
  </si>
  <si>
    <t>Cantidad</t>
  </si>
  <si>
    <t>Conversion</t>
  </si>
  <si>
    <t>EVOLUCIÓN ÚLTIMAS 12 SEMANAS</t>
  </si>
  <si>
    <t>Respondieron</t>
  </si>
  <si>
    <t>No respondieron</t>
  </si>
  <si>
    <t>Interesados</t>
  </si>
  <si>
    <t>Asitio Zoom</t>
  </si>
  <si>
    <t>Agendados al proyecto</t>
  </si>
  <si>
    <t>No asistio al proyecto</t>
  </si>
  <si>
    <t>Visitas proyecto</t>
  </si>
  <si>
    <t>Lote Cotizado</t>
  </si>
  <si>
    <t>Monto_Cotizado</t>
  </si>
  <si>
    <t>Campaña</t>
  </si>
  <si>
    <t>Edwin Peñaranda</t>
  </si>
  <si>
    <t>+51989722861</t>
  </si>
  <si>
    <t>Desistio (devolución)</t>
  </si>
  <si>
    <t>REALIZAR INVITACION</t>
  </si>
  <si>
    <t>Miguel</t>
  </si>
  <si>
    <t>+51913827092</t>
  </si>
  <si>
    <t>Jhovana Valdez</t>
  </si>
  <si>
    <t>NO CONTESTA - por confirmar</t>
  </si>
  <si>
    <t>8. EVENTOS DE CONVERSIÓN</t>
  </si>
  <si>
    <t>Venta eventos S/</t>
  </si>
  <si>
    <t>Cash-in eventos S/</t>
  </si>
  <si>
    <t>Costo eventos S/</t>
  </si>
  <si>
    <t>ROI eventos</t>
  </si>
  <si>
    <t>Cuadra</t>
  </si>
  <si>
    <t>+51960639204</t>
  </si>
  <si>
    <t>Conversión asistentes→venta</t>
  </si>
  <si>
    <t>Venta por S/1 evento</t>
  </si>
  <si>
    <t>9. RIESGOS DE PIPELINE Y PERDIDAS</t>
  </si>
  <si>
    <t>Pipeline &gt;30 días S/</t>
  </si>
  <si>
    <t>% pipeline &gt;30 días</t>
  </si>
  <si>
    <t>Oportunidades perdidas</t>
  </si>
  <si>
    <t>Pérdida por precio</t>
  </si>
  <si>
    <t>Pérdida por financiamiento</t>
  </si>
  <si>
    <t>Ed</t>
  </si>
  <si>
    <t>Pérdida por confianza/docs</t>
  </si>
  <si>
    <t>+51935401262</t>
  </si>
  <si>
    <t>Pérdida por no respuesta</t>
  </si>
  <si>
    <t>seguimiento</t>
  </si>
  <si>
    <t>10. PLANIFICACION Y COBERTURA FUTURA</t>
  </si>
  <si>
    <t>Abel</t>
  </si>
  <si>
    <t>+51944198815</t>
  </si>
  <si>
    <t>JOSUE VICENTE</t>
  </si>
  <si>
    <t>Daniel</t>
  </si>
  <si>
    <t>+51975951607</t>
  </si>
  <si>
    <t>Horizonte</t>
  </si>
  <si>
    <t>Meta Venta</t>
  </si>
  <si>
    <t>Plan/ Forecast</t>
  </si>
  <si>
    <t>Cobertura</t>
  </si>
  <si>
    <t>elgatolopezventura</t>
  </si>
  <si>
    <t>+51984277457</t>
  </si>
  <si>
    <t>Capacidad</t>
  </si>
  <si>
    <t>Mensual</t>
  </si>
  <si>
    <t>Semanal</t>
  </si>
  <si>
    <t>Rafahel</t>
  </si>
  <si>
    <t>+51997336310</t>
  </si>
  <si>
    <t>Trimestral</t>
  </si>
  <si>
    <t>Semestral</t>
  </si>
  <si>
    <t>Escorpion</t>
  </si>
  <si>
    <t>+51991197253</t>
  </si>
  <si>
    <t>Anual</t>
  </si>
  <si>
    <t>Capacidad futura</t>
  </si>
  <si>
    <t>Próxima decisión</t>
  </si>
  <si>
    <t>Alicia Mary Álvarez</t>
  </si>
  <si>
    <t>+51991267597</t>
  </si>
  <si>
    <t>11. QUÉ DEBE RESPONDER EL CSO CADA SEMANA</t>
  </si>
  <si>
    <t>Pregunta CEO</t>
  </si>
  <si>
    <t>Hily Solis V</t>
  </si>
  <si>
    <t>+51992771534</t>
  </si>
  <si>
    <t>Respuesta esperada</t>
  </si>
  <si>
    <t>KPI soporte</t>
  </si>
  <si>
    <t>¿Vamos a cumplir la meta?</t>
  </si>
  <si>
    <t>Meta vs Real vs Forecast vs Gap</t>
  </si>
  <si>
    <t>Ventas + pipeline</t>
  </si>
  <si>
    <t>¿Qué parte de la venta es financiada?</t>
  </si>
  <si>
    <t>Roque Yeny</t>
  </si>
  <si>
    <t>Unidades, S/ y % financiado vs contado</t>
  </si>
  <si>
    <t>+51990407924</t>
  </si>
  <si>
    <t>Mix Venta</t>
  </si>
  <si>
    <t>¿Cuánto margen comercial cedemos?</t>
  </si>
  <si>
    <t>Descuento S/ y % contra precio lista</t>
  </si>
  <si>
    <t>¿Dónde se rompe el embudo?</t>
  </si>
  <si>
    <t>Conversión por etapa vs meta</t>
  </si>
  <si>
    <t>Embudo</t>
  </si>
  <si>
    <t>¿Quién vende mejor con los leads que recibe?</t>
  </si>
  <si>
    <t>Venta/lead + conversión + ticket</t>
  </si>
  <si>
    <t>bravoramosdelia</t>
  </si>
  <si>
    <t>Asesores</t>
  </si>
  <si>
    <t>+51926953358</t>
  </si>
  <si>
    <t>¿Qué riesgo puede hacer caer el cierre?</t>
  </si>
  <si>
    <t>respondieron LLAMADA/ WHATSAPP</t>
  </si>
  <si>
    <t>Cancelaciones + separaciones débiles + pipeline</t>
  </si>
  <si>
    <t>Ventas/Embudo</t>
  </si>
  <si>
    <t>Angel</t>
  </si>
  <si>
    <t>+51924223481</t>
  </si>
  <si>
    <t>ivan taype</t>
  </si>
  <si>
    <t>+51913293137</t>
  </si>
  <si>
    <t>Cruz</t>
  </si>
  <si>
    <t>+51971319788</t>
  </si>
  <si>
    <t>JessicaV</t>
  </si>
  <si>
    <t>+14695945451</t>
  </si>
  <si>
    <t>Percy</t>
  </si>
  <si>
    <t>+51977175306</t>
  </si>
  <si>
    <t>RIGO</t>
  </si>
  <si>
    <t>+51990487503</t>
  </si>
  <si>
    <t>AGENDO VISITA al proyecto</t>
  </si>
  <si>
    <t>Victor Goicochea</t>
  </si>
  <si>
    <t>+51970849299</t>
  </si>
  <si>
    <t>Jose Duran</t>
  </si>
  <si>
    <t>+51991243996</t>
  </si>
  <si>
    <t>Flory</t>
  </si>
  <si>
    <t>+51970014541</t>
  </si>
  <si>
    <t>Yeni</t>
  </si>
  <si>
    <t>+51975711907</t>
  </si>
  <si>
    <t>INTERESADo</t>
  </si>
  <si>
    <t>+51997750239</t>
  </si>
  <si>
    <t>Pedro Blades</t>
  </si>
  <si>
    <t>+51994676008</t>
  </si>
  <si>
    <t>A</t>
  </si>
  <si>
    <t>+51949368948</t>
  </si>
  <si>
    <t>floresvargasgodofre</t>
  </si>
  <si>
    <t>+51954593158</t>
  </si>
  <si>
    <t>Jo</t>
  </si>
  <si>
    <t>+51924402574</t>
  </si>
  <si>
    <t>miguelasaro22@gmail.Com</t>
  </si>
  <si>
    <t>+51972775733</t>
  </si>
  <si>
    <t>160269franciscolopez</t>
  </si>
  <si>
    <t>+51922290873</t>
  </si>
  <si>
    <t>....</t>
  </si>
  <si>
    <t>+51936145516</t>
  </si>
  <si>
    <t>Rodolfo Pacora Vera</t>
  </si>
  <si>
    <t>+51983883608</t>
  </si>
  <si>
    <t>Ysabel</t>
  </si>
  <si>
    <t>+51976793315</t>
  </si>
  <si>
    <t>Nazaria</t>
  </si>
  <si>
    <t>+51921334385</t>
  </si>
  <si>
    <t>Flor Zapata</t>
  </si>
  <si>
    <t>+51995501108</t>
  </si>
  <si>
    <t>Flor</t>
  </si>
  <si>
    <t>+51945610605</t>
  </si>
  <si>
    <t>manuelpabloayala2024</t>
  </si>
  <si>
    <t>+51963611056</t>
  </si>
  <si>
    <t>Feliz ☺️</t>
  </si>
  <si>
    <t>+51954869177</t>
  </si>
  <si>
    <t>Esmm</t>
  </si>
  <si>
    <t>+51929421014</t>
  </si>
  <si>
    <t>yo.se.q.t.gusto</t>
  </si>
  <si>
    <t>TRECEX</t>
  </si>
  <si>
    <t>+51998240775</t>
  </si>
  <si>
    <t>INVENTARIO COMERCIAL — ABSORCIÓN, AGING, HEATMAP Y PRICING</t>
  </si>
  <si>
    <t>JairS_Villanueva</t>
  </si>
  <si>
    <t>Etapa</t>
  </si>
  <si>
    <t>m2</t>
  </si>
  <si>
    <t>Precio lista</t>
  </si>
  <si>
    <t>Precio actual</t>
  </si>
  <si>
    <t>Fecha liberación</t>
  </si>
  <si>
    <t>Fecha venta</t>
  </si>
  <si>
    <t>Días disponible</t>
  </si>
  <si>
    <t>Aging</t>
  </si>
  <si>
    <t>N° visitas</t>
  </si>
  <si>
    <t>N° cotizaciones</t>
  </si>
  <si>
    <t>Demanda</t>
  </si>
  <si>
    <t>Próximo precio</t>
  </si>
  <si>
    <t>Trigger precio</t>
  </si>
  <si>
    <t>L-001</t>
  </si>
  <si>
    <t>M-01</t>
  </si>
  <si>
    <t>Etapa 1</t>
  </si>
  <si>
    <t>Vendido</t>
  </si>
  <si>
    <t>335d</t>
  </si>
  <si>
    <t>&gt;90</t>
  </si>
  <si>
    <t>Victor Orellana</t>
  </si>
  <si>
    <t>Baja</t>
  </si>
  <si>
    <t>+51966684285</t>
  </si>
  <si>
    <t>Cada 20 lotes vendidos</t>
  </si>
  <si>
    <t>L-002</t>
  </si>
  <si>
    <t>336d</t>
  </si>
  <si>
    <t>Media</t>
  </si>
  <si>
    <t>L-003</t>
  </si>
  <si>
    <t>337d</t>
  </si>
  <si>
    <t>Alta</t>
  </si>
  <si>
    <t>L-004</t>
  </si>
  <si>
    <t>338d</t>
  </si>
  <si>
    <t>L-005</t>
  </si>
  <si>
    <t>Jota</t>
  </si>
  <si>
    <t>339d</t>
  </si>
  <si>
    <t>+51994888010</t>
  </si>
  <si>
    <t>L-006</t>
  </si>
  <si>
    <t>340d</t>
  </si>
  <si>
    <t>L-007</t>
  </si>
  <si>
    <t>341d</t>
  </si>
  <si>
    <t>L-008</t>
  </si>
  <si>
    <t>342d</t>
  </si>
  <si>
    <t>L-009</t>
  </si>
  <si>
    <t>343d</t>
  </si>
  <si>
    <t>L-010</t>
  </si>
  <si>
    <t>344d</t>
  </si>
  <si>
    <t>Renzo</t>
  </si>
  <si>
    <t>+51953309338</t>
  </si>
  <si>
    <t>L-011</t>
  </si>
  <si>
    <t>M-02</t>
  </si>
  <si>
    <t>345d</t>
  </si>
  <si>
    <t>L-012</t>
  </si>
  <si>
    <t>Disponible</t>
  </si>
  <si>
    <t>L-013</t>
  </si>
  <si>
    <t>Manuel Medina</t>
  </si>
  <si>
    <t>L-014</t>
  </si>
  <si>
    <t>+51955802523</t>
  </si>
  <si>
    <t>L-015</t>
  </si>
  <si>
    <t>L-016</t>
  </si>
  <si>
    <t>L-017</t>
  </si>
  <si>
    <t>L-018</t>
  </si>
  <si>
    <t>L-019</t>
  </si>
  <si>
    <t>jorgechavezleano</t>
  </si>
  <si>
    <t>+51900888094</t>
  </si>
  <si>
    <t>L-020</t>
  </si>
  <si>
    <t>L-021</t>
  </si>
  <si>
    <t>M-03</t>
  </si>
  <si>
    <t>L-022</t>
  </si>
  <si>
    <t>L-023</t>
  </si>
  <si>
    <t>L-024</t>
  </si>
  <si>
    <t>alarconmurgamanuel</t>
  </si>
  <si>
    <t>L-025</t>
  </si>
  <si>
    <t>+51915937281</t>
  </si>
  <si>
    <t>L-026</t>
  </si>
  <si>
    <t>L-027</t>
  </si>
  <si>
    <t>L-028</t>
  </si>
  <si>
    <t>andycerpa20</t>
  </si>
  <si>
    <t>L-029</t>
  </si>
  <si>
    <t>L-030</t>
  </si>
  <si>
    <t>L-031</t>
  </si>
  <si>
    <t>M-04</t>
  </si>
  <si>
    <t>L-032</t>
  </si>
  <si>
    <t>L-033</t>
  </si>
  <si>
    <t>Mary Arevalo</t>
  </si>
  <si>
    <t>+51973704543</t>
  </si>
  <si>
    <t>L-034</t>
  </si>
  <si>
    <t>L-035</t>
  </si>
  <si>
    <t>L-036</t>
  </si>
  <si>
    <t>L-037</t>
  </si>
  <si>
    <t>L-038</t>
  </si>
  <si>
    <t>Liliana</t>
  </si>
  <si>
    <t>+51988436172</t>
  </si>
  <si>
    <t>L-039</t>
  </si>
  <si>
    <t>L-040</t>
  </si>
  <si>
    <t>L-041</t>
  </si>
  <si>
    <t>M-05</t>
  </si>
  <si>
    <t>L-042</t>
  </si>
  <si>
    <t>L-043</t>
  </si>
  <si>
    <t>Ronaldo</t>
  </si>
  <si>
    <t>+51916307964</t>
  </si>
  <si>
    <t>L-044</t>
  </si>
  <si>
    <t>L-045</t>
  </si>
  <si>
    <t>L-046</t>
  </si>
  <si>
    <t>L-047</t>
  </si>
  <si>
    <t>marinaportilla336</t>
  </si>
  <si>
    <t>+51980595168</t>
  </si>
  <si>
    <t>L-048</t>
  </si>
  <si>
    <t>L-049</t>
  </si>
  <si>
    <t>L-050</t>
  </si>
  <si>
    <t>L-051</t>
  </si>
  <si>
    <t>M-06</t>
  </si>
  <si>
    <t>L-052</t>
  </si>
  <si>
    <t>L-053</t>
  </si>
  <si>
    <t>L-054</t>
  </si>
  <si>
    <t>L-055</t>
  </si>
  <si>
    <t>L-056</t>
  </si>
  <si>
    <t>L-057</t>
  </si>
  <si>
    <t>GBP &amp; A3 GROUP</t>
  </si>
  <si>
    <t>+16056056259</t>
  </si>
  <si>
    <t>L-058</t>
  </si>
  <si>
    <t>NO CONTESTA 3V</t>
  </si>
  <si>
    <t>L-059</t>
  </si>
  <si>
    <t>L-060</t>
  </si>
  <si>
    <t>L-061</t>
  </si>
  <si>
    <t>M-07</t>
  </si>
  <si>
    <t>L-062</t>
  </si>
  <si>
    <t>Sonia Canales</t>
  </si>
  <si>
    <t>+51924395991</t>
  </si>
  <si>
    <t>L-063</t>
  </si>
  <si>
    <t>L-064</t>
  </si>
  <si>
    <t>L-065</t>
  </si>
  <si>
    <t>L-066</t>
  </si>
  <si>
    <t>L-067</t>
  </si>
  <si>
    <t>Chandru</t>
  </si>
  <si>
    <t>+51981511949</t>
  </si>
  <si>
    <t>L-068</t>
  </si>
  <si>
    <t>L-069</t>
  </si>
  <si>
    <t>L-070</t>
  </si>
  <si>
    <t>L-071</t>
  </si>
  <si>
    <t>M-08</t>
  </si>
  <si>
    <t>L-072</t>
  </si>
  <si>
    <t>® S A N C H E Z</t>
  </si>
  <si>
    <t>+51987856879</t>
  </si>
  <si>
    <t>L-073</t>
  </si>
  <si>
    <t>L-074</t>
  </si>
  <si>
    <t>L-075</t>
  </si>
  <si>
    <t>L-076</t>
  </si>
  <si>
    <t>L-077</t>
  </si>
  <si>
    <t>Roxana</t>
  </si>
  <si>
    <t>+51953126887</t>
  </si>
  <si>
    <t>L-078</t>
  </si>
  <si>
    <t>L-079</t>
  </si>
  <si>
    <t>L-080</t>
  </si>
  <si>
    <t>L-081</t>
  </si>
  <si>
    <t>M-09</t>
  </si>
  <si>
    <t>L-082</t>
  </si>
  <si>
    <t>L-083</t>
  </si>
  <si>
    <t>Jose carlos☺️</t>
  </si>
  <si>
    <t>+51970550928</t>
  </si>
  <si>
    <t>L-084</t>
  </si>
  <si>
    <t>L-085</t>
  </si>
  <si>
    <t>L-086</t>
  </si>
  <si>
    <t>L-087</t>
  </si>
  <si>
    <t>L-088</t>
  </si>
  <si>
    <t>Rouss</t>
  </si>
  <si>
    <t>L-089</t>
  </si>
  <si>
    <t>+51980627507</t>
  </si>
  <si>
    <t>L-090</t>
  </si>
  <si>
    <t>L-091</t>
  </si>
  <si>
    <t>M-10</t>
  </si>
  <si>
    <t>L-092</t>
  </si>
  <si>
    <t>L-093</t>
  </si>
  <si>
    <t>Verouska Atkins</t>
  </si>
  <si>
    <t>L-094</t>
  </si>
  <si>
    <t>+51958229338</t>
  </si>
  <si>
    <t>L-095</t>
  </si>
  <si>
    <t>L-096</t>
  </si>
  <si>
    <t>L-097</t>
  </si>
  <si>
    <t>L-098</t>
  </si>
  <si>
    <t>L-099</t>
  </si>
  <si>
    <t>L-100</t>
  </si>
  <si>
    <t>L-101</t>
  </si>
  <si>
    <t>M-11</t>
  </si>
  <si>
    <t>Etapa 2</t>
  </si>
  <si>
    <t>253d</t>
  </si>
  <si>
    <t>L-102</t>
  </si>
  <si>
    <t>+51931478715</t>
  </si>
  <si>
    <t>L-103</t>
  </si>
  <si>
    <t>L-104</t>
  </si>
  <si>
    <t>L-105</t>
  </si>
  <si>
    <t>L-106</t>
  </si>
  <si>
    <t>L-107</t>
  </si>
  <si>
    <t>L-108</t>
  </si>
  <si>
    <t>ALP REPUESTOS</t>
  </si>
  <si>
    <t>+51944732917</t>
  </si>
  <si>
    <t>L-109</t>
  </si>
  <si>
    <t>L-110</t>
  </si>
  <si>
    <t>L-111</t>
  </si>
  <si>
    <t>M-12</t>
  </si>
  <si>
    <t>L-112</t>
  </si>
  <si>
    <t>L-113</t>
  </si>
  <si>
    <t>Frank</t>
  </si>
  <si>
    <t>L-114</t>
  </si>
  <si>
    <t>+51966793237</t>
  </si>
  <si>
    <t>L-115</t>
  </si>
  <si>
    <t>L-116</t>
  </si>
  <si>
    <t>L-117</t>
  </si>
  <si>
    <t>L-118</t>
  </si>
  <si>
    <t>L-119</t>
  </si>
  <si>
    <t>ef6558865</t>
  </si>
  <si>
    <t>+51923477403</t>
  </si>
  <si>
    <t>L-120</t>
  </si>
  <si>
    <t>L-121</t>
  </si>
  <si>
    <t>M-13</t>
  </si>
  <si>
    <t>L-122</t>
  </si>
  <si>
    <t>L-123</t>
  </si>
  <si>
    <t>L-124</t>
  </si>
  <si>
    <t>David</t>
  </si>
  <si>
    <t>+51981289933</t>
  </si>
  <si>
    <t>L-125</t>
  </si>
  <si>
    <t>L-126</t>
  </si>
  <si>
    <t>L-127</t>
  </si>
  <si>
    <t>L-128</t>
  </si>
  <si>
    <t>magalygina27</t>
  </si>
  <si>
    <t>+51908679576</t>
  </si>
  <si>
    <t>AlexandraFernandez04</t>
  </si>
  <si>
    <t>Cindy Ajalcriña</t>
  </si>
  <si>
    <t>+51952525162</t>
  </si>
  <si>
    <t>Miguel Angel</t>
  </si>
  <si>
    <t>+51987158544</t>
  </si>
  <si>
    <t>+51906650721</t>
  </si>
  <si>
    <t>Soledad</t>
  </si>
  <si>
    <t>+51912499294</t>
  </si>
  <si>
    <t>Chmb..⚽❤️</t>
  </si>
  <si>
    <t>+51987901953</t>
  </si>
  <si>
    <t>JR-EVENTOS</t>
  </si>
  <si>
    <t>+51945926827</t>
  </si>
  <si>
    <t>jamescollantes</t>
  </si>
  <si>
    <t>+51952243230</t>
  </si>
  <si>
    <t>Jvanito</t>
  </si>
  <si>
    <t>+51997836587</t>
  </si>
  <si>
    <t>Luz Igual conocimiento</t>
  </si>
  <si>
    <t>+51980695761</t>
  </si>
  <si>
    <t>distribuidor autorizado</t>
  </si>
  <si>
    <t>+51982868839</t>
  </si>
  <si>
    <t>radioorooficial</t>
  </si>
  <si>
    <t>+51991367423</t>
  </si>
  <si>
    <t>Luis Nicho</t>
  </si>
  <si>
    <t>+51914035699</t>
  </si>
  <si>
    <t>L-129</t>
  </si>
  <si>
    <t>L-130</t>
  </si>
  <si>
    <t>L-131</t>
  </si>
  <si>
    <t>Felipe</t>
  </si>
  <si>
    <t>M-14</t>
  </si>
  <si>
    <t>+51994499821</t>
  </si>
  <si>
    <t>L-132</t>
  </si>
  <si>
    <t>L-133</t>
  </si>
  <si>
    <t>L-134</t>
  </si>
  <si>
    <t>L-135</t>
  </si>
  <si>
    <t>JOSE RONDOY</t>
  </si>
  <si>
    <t>L-136</t>
  </si>
  <si>
    <t>+51917989993</t>
  </si>
  <si>
    <t>L-137</t>
  </si>
  <si>
    <t>L-138</t>
  </si>
  <si>
    <t>L-139</t>
  </si>
  <si>
    <t>L-140</t>
  </si>
  <si>
    <t>L-141</t>
  </si>
  <si>
    <t>M-15</t>
  </si>
  <si>
    <t>+51960650896</t>
  </si>
  <si>
    <t>L-142</t>
  </si>
  <si>
    <t>L-143</t>
  </si>
  <si>
    <t>L-144</t>
  </si>
  <si>
    <t>L-145</t>
  </si>
  <si>
    <t>+51918730846</t>
  </si>
  <si>
    <t>L-146</t>
  </si>
  <si>
    <t>L-147</t>
  </si>
  <si>
    <t>L-148</t>
  </si>
  <si>
    <t>L-149</t>
  </si>
  <si>
    <t>L-150</t>
  </si>
  <si>
    <t>Mari Espinoza</t>
  </si>
  <si>
    <t>+51997142131</t>
  </si>
  <si>
    <t>L-151</t>
  </si>
  <si>
    <t>M-16</t>
  </si>
  <si>
    <t>L-152</t>
  </si>
  <si>
    <t>L-153</t>
  </si>
  <si>
    <t>L-154</t>
  </si>
  <si>
    <t>L-155</t>
  </si>
  <si>
    <t>Olinda</t>
  </si>
  <si>
    <t>+51986782240</t>
  </si>
  <si>
    <t>L-156</t>
  </si>
  <si>
    <t>L-157</t>
  </si>
  <si>
    <t>L-158</t>
  </si>
  <si>
    <t>L-159</t>
  </si>
  <si>
    <t>L-160</t>
  </si>
  <si>
    <t>L-161</t>
  </si>
  <si>
    <t>M-17</t>
  </si>
  <si>
    <t>⚠️</t>
  </si>
  <si>
    <t>L-162</t>
  </si>
  <si>
    <t>L-163</t>
  </si>
  <si>
    <t>L-164</t>
  </si>
  <si>
    <t>L-165</t>
  </si>
  <si>
    <t>L-166</t>
  </si>
  <si>
    <t>L-167</t>
  </si>
  <si>
    <t>L-168</t>
  </si>
  <si>
    <t>L-169</t>
  </si>
  <si>
    <t>L-170</t>
  </si>
  <si>
    <t>L-171</t>
  </si>
  <si>
    <t>M-18</t>
  </si>
  <si>
    <t>L-172</t>
  </si>
  <si>
    <t>L-173</t>
  </si>
  <si>
    <t>L-174</t>
  </si>
  <si>
    <t>L-175</t>
  </si>
  <si>
    <t>L-176</t>
  </si>
  <si>
    <t>L-177</t>
  </si>
  <si>
    <t>L-178</t>
  </si>
  <si>
    <t>L-179</t>
  </si>
  <si>
    <t>L-180</t>
  </si>
  <si>
    <t>L-181</t>
  </si>
  <si>
    <t>M-19</t>
  </si>
  <si>
    <t>+51994274134</t>
  </si>
  <si>
    <t>CONCESIONARIO A &amp; E</t>
  </si>
  <si>
    <t>+51907735224</t>
  </si>
  <si>
    <t>tu gato</t>
  </si>
  <si>
    <t>+51925276331</t>
  </si>
  <si>
    <t>.</t>
  </si>
  <si>
    <t>+51982176415</t>
  </si>
  <si>
    <t>ant</t>
  </si>
  <si>
    <t>+51957693482</t>
  </si>
  <si>
    <t>+51980825565</t>
  </si>
  <si>
    <t>Marta Roca</t>
  </si>
  <si>
    <t>+51928339025</t>
  </si>
  <si>
    <t>JeanR_Ventas03</t>
  </si>
  <si>
    <t>Honorio</t>
  </si>
  <si>
    <t>+51961095411</t>
  </si>
  <si>
    <t>Benny</t>
  </si>
  <si>
    <t>+51976836819</t>
  </si>
  <si>
    <t>Vilma García Caldas</t>
  </si>
  <si>
    <t>+51943046560</t>
  </si>
  <si>
    <t>+51935812338</t>
  </si>
  <si>
    <t>clavijocarmen581</t>
  </si>
  <si>
    <t>+51980588207</t>
  </si>
  <si>
    <t>Yoli</t>
  </si>
  <si>
    <t>+51986891695</t>
  </si>
  <si>
    <t>+51971230640</t>
  </si>
  <si>
    <t>Víct_Chz</t>
  </si>
  <si>
    <t>+51951607931</t>
  </si>
  <si>
    <t>Paolo Cesar⚽️</t>
  </si>
  <si>
    <t>+51925984169</t>
  </si>
  <si>
    <t>José</t>
  </si>
  <si>
    <t>+51938343522</t>
  </si>
  <si>
    <t>+51916922640</t>
  </si>
  <si>
    <t>…</t>
  </si>
  <si>
    <t>+51987981129</t>
  </si>
  <si>
    <t>Janet</t>
  </si>
  <si>
    <t>+51982906151</t>
  </si>
  <si>
    <t>Catalina Santana</t>
  </si>
  <si>
    <t>+51933454577</t>
  </si>
  <si>
    <t>Bertha</t>
  </si>
  <si>
    <t>+51920497554</t>
  </si>
  <si>
    <t>Lucianita</t>
  </si>
  <si>
    <t>+51923866535</t>
  </si>
  <si>
    <t>jaime Espino</t>
  </si>
  <si>
    <t>+51999112572</t>
  </si>
  <si>
    <t>James</t>
  </si>
  <si>
    <t>+51901293862</t>
  </si>
  <si>
    <t>brendacrisbasancelestino</t>
  </si>
  <si>
    <t>+51986668567</t>
  </si>
  <si>
    <t>Richard Zavaleta Vargas</t>
  </si>
  <si>
    <t>+51936657104</t>
  </si>
  <si>
    <t>gino</t>
  </si>
  <si>
    <t>+51956722661</t>
  </si>
  <si>
    <t>Wendy Antonella</t>
  </si>
  <si>
    <t>+51926977378</t>
  </si>
  <si>
    <t>Goyo</t>
  </si>
  <si>
    <t>+51908508333</t>
  </si>
  <si>
    <t>Miles</t>
  </si>
  <si>
    <t>+51952321151</t>
  </si>
  <si>
    <t>alimentoselbusac</t>
  </si>
  <si>
    <t>+51930896846</t>
  </si>
  <si>
    <t>+51981181867</t>
  </si>
  <si>
    <t>Siempre Adelante ¡</t>
  </si>
  <si>
    <t>+51945827758</t>
  </si>
  <si>
    <t>miguel angel castro yzag</t>
  </si>
  <si>
    <t>+51989036540</t>
  </si>
  <si>
    <t>Carlos</t>
  </si>
  <si>
    <t>+51992793862</t>
  </si>
  <si>
    <t>+51971117441</t>
  </si>
  <si>
    <t>Brad</t>
  </si>
  <si>
    <t>+51934520532</t>
  </si>
  <si>
    <t>Pao Balvín</t>
  </si>
  <si>
    <t>+51912194398</t>
  </si>
  <si>
    <t>Jhony Crisst</t>
  </si>
  <si>
    <t>+51966710484</t>
  </si>
  <si>
    <t>Brenda</t>
  </si>
  <si>
    <t>+51964568429</t>
  </si>
  <si>
    <t>Hola</t>
  </si>
  <si>
    <t>+51957324076</t>
  </si>
  <si>
    <t>karmenzalvaleta</t>
  </si>
  <si>
    <t>+51993919022</t>
  </si>
  <si>
    <t>Pedro</t>
  </si>
  <si>
    <t>+51992549932</t>
  </si>
  <si>
    <t>jeshu</t>
  </si>
  <si>
    <t>+51977755838</t>
  </si>
  <si>
    <t>Alberto Herrera</t>
  </si>
  <si>
    <t>+51923679499</t>
  </si>
  <si>
    <t>Katty Rivera</t>
  </si>
  <si>
    <t>+51964286403</t>
  </si>
  <si>
    <t>JC ⚽⚽⚽</t>
  </si>
  <si>
    <t>+51965204075</t>
  </si>
  <si>
    <t>ocupado</t>
  </si>
  <si>
    <t>+51987892086</t>
  </si>
  <si>
    <t>Frank Cayo</t>
  </si>
  <si>
    <t>+51957123899</t>
  </si>
  <si>
    <t>NGJ</t>
  </si>
  <si>
    <t>+51969748935</t>
  </si>
  <si>
    <t>agendo oficina /presentación virtual</t>
  </si>
  <si>
    <t>kat</t>
  </si>
  <si>
    <t>+51955620306</t>
  </si>
  <si>
    <t>JRD International Group</t>
  </si>
  <si>
    <t>+51936055194</t>
  </si>
  <si>
    <t>Darwin Cast Rodríguez</t>
  </si>
  <si>
    <t>+51989747309</t>
  </si>
  <si>
    <t>+51922462956</t>
  </si>
  <si>
    <t>Cristian</t>
  </si>
  <si>
    <t>+51993171987</t>
  </si>
  <si>
    <t>MartinRequena</t>
  </si>
  <si>
    <t>+51975355020</t>
  </si>
  <si>
    <t>Fer</t>
  </si>
  <si>
    <t>+51993952206</t>
  </si>
  <si>
    <t>Yhoselin</t>
  </si>
  <si>
    <t>+51934617811</t>
  </si>
  <si>
    <t>Vega Gladis</t>
  </si>
  <si>
    <t>+51986405813</t>
  </si>
  <si>
    <t>AICM❤️</t>
  </si>
  <si>
    <t>+51989555410</t>
  </si>
  <si>
    <t>Manuel</t>
  </si>
  <si>
    <t>+51924723988</t>
  </si>
  <si>
    <t>Yaku y Wayra peru</t>
  </si>
  <si>
    <t>+51941040534</t>
  </si>
  <si>
    <t>Sergio Chavez</t>
  </si>
  <si>
    <t>+51969469564</t>
  </si>
  <si>
    <t>Diony</t>
  </si>
  <si>
    <t>+51997588375</t>
  </si>
  <si>
    <t>Roger</t>
  </si>
  <si>
    <t>+51939080017</t>
  </si>
  <si>
    <t>+51970515019</t>
  </si>
  <si>
    <t>+51912659222</t>
  </si>
  <si>
    <t>Yomar</t>
  </si>
  <si>
    <t>+51905680432</t>
  </si>
  <si>
    <t>gersoncardenasazanero</t>
  </si>
  <si>
    <t>+51930247424</t>
  </si>
  <si>
    <t>kiojiroquehung</t>
  </si>
  <si>
    <t>jazz</t>
  </si>
  <si>
    <t>+51922137246</t>
  </si>
  <si>
    <t>..</t>
  </si>
  <si>
    <t>+51991335422</t>
  </si>
  <si>
    <t>Jose Martin</t>
  </si>
  <si>
    <t>+51985892859</t>
  </si>
  <si>
    <t>Walter Bueno Corporativo</t>
  </si>
  <si>
    <t>+51987628070</t>
  </si>
  <si>
    <t>+51938992404</t>
  </si>
  <si>
    <t>Casita</t>
  </si>
  <si>
    <t>+51958519691</t>
  </si>
  <si>
    <t>textil laguna si si 28 32</t>
  </si>
  <si>
    <t>+51970885441</t>
  </si>
  <si>
    <t>Cj</t>
  </si>
  <si>
    <t>+51977378840</t>
  </si>
  <si>
    <t>Victor Luk</t>
  </si>
  <si>
    <t>+51997718302</t>
  </si>
  <si>
    <t>Mary</t>
  </si>
  <si>
    <t>+51945699939</t>
  </si>
  <si>
    <t>F3R</t>
  </si>
  <si>
    <t>+51991303437</t>
  </si>
  <si>
    <t>Ingeniería &amp;amp; Construcción</t>
  </si>
  <si>
    <t>+51942684224</t>
  </si>
  <si>
    <t>El Cumpita</t>
  </si>
  <si>
    <t>+51986679812</t>
  </si>
  <si>
    <t>BryanLlatanceArce</t>
  </si>
  <si>
    <t>RUBY</t>
  </si>
  <si>
    <t>+51902503930</t>
  </si>
  <si>
    <t>Orly Williams</t>
  </si>
  <si>
    <t>+51964920620</t>
  </si>
  <si>
    <t>Rafael</t>
  </si>
  <si>
    <t>+51991666388</t>
  </si>
  <si>
    <t>Teresita Dejesus Cherres Bereche</t>
  </si>
  <si>
    <t>+51991548173</t>
  </si>
  <si>
    <t>PAH</t>
  </si>
  <si>
    <t>+51959871998</t>
  </si>
  <si>
    <t>hola3140</t>
  </si>
  <si>
    <t>Deivis BV</t>
  </si>
  <si>
    <t>+51973363829</t>
  </si>
  <si>
    <t>CONFIGURACIÓN COMERCIAL</t>
  </si>
  <si>
    <t>NOTAS IMPORTANTES</t>
  </si>
  <si>
    <t>1</t>
  </si>
  <si>
    <t>La regla comercial 3:1 equivale a 33.3% de conversión de visita a separación.</t>
  </si>
  <si>
    <t>2</t>
  </si>
  <si>
    <t>Cambia vendedores, metas y conversiones aquí; el resto del archivo se actualiza automáticamente.</t>
  </si>
  <si>
    <t>Gian Carlo G. Alegre</t>
  </si>
  <si>
    <t>3</t>
  </si>
  <si>
    <t>+51946067005</t>
  </si>
  <si>
    <t>Para usar data real, reemplaza las filas de ejemplo en Data_KOMMO sin cambiar los encabezados.</t>
  </si>
  <si>
    <t>Inicio la venta</t>
  </si>
  <si>
    <t>Parámetro</t>
  </si>
  <si>
    <t>Valor</t>
  </si>
  <si>
    <t>Fuentes estándar</t>
  </si>
  <si>
    <t>Uso</t>
  </si>
  <si>
    <t>Conversión Lead → Agendado</t>
  </si>
  <si>
    <t>gabriela pacheco sanchez</t>
  </si>
  <si>
    <t>Meta Ads / TikTok Ads / Google Ads</t>
  </si>
  <si>
    <t>+51939287876</t>
  </si>
  <si>
    <t>Asistencia Agendado → Visita</t>
  </si>
  <si>
    <t>Referidos de clientes o contactos</t>
  </si>
  <si>
    <t>Conversión Visita → Separación</t>
  </si>
  <si>
    <t>Activación</t>
  </si>
  <si>
    <t>Campo, volanteo, módulos, activaciones</t>
  </si>
  <si>
    <t>Conversión Separación → Venta</t>
  </si>
  <si>
    <t>Orgánico</t>
  </si>
  <si>
    <t>Redes sociales sin pauta</t>
  </si>
  <si>
    <t>Ticket promedio de venta (S/)</t>
  </si>
  <si>
    <t>Base de datos</t>
  </si>
  <si>
    <t>Reactivación / cartera</t>
  </si>
  <si>
    <t>Meta de ventas mensual</t>
  </si>
  <si>
    <t>Redes Sociales</t>
  </si>
  <si>
    <t>Semanas operativas por mes</t>
  </si>
  <si>
    <t>tiktok</t>
  </si>
  <si>
    <t>KPI adicionales de ventas</t>
  </si>
  <si>
    <t>Estado CRM</t>
  </si>
  <si>
    <t>Apex Group</t>
  </si>
  <si>
    <t>Cash-in mínimo %</t>
  </si>
  <si>
    <t>+51930268551</t>
  </si>
  <si>
    <t>inicial promedio minimo %</t>
  </si>
  <si>
    <t>Descuento máximo %</t>
  </si>
  <si>
    <t>No asistio</t>
  </si>
  <si>
    <t>Cancelaciones maximo %</t>
  </si>
  <si>
    <t>Presentación Zoom</t>
  </si>
  <si>
    <t>Meta de consolidacion %</t>
  </si>
  <si>
    <t>Visitó proyecto</t>
  </si>
  <si>
    <t>En Cotizacion</t>
  </si>
  <si>
    <t>eli sanchez semino. wasap 923829087</t>
  </si>
  <si>
    <t>+51917263120</t>
  </si>
  <si>
    <t>ASISTIO al PROYECTO</t>
  </si>
  <si>
    <t>LISTO PARA COMPRAR</t>
  </si>
  <si>
    <t>Separo lote</t>
  </si>
  <si>
    <t>Lote vendido</t>
  </si>
  <si>
    <t>Herlinda Calderon Jorge</t>
  </si>
  <si>
    <t>+51907190711</t>
  </si>
  <si>
    <t>Irma Salinas</t>
  </si>
  <si>
    <t>+51993887252</t>
  </si>
  <si>
    <t>Isaias Wilman</t>
  </si>
  <si>
    <t>Wilman</t>
  </si>
  <si>
    <t>+51987305002</t>
  </si>
  <si>
    <t>Van Wilder</t>
  </si>
  <si>
    <t>+51925125672</t>
  </si>
  <si>
    <t>Nicolas Araujo5tdc Arce</t>
  </si>
  <si>
    <t>+51987370220</t>
  </si>
  <si>
    <t>Eduardo AC</t>
  </si>
  <si>
    <t>+51904688624</t>
  </si>
  <si>
    <t>Julia Velasquez Velasquez. n</t>
  </si>
  <si>
    <t>+51912487217</t>
  </si>
  <si>
    <t>Paulino Guizado Soto</t>
  </si>
  <si>
    <t>+51979325910</t>
  </si>
  <si>
    <t>Juan Carlos Alvarez Vergaray</t>
  </si>
  <si>
    <t>+51904125214</t>
  </si>
  <si>
    <t>Gloria Nelly Vila Canturin</t>
  </si>
  <si>
    <t>+51923220305</t>
  </si>
  <si>
    <t>Moises Collado</t>
  </si>
  <si>
    <t>+51947898069</t>
  </si>
  <si>
    <t>Maria Edelmira Rafael Moreno</t>
  </si>
  <si>
    <t>+51932552608</t>
  </si>
  <si>
    <t>Maximo Seminmario</t>
  </si>
  <si>
    <t>+51972333789</t>
  </si>
  <si>
    <t>Manuel Ruiz</t>
  </si>
  <si>
    <t>+51948854096</t>
  </si>
  <si>
    <t>Luis Huayanay Quispe</t>
  </si>
  <si>
    <t>+51993859060</t>
  </si>
  <si>
    <t>DICCIONARIO DE KPIs DEL CSO — QUÉ MIDE, FÓRMULA, FRECUENCIA Y ACCIÓN</t>
  </si>
  <si>
    <t>Bloque</t>
  </si>
  <si>
    <t>KPI</t>
  </si>
  <si>
    <t>Qué responde</t>
  </si>
  <si>
    <t>Fórmula conceptual</t>
  </si>
  <si>
    <t>Frecuencia</t>
  </si>
  <si>
    <t>Dueño / apoyo</t>
  </si>
  <si>
    <t>Acción si se desvía</t>
  </si>
  <si>
    <t>Resultado</t>
  </si>
  <si>
    <t>Alejandro Merino</t>
  </si>
  <si>
    <t>+51923743302</t>
  </si>
  <si>
    <t>Ventas S/</t>
  </si>
  <si>
    <t>¿Cuánto vendimos?</t>
  </si>
  <si>
    <t>SUMA precio de venta activo</t>
  </si>
  <si>
    <t>Diario</t>
  </si>
  <si>
    <t>Plan de cierre / acelerar pipeline</t>
  </si>
  <si>
    <t>Ventas netas S/</t>
  </si>
  <si>
    <t>¿Cuánto quedó después de cancelaciones?</t>
  </si>
  <si>
    <t>Ventas activas consolidadas</t>
  </si>
  <si>
    <t>Reducir caídas</t>
  </si>
  <si>
    <t>Unidades vendidas</t>
  </si>
  <si>
    <t>¿Cuántos lotes?</t>
  </si>
  <si>
    <t>COUNT ventas activas</t>
  </si>
  <si>
    <t>Activar motores de venta</t>
  </si>
  <si>
    <t>% cumplimiento meta</t>
  </si>
  <si>
    <t>¿Vamos sobre la meta?</t>
  </si>
  <si>
    <t>Venta real / meta</t>
  </si>
  <si>
    <t>Cerrar gap</t>
  </si>
  <si>
    <t>¿Dónde cerraremos?</t>
  </si>
  <si>
    <t>Venta real + pipeline ponderado</t>
  </si>
  <si>
    <t>Replanificar</t>
  </si>
  <si>
    <t>Rosa Saavedra Ramirez</t>
  </si>
  <si>
    <t>+51965011683</t>
  </si>
  <si>
    <t>Predictivo</t>
  </si>
  <si>
    <t>¿Cuánto hay cotizado?</t>
  </si>
  <si>
    <t>SUM oportunidades abiertas</t>
  </si>
  <si>
    <t>Generar cotizaciones</t>
  </si>
  <si>
    <t>Pipeline ponderado</t>
  </si>
  <si>
    <t>¿Cuánto probablemente cierre?</t>
  </si>
  <si>
    <t>SUM cotización × probabilidad</t>
  </si>
  <si>
    <t>Madurar oportunidades</t>
  </si>
  <si>
    <t>Cobertura pipeline</t>
  </si>
  <si>
    <t>¿Pipeline cubre el gap?</t>
  </si>
  <si>
    <t>Pipeline ponderado / gap pendiente</t>
  </si>
  <si>
    <t>Subir cobertura</t>
  </si>
  <si>
    <t>¿El CSO predice bien?</t>
  </si>
  <si>
    <t>1-|forecast-real|/real</t>
  </si>
  <si>
    <t>CSO/CIO</t>
  </si>
  <si>
    <t>Calibrar probabilidades</t>
  </si>
  <si>
    <t>Calidad</t>
  </si>
  <si>
    <t>Cash-in S/</t>
  </si>
  <si>
    <t>¿Cuánto dinero entra por ventas nuevas?</t>
  </si>
  <si>
    <t>Contado + iniciales cobradas</t>
  </si>
  <si>
    <t>CSO/CFO</t>
  </si>
  <si>
    <t>Subir inicial / contado</t>
  </si>
  <si>
    <t>¿Qué % de venta se convierte en caja?</t>
  </si>
  <si>
    <t>Cash-in / venta</t>
  </si>
  <si>
    <t>Cambiar mix/condiciones</t>
  </si>
  <si>
    <t>Inicial financiado %</t>
  </si>
  <si>
    <t>¿Qué tan fuerte entra el financiado?</t>
  </si>
  <si>
    <t>Inicial pagada / venta financiada</t>
  </si>
  <si>
    <t>Ajustar política inicial</t>
  </si>
  <si>
    <t>Frank Pariguana</t>
  </si>
  <si>
    <t>Descuento %</t>
  </si>
  <si>
    <t>+51923165430</t>
  </si>
  <si>
    <t>¿Cuánto precio cedemos?</t>
  </si>
  <si>
    <t>Descuento / precio lista</t>
  </si>
  <si>
    <t>Control autorizaciones</t>
  </si>
  <si>
    <t>¿Qué tanto cae la venta?</t>
  </si>
  <si>
    <t>Canceladas / ventas comerciales</t>
  </si>
  <si>
    <t>Revisar calificación/promesa</t>
  </si>
  <si>
    <t>¿Qué venta quedó realmente formalizada?</t>
  </si>
  <si>
    <t>S/ consolidado / S/ venta activa</t>
  </si>
  <si>
    <t>CSO/CLO/CFO</t>
  </si>
  <si>
    <t>Cerrar contrato/pago/docs</t>
  </si>
  <si>
    <t>FPD / mora temprana</t>
  </si>
  <si>
    <t>¿Qué ventas fallan en primeras cuotas?</t>
  </si>
  <si>
    <t>Financiados con mora temprana / financiados</t>
  </si>
  <si>
    <t>Revisar calidad de cierre</t>
  </si>
  <si>
    <t>¿Qué tan buena es la venta global?</t>
  </si>
  <si>
    <t>Cash-in+Inicial+Descuento+Cancelación+Consolidación</t>
  </si>
  <si>
    <t>CEO/CSO</t>
  </si>
  <si>
    <t>Intervenir componente rojo</t>
  </si>
  <si>
    <t>Mix</t>
  </si>
  <si>
    <t>% contado</t>
  </si>
  <si>
    <t>¿Cuánto vendemos al contado?</t>
  </si>
  <si>
    <t>Venta contado / venta total</t>
  </si>
  <si>
    <t>Optimizar mix</t>
  </si>
  <si>
    <t>% financiado</t>
  </si>
  <si>
    <t>¿Cuánto cartera generamos?</t>
  </si>
  <si>
    <t>Venta financiada / venta total</t>
  </si>
  <si>
    <t>Control riesgo/caja</t>
  </si>
  <si>
    <t>Precio</t>
  </si>
  <si>
    <t>Ticket promedio</t>
  </si>
  <si>
    <t>¿Valor medio por operación?</t>
  </si>
  <si>
    <t>Venta / operaciones</t>
  </si>
  <si>
    <t>Precio/upsell</t>
  </si>
  <si>
    <t>Alejandra Etelvina Quiquia Neyra</t>
  </si>
  <si>
    <t>Precio realizado vs lista</t>
  </si>
  <si>
    <t>¿Protegemos el precio?</t>
  </si>
  <si>
    <t>+51954751851</t>
  </si>
  <si>
    <t>Precio venta / precio lista</t>
  </si>
  <si>
    <t>CSO/Product</t>
  </si>
  <si>
    <t>Repricing / disciplina</t>
  </si>
  <si>
    <t>Inventario</t>
  </si>
  <si>
    <t>Absorción mensual</t>
  </si>
  <si>
    <t>¿Qué % de inventario vendemos al mes?</t>
  </si>
  <si>
    <t>Venta mensual promedio / inventario total</t>
  </si>
  <si>
    <t>Aumentar ritmo</t>
  </si>
  <si>
    <t>¿Cuánto tardamos en agotar stock?</t>
  </si>
  <si>
    <t>Stock restante / venta mensual promedio</t>
  </si>
  <si>
    <t>Cambiar precio/canales</t>
  </si>
  <si>
    <t>esta interesado en ir el domingo</t>
  </si>
  <si>
    <t>Aging &gt;90 días</t>
  </si>
  <si>
    <t>¿Qué lotes están estancados?</t>
  </si>
  <si>
    <t>COUNT disponibles &gt;90 días</t>
  </si>
  <si>
    <t>Plan unidades lentas</t>
  </si>
  <si>
    <t>¿Qué producto ni siquiera atrae?</t>
  </si>
  <si>
    <t>COUNT disponibles con 0 visitas</t>
  </si>
  <si>
    <t>Revisar exposición/oferta</t>
  </si>
  <si>
    <t>Contactabilidad</t>
  </si>
  <si>
    <t>¿Logramos hablar con los leads?</t>
  </si>
  <si>
    <t>Contactados / leads</t>
  </si>
  <si>
    <t>SLA y cadencia</t>
  </si>
  <si>
    <t>Cita por contacto</t>
  </si>
  <si>
    <t>¿Convertimos conversación en cita?</t>
  </si>
  <si>
    <t>Citas / contactados</t>
  </si>
  <si>
    <t>Script</t>
  </si>
  <si>
    <t>Visita por cita</t>
  </si>
  <si>
    <t>¿La gente asiste?</t>
  </si>
  <si>
    <t>Visitas / citas</t>
  </si>
  <si>
    <t>Confirmación/recordatorios</t>
  </si>
  <si>
    <t>Venta por visita</t>
  </si>
  <si>
    <t>¿Cerramos?</t>
  </si>
  <si>
    <t>Ventas / visitas</t>
  </si>
  <si>
    <t>Eleodoro Núñez Padilla</t>
  </si>
  <si>
    <t>+51975019604</t>
  </si>
  <si>
    <t>Tiempo respuesta</t>
  </si>
  <si>
    <t>¿Atendemos rápido?</t>
  </si>
  <si>
    <t>Promedio minutos lead→contacto</t>
  </si>
  <si>
    <t>CSO/CTO</t>
  </si>
  <si>
    <t>Automatizar SLA</t>
  </si>
  <si>
    <t>Equipo</t>
  </si>
  <si>
    <t>Venta por asesor</t>
  </si>
  <si>
    <t>¿Quién produce?</t>
  </si>
  <si>
    <t>Venta S/ por asesor</t>
  </si>
  <si>
    <t>Coaching / distribución leads</t>
  </si>
  <si>
    <t>Venta por lead</t>
  </si>
  <si>
    <t>¿Quién usa mejor los leads?</t>
  </si>
  <si>
    <t>Venta S/ / leads asignados</t>
  </si>
  <si>
    <t>Redistribuir leads</t>
  </si>
  <si>
    <t>¿Saturamos al equipo?</t>
  </si>
  <si>
    <t>Leads asignados / capacidad</t>
  </si>
  <si>
    <t>Contratar/rebalancear</t>
  </si>
  <si>
    <t>¿Cuántos cumplen?</t>
  </si>
  <si>
    <t>Asesores &gt;=100% meta / activos</t>
  </si>
  <si>
    <t>Coaching/ramp-up</t>
  </si>
  <si>
    <t>Índice calidad asesor</t>
  </si>
  <si>
    <t>¿Quién vende con calidad?</t>
  </si>
  <si>
    <t>Índice calidad por asesor</t>
  </si>
  <si>
    <t>Incentivos/coaching</t>
  </si>
  <si>
    <t>Eficiencia</t>
  </si>
  <si>
    <t>Gasto comercial / ventas</t>
  </si>
  <si>
    <t>¿Cuánto cuesta operar ventas?</t>
  </si>
  <si>
    <t>Gasto CSO / venta</t>
  </si>
  <si>
    <t>Reducir gasto improductivo</t>
  </si>
  <si>
    <t>charles</t>
  </si>
  <si>
    <t>+51947072184</t>
  </si>
  <si>
    <t>Venta por S/1 gasto</t>
  </si>
  <si>
    <t>¿Qué retorno bruto produce ventas?</t>
  </si>
  <si>
    <t>Venta / gasto CSO</t>
  </si>
  <si>
    <t>Reasignar gasto</t>
  </si>
  <si>
    <t>Cash-in por S/1 gasto</t>
  </si>
  <si>
    <t>¿La operación recupera caja?</t>
  </si>
  <si>
    <t>Cash-in / gasto CSO</t>
  </si>
  <si>
    <t>Mejorar cash-in</t>
  </si>
  <si>
    <t>CAC comercial</t>
  </si>
  <si>
    <t>¿Costo de convertir un cliente?</t>
  </si>
  <si>
    <t>Gasto CSO / clientes nuevos</t>
  </si>
  <si>
    <t>Productividad</t>
  </si>
  <si>
    <t>CAC marketing</t>
  </si>
  <si>
    <t>¿Costo de generar comprador?</t>
  </si>
  <si>
    <t>Gasto CMO / clientes nuevos atribuibles</t>
  </si>
  <si>
    <t>CMO/CFO</t>
  </si>
  <si>
    <t>Optimizar canales</t>
  </si>
  <si>
    <t>CAC blended</t>
  </si>
  <si>
    <t>¿Costo total adquisición?</t>
  </si>
  <si>
    <t>(CSO+CMO)/clientes nuevos</t>
  </si>
  <si>
    <t>CEO/CFO</t>
  </si>
  <si>
    <t>Reasignar capital</t>
  </si>
  <si>
    <t>Conversión evento</t>
  </si>
  <si>
    <t>¿El evento cierra?</t>
  </si>
  <si>
    <t>Ventas / asistentes</t>
  </si>
  <si>
    <t>Por evento</t>
  </si>
  <si>
    <t>Formato/closers</t>
  </si>
  <si>
    <t>ROI evento</t>
  </si>
  <si>
    <t>¿El evento crea beneficio?</t>
  </si>
  <si>
    <t>(Venta×margen - costo)/costo</t>
  </si>
  <si>
    <t>Repetir/parar</t>
  </si>
  <si>
    <t>Cash-in / costo evento</t>
  </si>
  <si>
    <t>¿Recupera caja?</t>
  </si>
  <si>
    <t>Cash-in evento / costo</t>
  </si>
  <si>
    <t>Optimizar</t>
  </si>
  <si>
    <t>Pipeline</t>
  </si>
  <si>
    <t>Aging pipeline &gt;30</t>
  </si>
  <si>
    <t>¿Cotizaciones envejecen?</t>
  </si>
  <si>
    <t>S/ oportunidades abiertas &gt;30 días</t>
  </si>
  <si>
    <t>Depurar/recuperar</t>
  </si>
  <si>
    <t>Pérdidas</t>
  </si>
  <si>
    <t>Motivo de pérdida</t>
  </si>
  <si>
    <t>¿Por qué no compran?</t>
  </si>
  <si>
    <t>COUNT por razón</t>
  </si>
  <si>
    <t>CSO/Product/CMO</t>
  </si>
  <si>
    <t>Corregir causa</t>
  </si>
  <si>
    <t>Plan</t>
  </si>
  <si>
    <t>Cobertura del plan mensual</t>
  </si>
  <si>
    <t>¿Los motores suman la meta?</t>
  </si>
  <si>
    <t>Venta planificada / meta</t>
  </si>
  <si>
    <t>Agregar motor/evento</t>
  </si>
  <si>
    <t>Capacidad comercial</t>
  </si>
  <si>
    <t>¿El equipo puede ejecutar?</t>
  </si>
  <si>
    <t>Meta de lotes vs capacidad equipo</t>
  </si>
  <si>
    <t>Contratar/capacitar</t>
  </si>
  <si>
    <t>Incentivos</t>
  </si>
  <si>
    <t>Comisión liberada</t>
  </si>
  <si>
    <t>¿La comisión premia venta consolidada?</t>
  </si>
  <si>
    <t>% comisión pagada solo al consolidar</t>
  </si>
  <si>
    <t>Alinear comisión con calidad</t>
  </si>
  <si>
    <t>Raquel Pozo Martinez</t>
  </si>
  <si>
    <t>Clawback</t>
  </si>
  <si>
    <t>¿Recuperamos comisión si la venta cae?</t>
  </si>
  <si>
    <t>+51980800630</t>
  </si>
  <si>
    <t>Comisión revertida por cancelación</t>
  </si>
  <si>
    <t>Evitar cierre de baja calidad</t>
  </si>
  <si>
    <t>Riesgo</t>
  </si>
  <si>
    <t>Concentración comercial</t>
  </si>
  <si>
    <t>¿Dependemos de pocos asesores/canales?</t>
  </si>
  <si>
    <t>% ventas top 1/top 3 asesor o canal</t>
  </si>
  <si>
    <t>Diversificar capacidad</t>
  </si>
  <si>
    <t>Sara Zamora</t>
  </si>
  <si>
    <t>+51979136017</t>
  </si>
  <si>
    <t>Benicio Felipe Bravo Rosales</t>
  </si>
  <si>
    <t>+34625181068</t>
  </si>
  <si>
    <t>segundo briseño teran tejada</t>
  </si>
  <si>
    <t>+51966558266</t>
  </si>
  <si>
    <t>Maximo Rivaelesl</t>
  </si>
  <si>
    <t>+51961696250</t>
  </si>
  <si>
    <t>Lidia Manuela Terrones Monzón</t>
  </si>
  <si>
    <t>+51945369236</t>
  </si>
  <si>
    <t>Elias Pino</t>
  </si>
  <si>
    <t>+51993270534</t>
  </si>
  <si>
    <t>Edith rosa murga juarez</t>
  </si>
  <si>
    <t>+51923076987</t>
  </si>
  <si>
    <t>Willy Castillo</t>
  </si>
  <si>
    <t>+51996510071</t>
  </si>
  <si>
    <t>Pascual Valer Huamani</t>
  </si>
  <si>
    <t>+51982101708</t>
  </si>
  <si>
    <t>Ap Romero</t>
  </si>
  <si>
    <t>+51900394695</t>
  </si>
  <si>
    <t>Eduardo Campos Alvarado</t>
  </si>
  <si>
    <t>Benny Delgado V de mi enargas</t>
  </si>
  <si>
    <t>+51987304119</t>
  </si>
  <si>
    <t>ThOny</t>
  </si>
  <si>
    <t>+51969348078</t>
  </si>
  <si>
    <t>Exactamente. Antes de crear el dashboard, necesitamos definir el “contrato de resultados” entre tú, como CEO, y cada C-Level.</t>
  </si>
  <si>
    <t>La lógica que usaría es esta:</t>
  </si>
  <si>
    <t>El CEO no dirige tareas. Dirige resultados, prioridades, recursos, límites y decisiones.</t>
  </si>
  <si>
    <t>Cada responsable debería tener claro cinco cosas:</t>
  </si>
  <si>
    <t>1. Qué resultado final espero de ti.</t>
  </si>
  <si>
    <t>2. Cómo voy a medirlo.</t>
  </si>
  <si>
    <t>3. Qué indicadores me anticipan si vas a lograrlo.</t>
  </si>
  <si>
    <t>Pabls Aranguez</t>
  </si>
  <si>
    <t>4. Qué riesgos debes controlar.</t>
  </si>
  <si>
    <t>5. Qué necesitas recibir del CEO para poder cumplir.</t>
  </si>
  <si>
    <t>+51920552839</t>
  </si>
  <si>
    <t>Voy a asumir, como veníamos trabajando, CCO = Chief Customer Officer y CSIO = Chief Strategy &amp; Innovation Officer.</t>
  </si>
  <si>
    <t>1. La arquitectura completa</t>
  </si>
  <si>
    <t>Tu empresa podría verse así:</t>
  </si>
  <si>
    <t>CEO</t>
  </si>
  <si>
    <t>Dirección + capital + resultados</t>
  </si>
  <si>
    <t>│</t>
  </si>
  <si>
    <t>┌─────────────┴─────────────┐</t>
  </si>
  <si>
    <t>│                           │</t>
  </si>
  <si>
    <t>CSIO                   PRODUCT MANAGER</t>
  </si>
  <si>
    <t>Estrategia / futuro          Producto / oferta</t>
  </si>
  <si>
    <t>└─────────────┬─────────────┘</t>
  </si>
  <si>
    <t>↓</t>
  </si>
  <si>
    <t>Generación demanda</t>
  </si>
  <si>
    <t>Huber Salgado Rios</t>
  </si>
  <si>
    <t>+51918602185</t>
  </si>
  <si>
    <t>Conversión</t>
  </si>
  <si>
    <t>┌────────┴────────┐</t>
  </si>
  <si>
    <t>↓                 ↓</t>
  </si>
  <si>
    <t>CFO               CLO</t>
  </si>
  <si>
    <t>Dinero / caja      Legal / riesgo</t>
  </si>
  <si>
    <t>│                 │</t>
  </si>
  <si>
    <t>└────────┬────────┘</t>
  </si>
  <si>
    <t>Esta trabajando. llamar a las 8pm 14 agos.</t>
  </si>
  <si>
    <t>COO</t>
  </si>
  <si>
    <t>Ejecución proyecto</t>
  </si>
  <si>
    <t>CCO</t>
  </si>
  <si>
    <t>Experiencia del cliente</t>
  </si>
  <si>
    <t>Cliente final</t>
  </si>
  <si>
    <t>Y atravesando toda la compañía:</t>
  </si>
  <si>
    <t>CHRO → Personas</t>
  </si>
  <si>
    <t>CTO  → Tecnología</t>
  </si>
  <si>
    <t>CIO  → Datos e información</t>
  </si>
  <si>
    <t>Carlos Canturin</t>
  </si>
  <si>
    <t>Ahora vamos a definir qué debes exigirle a cada uno.</t>
  </si>
  <si>
    <t>+51912481059</t>
  </si>
  <si>
    <t>2. CEO — TU PROPIO RESULTADO</t>
  </si>
  <si>
    <t>Tu responsabilidad no es vender, hacer marketing, revisar contratos o supervisar obras.</t>
  </si>
  <si>
    <t>Tu responsabilidad es:</t>
  </si>
  <si>
    <t>Aumentar el valor de la empresa de forma rentable y sostenible.</t>
  </si>
  <si>
    <t>Tus grandes indicadores deberían ser:</t>
  </si>
  <si>
    <t>KPI CEO</t>
  </si>
  <si>
    <t>Pregunta que responde</t>
  </si>
  <si>
    <t>¿Estamos creciendo?</t>
  </si>
  <si>
    <t>Ventas netas</t>
  </si>
  <si>
    <t>¿Las ventas realmente se consolidan?</t>
  </si>
  <si>
    <t>Cobranza</t>
  </si>
  <si>
    <t>¿La venta se convierte en dinero?</t>
  </si>
  <si>
    <t>Margen bruto</t>
  </si>
  <si>
    <t>¿El negocio inmobiliario es rentable?</t>
  </si>
  <si>
    <t>EBITDA</t>
  </si>
  <si>
    <t>¿La operación genera beneficio?</t>
  </si>
  <si>
    <t>Utilidad neta</t>
  </si>
  <si>
    <t>¿Cuánto termina ganando la empresa?</t>
  </si>
  <si>
    <t>Caja</t>
  </si>
  <si>
    <t>¿Tenemos liquidez?</t>
  </si>
  <si>
    <t>Joseph Curi</t>
  </si>
  <si>
    <t>Forecast de caja</t>
  </si>
  <si>
    <t>¿Tendremos liquidez?</t>
  </si>
  <si>
    <t>+51941024280</t>
  </si>
  <si>
    <t>¿Cuánto capital tenemos inmovilizado?</t>
  </si>
  <si>
    <t>Velocidad de venta</t>
  </si>
  <si>
    <t>¿Qué tan rápido monetizamos inventario?</t>
  </si>
  <si>
    <t>ROIC / retorno sobre capital</t>
  </si>
  <si>
    <t>¿Estamos utilizando bien nuestro capital?</t>
  </si>
  <si>
    <t>Riesgos críticos</t>
  </si>
  <si>
    <t>¿Qué podría golpearnos?</t>
  </si>
  <si>
    <t>Forecast ventas</t>
  </si>
  <si>
    <t>¿Dónde terminaremos?</t>
  </si>
  <si>
    <t>Forecast utilidad</t>
  </si>
  <si>
    <t>¿Cuánto vamos a ganar?</t>
  </si>
  <si>
    <t>Pero tú no produces directamente esos números.</t>
  </si>
  <si>
    <t>esta descansando. llamar 14/08 14pm</t>
  </si>
  <si>
    <t>Tus C-Level los producen.</t>
  </si>
  <si>
    <t>3. CSO — CHIEF SALES OFFICER</t>
  </si>
  <si>
    <t>¿Qué compras tú del CSO?</t>
  </si>
  <si>
    <t>Ventas rentables, predecibles y sostenibles.</t>
  </si>
  <si>
    <t>No quieres simplemente vendedores ocupados.</t>
  </si>
  <si>
    <t>Quieres conversión.</t>
  </si>
  <si>
    <t>KPI de resultado</t>
  </si>
  <si>
    <t>Qué debes observar</t>
  </si>
  <si>
    <t>Meta vs real</t>
  </si>
  <si>
    <t>Descontando anulaciones</t>
  </si>
  <si>
    <t>Cantidad vendida</t>
  </si>
  <si>
    <t>JOSE LUIS</t>
  </si>
  <si>
    <t>S/ por operación</t>
  </si>
  <si>
    <t>+51982010517</t>
  </si>
  <si>
    <t>Dónde terminará el mes</t>
  </si>
  <si>
    <t>Ventas potenciales</t>
  </si>
  <si>
    <t>Calidad de ventas</t>
  </si>
  <si>
    <t>Inventario vendido/periodo</t>
  </si>
  <si>
    <t>Indicadores predictivos</t>
  </si>
  <si>
    <t>Estos son incluso más importantes semanalmente:</t>
  </si>
  <si>
    <t>contactos efectivos;</t>
  </si>
  <si>
    <t>citas;</t>
  </si>
  <si>
    <t>presentaciones;</t>
  </si>
  <si>
    <t>visitas;</t>
  </si>
  <si>
    <t>propuestas;</t>
  </si>
  <si>
    <t>separaciones;</t>
  </si>
  <si>
    <t>pipeline;</t>
  </si>
  <si>
    <t>cobertura de pipeline;</t>
  </si>
  <si>
    <t>conversión por etapa;</t>
  </si>
  <si>
    <t>Por ejemplo:</t>
  </si>
  <si>
    <t>Si la meta restante es S/1M y tienes apenas S/500K de pipeline serio, ya sabes que probablemente vas a fallar antes de terminar el mes.</t>
  </si>
  <si>
    <t>Lucia Rosales</t>
  </si>
  <si>
    <t>¿Cómo debes dirigir al CSO?</t>
  </si>
  <si>
    <t>+51966653997</t>
  </si>
  <si>
    <t>No:</t>
  </si>
  <si>
    <t>“Llama más.”</t>
  </si>
  <si>
    <t>Sí:</t>
  </si>
  <si>
    <t>“La meta es S/3M. El forecast está en S/2.6M. Tenemos un gap de S/400K. Necesito tu plan para cerrar ese gap y saber qué etapa del embudo debemos incrementar.”</t>
  </si>
  <si>
    <t>¿Qué debes entregarle?</t>
  </si>
  <si>
    <t>Meta comercial.</t>
  </si>
  <si>
    <t>Producto autorizado.</t>
  </si>
  <si>
    <t>Pricing.</t>
  </si>
  <si>
    <t>Política de descuentos.</t>
  </si>
  <si>
    <t>Presupuesto/comisiones.</t>
  </si>
  <si>
    <t>Cantidad esperada de demanda.</t>
  </si>
  <si>
    <t>Inventario disponible.</t>
  </si>
  <si>
    <t>Prioridades por proyecto.</t>
  </si>
  <si>
    <t>4. CMO — CHIEF MARKETING OFFICER</t>
  </si>
  <si>
    <t>¿Qué compras del CMO?</t>
  </si>
  <si>
    <t>Demanda calificada a un costo rentable.</t>
  </si>
  <si>
    <t>No compras seguidores.</t>
  </si>
  <si>
    <t>No compras alcance.</t>
  </si>
  <si>
    <t>Ni siquiera compras simplemente leads.</t>
  </si>
  <si>
    <t>Roberto Navarro</t>
  </si>
  <si>
    <t>Compras oportunidades de negocio.</t>
  </si>
  <si>
    <t>+51994503085</t>
  </si>
  <si>
    <t>Qué significa</t>
  </si>
  <si>
    <t>Leads calificados</t>
  </si>
  <si>
    <t>Demanda útil</t>
  </si>
  <si>
    <t>CAC</t>
  </si>
  <si>
    <t>Costo por comprador</t>
  </si>
  <si>
    <t>Pipeline generado</t>
  </si>
  <si>
    <t>Dinero potencial originado por marketing</t>
  </si>
  <si>
    <t>Ventas atribuidas</t>
  </si>
  <si>
    <t>Ventas originadas por marketing</t>
  </si>
  <si>
    <t>Facturación atribuida</t>
  </si>
  <si>
    <t>S/ generados</t>
  </si>
  <si>
    <t>Margen atribuible</t>
  </si>
  <si>
    <t>Rentabilidad real</t>
  </si>
  <si>
    <t>ROAS / ROMI</t>
  </si>
  <si>
    <t>Retorno</t>
  </si>
  <si>
    <t>CPL calificado</t>
  </si>
  <si>
    <t>Predictivos</t>
  </si>
  <si>
    <t>CTR;</t>
  </si>
  <si>
    <t>tasa landing;</t>
  </si>
  <si>
    <t>CPL;</t>
  </si>
  <si>
    <t>tasa de lead calificado;</t>
  </si>
  <si>
    <t>citas generadas;</t>
  </si>
  <si>
    <t>costo por cita;</t>
  </si>
  <si>
    <t>costo por visita;</t>
  </si>
  <si>
    <t>calidad por canal;</t>
  </si>
  <si>
    <t>frecuencia;</t>
  </si>
  <si>
    <t>saturación creativa;</t>
  </si>
  <si>
    <t>tiempo lead → contacto.</t>
  </si>
  <si>
    <t>Cómo dirigirlo</t>
  </si>
  <si>
    <t>Nunca:</t>
  </si>
  <si>
    <t>“Quiero 5,000 leads.”</t>
  </si>
  <si>
    <t>Lorenzo luis Rabelo carhuapoma</t>
  </si>
  <si>
    <t>Mejor:</t>
  </si>
  <si>
    <t>+51931170025</t>
  </si>
  <si>
    <t>“Necesito generar suficiente demanda calificada para soportar S/3M mensuales con un CAC máximo de S/X.”</t>
  </si>
  <si>
    <t>Esto alinea CMO con CSO.</t>
  </si>
  <si>
    <t>Qué debes entregarle</t>
  </si>
  <si>
    <t>Meta de ventas.</t>
  </si>
  <si>
    <t>Presupuesto.</t>
  </si>
  <si>
    <t>Cliente objetivo.</t>
  </si>
  <si>
    <t>Producto.</t>
  </si>
  <si>
    <t>Precio.</t>
  </si>
  <si>
    <t>Inventario.</t>
  </si>
  <si>
    <t>Objetivo CAC.</t>
  </si>
  <si>
    <t>Posicionamiento estratégico.</t>
  </si>
  <si>
    <t>5. CMO + CSO DEBEN COMPARTIR UNA MÉTRICA</t>
  </si>
  <si>
    <t>Este punto es fundamental.</t>
  </si>
  <si>
    <t>Pipeline comercial generado.</t>
  </si>
  <si>
    <t>Porque así desaparece la pelea clásica:</t>
  </si>
  <si>
    <t>CMO:</t>
  </si>
  <si>
    <t>“Marketing entrega buenos leads.”</t>
  </si>
  <si>
    <t>CSO:</t>
  </si>
  <si>
    <t>“Los leads son malos.”</t>
  </si>
  <si>
    <t>El dato resuelve la discusión.</t>
  </si>
  <si>
    <t>Ejemplo:</t>
  </si>
  <si>
    <t>Canal</t>
  </si>
  <si>
    <t>S/900</t>
  </si>
  <si>
    <t>S/2.4M</t>
  </si>
  <si>
    <t>TikTok</t>
  </si>
  <si>
    <t>S/1,800</t>
  </si>
  <si>
    <t>S/500K</t>
  </si>
  <si>
    <t>Referidos</t>
  </si>
  <si>
    <t>S/300</t>
  </si>
  <si>
    <t>S/1.1M</t>
  </si>
  <si>
    <t>Ahora puedes asignar capital racionalmente.</t>
  </si>
  <si>
    <t>6. CFO — CHIEF FINANCIAL OFFICER</t>
  </si>
  <si>
    <t>¿Qué compras del CFO?</t>
  </si>
  <si>
    <t>Rentabilidad + liquidez + control financiero.</t>
  </si>
  <si>
    <t>El CSO te puede hacer millonario en Excel y el CFO quebrarte en caja si las cosas no están ordenadas.</t>
  </si>
  <si>
    <t>Y para el CFO</t>
  </si>
  <si>
    <t>Rumaldo Arce</t>
  </si>
  <si>
    <t>+51934467367</t>
  </si>
  <si>
    <t>KPI principales</t>
  </si>
  <si>
    <t>El CFO debería tener una visión más profunda:</t>
  </si>
  <si>
    <t>Qué observas</t>
  </si>
  <si>
    <t>Ingresos</t>
  </si>
  <si>
    <t>Reconocimiento financiero</t>
  </si>
  <si>
    <t>Presupuesto vs real por centro de costo por cada area</t>
  </si>
  <si>
    <t>Rentabilidad producto</t>
  </si>
  <si>
    <t>Margen operativo</t>
  </si>
  <si>
    <t>Rentabilidad operación</t>
  </si>
  <si>
    <t>Salud operativa</t>
  </si>
  <si>
    <t>Beneficio final</t>
  </si>
  <si>
    <t>Centro de costo</t>
  </si>
  <si>
    <t>Variación</t>
  </si>
  <si>
    <t>Caja disponible</t>
  </si>
  <si>
    <t>Liquidez actual</t>
  </si>
  <si>
    <t>S/80K</t>
  </si>
  <si>
    <t>S/70K</t>
  </si>
  <si>
    <t>-S/10K</t>
  </si>
  <si>
    <t>Forecast 13 semanas</t>
  </si>
  <si>
    <t>Liquidez futura</t>
  </si>
  <si>
    <t>S/40K</t>
  </si>
  <si>
    <t>S/45K</t>
  </si>
  <si>
    <t>Conversión ventas → efectivo</t>
  </si>
  <si>
    <t>S/150K</t>
  </si>
  <si>
    <t>S/165K</t>
  </si>
  <si>
    <t>Morosidad</t>
  </si>
  <si>
    <t>Riesgo cartera</t>
  </si>
  <si>
    <t>CLO</t>
  </si>
  <si>
    <t>S/25K</t>
  </si>
  <si>
    <t>S/22K</t>
  </si>
  <si>
    <t>-S/3K</t>
  </si>
  <si>
    <t>Cuentas por pagar</t>
  </si>
  <si>
    <t>Obligaciones</t>
  </si>
  <si>
    <t>Administración</t>
  </si>
  <si>
    <t>S/60K</t>
  </si>
  <si>
    <t>S/58K</t>
  </si>
  <si>
    <t>-S/2K</t>
  </si>
  <si>
    <t>Deuda</t>
  </si>
  <si>
    <t>Apalancamiento</t>
  </si>
  <si>
    <t>Presupuesto vs real</t>
  </si>
  <si>
    <t>Disciplina</t>
  </si>
  <si>
    <t>El CFO controla:</t>
  </si>
  <si>
    <t>Burn rate</t>
  </si>
  <si>
    <t>Consumo de caja</t>
  </si>
  <si>
    <t>Para inmobiliaria añadiría</t>
  </si>
  <si>
    <t>qué se gastó, dónde, contra qué presupuesto y cómo afecta EBITDA/caja.</t>
  </si>
  <si>
    <t>Venta contratada vs cobrada.</t>
  </si>
  <si>
    <t>Saldo de cartera.</t>
  </si>
  <si>
    <t>Cuotas esperadas vs cobradas.</t>
  </si>
  <si>
    <t>Cartera 30/60/90 días.</t>
  </si>
  <si>
    <t>Margen por proyecto.</t>
  </si>
  <si>
    <t>Margen por unidad.</t>
  </si>
  <si>
    <t>Cómo dirigir al CFO</t>
  </si>
  <si>
    <t>Tu pregunta no debería ser:</t>
  </si>
  <si>
    <t>“¿Cuánto dinero tenemos?”</t>
  </si>
  <si>
    <t>Sino:</t>
  </si>
  <si>
    <t>“¿Cuál será nuestro punto mínimo de caja durante las próximas 13 semanas y qué escenarios podrían modificarlo?”</t>
  </si>
  <si>
    <t>Y también:</t>
  </si>
  <si>
    <t>“¿Dónde estamos destruyendo margen?”</t>
  </si>
  <si>
    <t>Presupuesto aprobado.</t>
  </si>
  <si>
    <t>Plan comercial.</t>
  </si>
  <si>
    <t>Plan de inversiones.</t>
  </si>
  <si>
    <t>Política de endeudamiento.</t>
  </si>
  <si>
    <t>Nivel mínimo de caja.</t>
  </si>
  <si>
    <t>Retorno mínimo esperado.</t>
  </si>
  <si>
    <t>Reglas de gasto y aprobación.</t>
  </si>
  <si>
    <t>7. COO — CHIEF OPERATING OFFICER</t>
  </si>
  <si>
    <t>¿Qué compras del COO?</t>
  </si>
  <si>
    <t>Cumplimiento de lo prometido, a tiempo y dentro del costo.</t>
  </si>
  <si>
    <t>KPIs</t>
  </si>
  <si>
    <t>% avance físico vs plan</t>
  </si>
  <si>
    <t>Cumplimiento</t>
  </si>
  <si>
    <t>% avance financiero</t>
  </si>
  <si>
    <t>Consumo presupuesto</t>
  </si>
  <si>
    <t>Desviación presupuesto</t>
  </si>
  <si>
    <t>Sobrecosto</t>
  </si>
  <si>
    <t>EAC</t>
  </si>
  <si>
    <t>Costo final proyectado</t>
  </si>
  <si>
    <t>Días atraso</t>
  </si>
  <si>
    <t>Cronograma</t>
  </si>
  <si>
    <t>Hitos cumplidos</t>
  </si>
  <si>
    <t>Ejecución</t>
  </si>
  <si>
    <t>Entregas a tiempo</t>
  </si>
  <si>
    <t>Cumplimiento cliente</t>
  </si>
  <si>
    <t>Reprocesos</t>
  </si>
  <si>
    <t>Incidencias</t>
  </si>
  <si>
    <t>Productividad proveedores</t>
  </si>
  <si>
    <t>Inventario habilitado</t>
  </si>
  <si>
    <t>EAC = Estimate at Completion debería ser uno de tus favoritos.</t>
  </si>
  <si>
    <t>“Hemos gastado S/2M.”</t>
  </si>
  <si>
    <t>“Al ritmo actual el proyecto que presupuestamos en S/4M terminará costando S/4.6M.”</t>
  </si>
  <si>
    <t>Ahí puedes actuar.</t>
  </si>
  <si>
    <t>Cómo dirigir al COO</t>
  </si>
  <si>
    <t>“Necesito fecha, costo y calidad. Si alguno va a desviarse quiero enterarme antes, no después.”</t>
  </si>
  <si>
    <t>Qué debes darle</t>
  </si>
  <si>
    <t>Alcance aprobado.</t>
  </si>
  <si>
    <t>Cronograma maestro.</t>
  </si>
  <si>
    <t>Nivel de calidad.</t>
  </si>
  <si>
    <t>Prioridades.</t>
  </si>
  <si>
    <t>Autoridad sobre proveedores.</t>
  </si>
  <si>
    <t>Flujo de fondos coordinado con CFO.</t>
  </si>
  <si>
    <t>8. CLO — CHIEF LEGAL OFFICER</t>
  </si>
  <si>
    <t>¿Qué compras del CLO?</t>
  </si>
  <si>
    <t>Seguridad jurídica y velocidad legal.</t>
  </si>
  <si>
    <t>No quieres un abogado que simplemente diga:</t>
  </si>
  <si>
    <t>“Eso es riesgoso.”</t>
  </si>
  <si>
    <t>Quieres:</t>
  </si>
  <si>
    <t>“Este es el riesgo, esta es la exposición y estas son nuestras tres alternativas.”</t>
  </si>
  <si>
    <t>Rosalina Vilcapoma Mateo</t>
  </si>
  <si>
    <t>Proyectos legalmente habilitados</t>
  </si>
  <si>
    <t>Contingencias críticas</t>
  </si>
  <si>
    <t>Exposición económica</t>
  </si>
  <si>
    <t>S/ en riesgo</t>
  </si>
  <si>
    <t>Contratos pendientes</t>
  </si>
  <si>
    <t>Velocidad</t>
  </si>
  <si>
    <t>Tiempo de contrato</t>
  </si>
  <si>
    <t>+51990385690</t>
  </si>
  <si>
    <t>Contratos observados</t>
  </si>
  <si>
    <t>Litigios</t>
  </si>
  <si>
    <t>Permisos/licencias pendientes</t>
  </si>
  <si>
    <t>Desarrollo</t>
  </si>
  <si>
    <t>Títulos/independizaciones</t>
  </si>
  <si>
    <t>Formalización</t>
  </si>
  <si>
    <t>Reclamos legales</t>
  </si>
  <si>
    <t>Salud</t>
  </si>
  <si>
    <t>Especialmente:</t>
  </si>
  <si>
    <t>Exposición económica legal.</t>
  </si>
  <si>
    <t>Problema A afecta potencialmente S/3.4M de contratos.</t>
  </si>
  <si>
    <t>Eso sí te interesa como CEO.</t>
  </si>
  <si>
    <t>No le pidas eliminar todo riesgo.</t>
  </si>
  <si>
    <t>Eso paralizaría la empresa.</t>
  </si>
  <si>
    <t>Pídele:</t>
  </si>
  <si>
    <t>Identificar, cuantificar, mitigar y comunicar riesgos.</t>
  </si>
  <si>
    <t>Apetito de riesgo.</t>
  </si>
  <si>
    <t>Prioridades de proyectos.</t>
  </si>
  <si>
    <t>Plazos.</t>
  </si>
  <si>
    <t>Estructura comercial.</t>
  </si>
  <si>
    <t>Operaciones propuestas.</t>
  </si>
  <si>
    <t>Acceso temprano a decisiones importantes.</t>
  </si>
  <si>
    <t>9. PRODUCT MANAGER</t>
  </si>
  <si>
    <t>Aquí tienes una función extremadamente importante.</t>
  </si>
  <si>
    <t>¿Qué compras del Product Manager?</t>
  </si>
  <si>
    <t>El producto inmobiliario correcto para el mercado correcto con el margen correcto.</t>
  </si>
  <si>
    <t>Qué mide</t>
  </si>
  <si>
    <t>Absorción</t>
  </si>
  <si>
    <t>Velocidad mercado</t>
  </si>
  <si>
    <t>Inventario disponible</t>
  </si>
  <si>
    <t>Stock</t>
  </si>
  <si>
    <t>Salud producto</t>
  </si>
  <si>
    <t>Ticket</t>
  </si>
  <si>
    <t>Precio m²</t>
  </si>
  <si>
    <t>Monetización</t>
  </si>
  <si>
    <t>Presión comercial</t>
  </si>
  <si>
    <t>Margen contribución</t>
  </si>
  <si>
    <t>Rentabilidad</t>
  </si>
  <si>
    <t>Conversión por tipología</t>
  </si>
  <si>
    <t>Aceptación</t>
  </si>
  <si>
    <t>Velocidad por etapa</t>
  </si>
  <si>
    <t>Unidades estancadas</t>
  </si>
  <si>
    <t>Problema producto</t>
  </si>
  <si>
    <t>Pricing vs mercado</t>
  </si>
  <si>
    <t>Posicionamiento</t>
  </si>
  <si>
    <t>Forecast agotamiento</t>
  </si>
  <si>
    <t>Planeamiento</t>
  </si>
  <si>
    <t>También:</t>
  </si>
  <si>
    <t>Ronaldo Enrique Yeren Tamarrilla</t>
  </si>
  <si>
    <t>qué lotes se venden primero;</t>
  </si>
  <si>
    <t>cuáles no se venden;</t>
  </si>
  <si>
    <t>por qué;</t>
  </si>
  <si>
    <t>qué características generan mayor conversión.</t>
  </si>
  <si>
    <t>+51904655734</t>
  </si>
  <si>
    <t>“No quiero solamente un producto bonito. Quiero uno vendible, rentable y ejecutable.”</t>
  </si>
  <si>
    <t>Product Manager tiene que escuchar:</t>
  </si>
  <si>
    <t>CMO → qué atrae.</t>
  </si>
  <si>
    <t>CSO → qué compra y objeta el mercado.</t>
  </si>
  <si>
    <t>CCO → qué valora el cliente.</t>
  </si>
  <si>
    <t>COO → qué podemos ejecutar.</t>
  </si>
  <si>
    <t>CFO → qué deja margen.</t>
  </si>
  <si>
    <t>CLO → qué se puede ofrecer legalmente.</t>
  </si>
  <si>
    <t>Estrategia.</t>
  </si>
  <si>
    <t>Rentabilidad mínima.</t>
  </si>
  <si>
    <t>Segmento.</t>
  </si>
  <si>
    <t>Capital disponible.</t>
  </si>
  <si>
    <t>Objetivos de absorción.</t>
  </si>
  <si>
    <t>Posicionamiento.</t>
  </si>
  <si>
    <t>10. CCO — CHIEF CUSTOMER OFFICER</t>
  </si>
  <si>
    <t>¿Qué compras del CCO?</t>
  </si>
  <si>
    <t>Clientes satisfechos que pagan, recompran y recomiendan.</t>
  </si>
  <si>
    <t>NPS;</t>
  </si>
  <si>
    <t>satisfacción;</t>
  </si>
  <si>
    <t>reclamos;</t>
  </si>
  <si>
    <t>tiempo resolución;</t>
  </si>
  <si>
    <t>onboarding completado;</t>
  </si>
  <si>
    <t>comunicación de avance;</t>
  </si>
  <si>
    <t>referidos;</t>
  </si>
  <si>
    <t>recompras;</t>
  </si>
  <si>
    <t>tasa de respuesta;</t>
  </si>
  <si>
    <t>incidentes de experiencia;</t>
  </si>
  <si>
    <t>cancelaciones relacionadas con servicio.</t>
  </si>
  <si>
    <t>Una métrica inmobiliaria que me gusta:</t>
  </si>
  <si>
    <t>% clientes informados correctamente sobre avance del proyecto.</t>
  </si>
  <si>
    <t>Porque mucho conflicto inmobiliario nace del silencio.</t>
  </si>
  <si>
    <t>“Quiero que el cliente sepa qué está ocurriendo incluso cuando todavía no tenga que preguntarnos.”</t>
  </si>
  <si>
    <t>Qué le entregas</t>
  </si>
  <si>
    <t>Promesa de marca.</t>
  </si>
  <si>
    <t>Estándares de servicio.</t>
  </si>
  <si>
    <t>Información validada por COO/CLO/CFO.</t>
  </si>
  <si>
    <t>Políticas de resolución.</t>
  </si>
  <si>
    <t>Autoridad para solucionar determinados casos.</t>
  </si>
  <si>
    <t>11. CHRO — CHIEF HUMAN RESOURCES OFFICER</t>
  </si>
  <si>
    <t>¿Qué compras del CHRO?</t>
  </si>
  <si>
    <t>Capacidad organizacional.</t>
  </si>
  <si>
    <t>En palabras simples:</t>
  </si>
  <si>
    <t>Rafael Apaza Roca</t>
  </si>
  <si>
    <t>tener la cantidad correcta de personas, con la capacidad correcta, en los puestos correctos.</t>
  </si>
  <si>
    <t>+51983477928</t>
  </si>
  <si>
    <t>Propósito</t>
  </si>
  <si>
    <t>Headcount real vs plan</t>
  </si>
  <si>
    <t>Rotación</t>
  </si>
  <si>
    <t>Retención</t>
  </si>
  <si>
    <t>Rotación talento clave</t>
  </si>
  <si>
    <t>Time to hire</t>
  </si>
  <si>
    <t>Time to productivity</t>
  </si>
  <si>
    <t>Calidad contratación</t>
  </si>
  <si>
    <t>Revenue/empleado</t>
  </si>
  <si>
    <t>Costo personal/ventas</t>
  </si>
  <si>
    <t>% cumplimiento objetivos</t>
  </si>
  <si>
    <t>Performance</t>
  </si>
  <si>
    <t>Ausentismo</t>
  </si>
  <si>
    <t>Formación completada</t>
  </si>
  <si>
    <t>Para vendedores añadiría:</t>
  </si>
  <si>
    <t>Tiempo para convertir un asesor nuevo en productivo.</t>
  </si>
  <si>
    <t>Si hoy tarda 120 días y CHRO + CSO lo llevan a 60, tienes una enorme ventaja.</t>
  </si>
  <si>
    <t>“Contrata 20 personas.”</t>
  </si>
  <si>
    <t>“Necesitamos capacidad para soportar S/5M de ventas mensuales. Determina cuántas personas necesitamos, qué perfiles y cuándo deben estar productivas.”</t>
  </si>
  <si>
    <t>Sofía Esperanza Huallpa Santa Cruz</t>
  </si>
  <si>
    <t>Plan de crecimiento.</t>
  </si>
  <si>
    <t>Organigrama objetivo.</t>
  </si>
  <si>
    <t>Presupuesto de personal.</t>
  </si>
  <si>
    <t>Cultura.</t>
  </si>
  <si>
    <t>Sistema de compensación.</t>
  </si>
  <si>
    <t>Perfiles críticos.</t>
  </si>
  <si>
    <t>12. CTO — CHIEF TECHNOLOGY OFFICER</t>
  </si>
  <si>
    <t>+51944575852</t>
  </si>
  <si>
    <t>¿Qué compras del CTO?</t>
  </si>
  <si>
    <t>Escalabilidad tecnológica.</t>
  </si>
  <si>
    <t>Quiero que la empresa pueda duplicar operaciones sin duplicar burocracia.</t>
  </si>
  <si>
    <t>disponibilidad sistemas;</t>
  </si>
  <si>
    <t>incidencias;</t>
  </si>
  <si>
    <t>CRM adoption;</t>
  </si>
  <si>
    <t>automatizaciones;</t>
  </si>
  <si>
    <t>procesos automatizados;</t>
  </si>
  <si>
    <t>integraciones;</t>
  </si>
  <si>
    <t>errores de integración;</t>
  </si>
  <si>
    <t>costo tecnológico por operación;</t>
  </si>
  <si>
    <t>tiempo ahorrado;</t>
  </si>
  <si>
    <t>seguridad tecnológica;</t>
  </si>
  <si>
    <t>deuda tecnológica.</t>
  </si>
  <si>
    <t>Una métrica poderosa:</t>
  </si>
  <si>
    <t>% de procesos críticos automatizados.</t>
  </si>
  <si>
    <t>Lead → CRM → asignación → seguimiento → venta → contrato → cobranza.</t>
  </si>
  <si>
    <t>Mientras menos Excel manual esté entre esos pasos, mejor.</t>
  </si>
  <si>
    <t>“Automatiza aquello que es repetitivo, integra lo que hoy está aislado y reduce errores humanos.”</t>
  </si>
  <si>
    <t>Qué entregarle</t>
  </si>
  <si>
    <t>Prioridades de negocio.</t>
  </si>
  <si>
    <t>Procesos definidos.</t>
  </si>
  <si>
    <t>Dueños del proceso.</t>
  </si>
  <si>
    <t>Estándares de seguridad.</t>
  </si>
  <si>
    <t>13. CIO — CHIEF INFORMATION OFFICER</t>
  </si>
  <si>
    <t>En tu modelo yo pondría al CIO como responsable de convertir datos en decisiones.</t>
  </si>
  <si>
    <t>¿Qué compras del CIO?</t>
  </si>
  <si>
    <t>Una sola verdad empresarial.</t>
  </si>
  <si>
    <t>calidad del dato;</t>
  </si>
  <si>
    <t>registros completos;</t>
  </si>
  <si>
    <t>dashboards actualizados;</t>
  </si>
  <si>
    <t>tiempo actualización;</t>
  </si>
  <si>
    <t>discrepancias entre sistemas;</t>
  </si>
  <si>
    <t>precisión del forecast;</t>
  </si>
  <si>
    <t>adopción de dashboards;</t>
  </si>
  <si>
    <t>disponibilidad información;</t>
  </si>
  <si>
    <t>integridad CRM;</t>
  </si>
  <si>
    <t>datos duplicados;</t>
  </si>
  <si>
    <t>trazabilidad cliente.</t>
  </si>
  <si>
    <t>Marketing dice:</t>
  </si>
  <si>
    <t>1,320 leads.</t>
  </si>
  <si>
    <t>Ventas:</t>
  </si>
  <si>
    <t>CRM:</t>
  </si>
  <si>
    <t>Eso no debería ocurrir.</t>
  </si>
  <si>
    <t>Maycoy Flores</t>
  </si>
  <si>
    <t>“Quiero que cada discusión gerencial empiece sobre el mismo dato.”</t>
  </si>
  <si>
    <t>Definiciones KPI.</t>
  </si>
  <si>
    <t>Gobierno de datos.</t>
  </si>
  <si>
    <t>Fuentes oficiales.</t>
  </si>
  <si>
    <t>+51996588323</t>
  </si>
  <si>
    <t>Acceso sistemas.</t>
  </si>
  <si>
    <t>Prioridad analítica.</t>
  </si>
  <si>
    <t>14. CSIO — CHIEF STRATEGY &amp; INNOVATION OFFICER</t>
  </si>
  <si>
    <t>¿Qué compras del CSIO?</t>
  </si>
  <si>
    <t>El futuro de la empresa.</t>
  </si>
  <si>
    <t>El resto administra principalmente el negocio actual.</t>
  </si>
  <si>
    <t>CSIO debería preguntarse:</t>
  </si>
  <si>
    <t>¿De dónde vendrá nuestro próximo S/10M, S/50M o S/100M?</t>
  </si>
  <si>
    <t>Iniciativas estratégicas</t>
  </si>
  <si>
    <t>Ejecución estrategia</t>
  </si>
  <si>
    <t>% hitos cumplidos</t>
  </si>
  <si>
    <t>Progreso</t>
  </si>
  <si>
    <t>Nuevos negocios evaluados</t>
  </si>
  <si>
    <t>Pilotos ejecutados</t>
  </si>
  <si>
    <t>Experimentación</t>
  </si>
  <si>
    <t>Pilotos validados</t>
  </si>
  <si>
    <t>Ingresos nuevas iniciativas</t>
  </si>
  <si>
    <t>Impacto</t>
  </si>
  <si>
    <t>ROI iniciativas</t>
  </si>
  <si>
    <t>Tiempo idea → prueba</t>
  </si>
  <si>
    <t>Nuevas alianzas</t>
  </si>
  <si>
    <t>Expansión</t>
  </si>
  <si>
    <t>Nuevos mercados</t>
  </si>
  <si>
    <t>Crecimiento</t>
  </si>
  <si>
    <t>“Trae ideas.”</t>
  </si>
  <si>
    <t>“Necesitamos identificar tres vías para duplicar EBITDA en tres años y validar cuáles merecen capital.”</t>
  </si>
  <si>
    <t>Visión.</t>
  </si>
  <si>
    <t>Lusio Jose</t>
  </si>
  <si>
    <t>Objetivos largo plazo.</t>
  </si>
  <si>
    <t>Restricciones.</t>
  </si>
  <si>
    <t>Tesis de crecimiento.</t>
  </si>
  <si>
    <t>15. LA FORMA CORRECTA DE MEDIR A TODOS</t>
  </si>
  <si>
    <t>Cada área debería tener solamente unos 5–7 KPIs realmente importantes en tu vista CEO.</t>
  </si>
  <si>
    <t>+51967453316</t>
  </si>
  <si>
    <t>No 35.</t>
  </si>
  <si>
    <t>Yo los dividiría siempre en tres capas:</t>
  </si>
  <si>
    <t>1. KPI de resultado — LAG</t>
  </si>
  <si>
    <t>Te dice lo que ocurrió.</t>
  </si>
  <si>
    <t>Ejemplo CSO:</t>
  </si>
  <si>
    <t>Ventas.</t>
  </si>
  <si>
    <t>2. KPI predictivo — LEAD</t>
  </si>
  <si>
    <t>Te dice lo que probablemente ocurrirá.</t>
  </si>
  <si>
    <t>Pipeline / visitas / separaciones.</t>
  </si>
  <si>
    <t>3. KPI de salud o riesgo</t>
  </si>
  <si>
    <t>Te dice si estás creando un problema futuro.</t>
  </si>
  <si>
    <t>Cancelaciones.</t>
  </si>
  <si>
    <t>Esa misma estructura la utilizaría para todos.</t>
  </si>
  <si>
    <t>16. TU MATRIZ MAESTRA DE CEO</t>
  </si>
  <si>
    <t>Así empezaría a verse:</t>
  </si>
  <si>
    <t>CFO</t>
  </si>
  <si>
    <t>EBITDA / caja</t>
  </si>
  <si>
    <t>Forecast caja</t>
  </si>
  <si>
    <t>Proyecto entregado</t>
  </si>
  <si>
    <t>Avance</t>
  </si>
  <si>
    <t>Operaciones habilitadas</t>
  </si>
  <si>
    <t>Trámites críticos</t>
  </si>
  <si>
    <t>Exposición legal</t>
  </si>
  <si>
    <t>Product</t>
  </si>
  <si>
    <t>Absorción/margen</t>
  </si>
  <si>
    <t>Conversión producto</t>
  </si>
  <si>
    <t>Inventario envejecido</t>
  </si>
  <si>
    <t>Claudia Iman</t>
  </si>
  <si>
    <t>Satisfacción/recompra</t>
  </si>
  <si>
    <t>Interacción cliente</t>
  </si>
  <si>
    <t>Reclamos</t>
  </si>
  <si>
    <t>CHRO</t>
  </si>
  <si>
    <t>+51964909008</t>
  </si>
  <si>
    <t>CTO</t>
  </si>
  <si>
    <t>Eficiencia tecnológica</t>
  </si>
  <si>
    <t>Automatización</t>
  </si>
  <si>
    <t>CIO</t>
  </si>
  <si>
    <t>Información confiable</t>
  </si>
  <si>
    <t>Calidad datos</t>
  </si>
  <si>
    <t>Discrepancias</t>
  </si>
  <si>
    <t>CSIO</t>
  </si>
  <si>
    <t>Crecimiento estratégico</t>
  </si>
  <si>
    <t>Pipeline iniciativas</t>
  </si>
  <si>
    <t>Capital en iniciativas fallidas</t>
  </si>
  <si>
    <t>Esta tabla será prácticamente la columna vertebral de tu futuro dashboard.</t>
  </si>
  <si>
    <t>17. PERO HAY UNA SEGUNDA MITAD: QUÉ LES DAS TÚ</t>
  </si>
  <si>
    <t>Este punto es excelente que lo hayas mencionado.</t>
  </si>
  <si>
    <t>Tu dashboard no debería solamente controlar:</t>
  </si>
  <si>
    <t>¿Qué me entregan mis C-Level?</t>
  </si>
  <si>
    <t>¿Qué estoy entregándoles yo para que puedan cumplir?</t>
  </si>
  <si>
    <t>Porque si CMO no tiene presupuesto, Product no tiene decisiones, CSO no tiene inventario o COO no tiene caja, el fracaso no necesariamente pertenece a ellos.</t>
  </si>
  <si>
    <t>Podríamos crear una sección:</t>
  </si>
  <si>
    <t>COMPROMISOS DEL CEO</t>
  </si>
  <si>
    <t>CEO debe entregar</t>
  </si>
  <si>
    <t>Meta, inventario, pricing, comisiones</t>
  </si>
  <si>
    <t>Presupuesto, público, propuesta, objetivo CAC</t>
  </si>
  <si>
    <t>Presupuesto, reglas capital, estrategia</t>
  </si>
  <si>
    <t>Presupuesto, alcance, prioridades</t>
  </si>
  <si>
    <t>Gustabo Guadalupe Romero</t>
  </si>
  <si>
    <t>Información, acceso temprano, apetito riesgo</t>
  </si>
  <si>
    <t>Estrategia, margen mínimo, mercado</t>
  </si>
  <si>
    <t>+51918280554</t>
  </si>
  <si>
    <t>Estándar experiencia, capacidad resolución</t>
  </si>
  <si>
    <t>Plan organizacional y presupuesto</t>
  </si>
  <si>
    <t>Prioridades tecnológicas</t>
  </si>
  <si>
    <t>Definiciones KPI y fuentes</t>
  </si>
  <si>
    <t>Visión y tesis de crecimiento</t>
  </si>
  <si>
    <t>Esto te convierte también en responsable.</t>
  </si>
  <si>
    <t>18. Y YO AÑADIRÍA ALGO MUY PODEROSO: LOS “BLOQUEOS DEL CEO”</t>
  </si>
  <si>
    <t>En la reunión semanal cada C-Level debería poder declarar:</t>
  </si>
  <si>
    <t>Necesito decisión CEO.</t>
  </si>
  <si>
    <t>Autorización descuento máximo 3%.</t>
  </si>
  <si>
    <t>Decidir si tomamos deuda S/2M.</t>
  </si>
  <si>
    <t>Aprobar proveedor.</t>
  </si>
  <si>
    <t>Aprobar nueva etapa.</t>
  </si>
  <si>
    <t>Aprobar incremento S/20K publicidad.</t>
  </si>
  <si>
    <t>Entonces tu dashboard tendría:</t>
  </si>
  <si>
    <t>césar Rafael Quistan Maguiña</t>
  </si>
  <si>
    <t>DECISIONES PENDIENTES DEL CEO</t>
  </si>
  <si>
    <t>+51936404318</t>
  </si>
  <si>
    <t>Decisión</t>
  </si>
  <si>
    <t>Fecha límite</t>
  </si>
  <si>
    <t>Aumento ads</t>
  </si>
  <si>
    <t>S/500K pipeline</t>
  </si>
  <si>
    <t>Precio etapa 2</t>
  </si>
  <si>
    <t>S/1.2M</t>
  </si>
  <si>
    <t>Proveedor obra</t>
  </si>
  <si>
    <t>14 días</t>
  </si>
  <si>
    <t>Crédito</t>
  </si>
  <si>
    <t>S/2M caja</t>
  </si>
  <si>
    <t>Esto es potentísimo.</t>
  </si>
  <si>
    <t>Porque uno de los mayores cuellos de botella de una empresa que crece puede terminar siendo el propio CEO.</t>
  </si>
  <si>
    <t>19. LO QUE CADA C-LEVEL DEBERÍA PRESENTARTE SEMANALMENTE</t>
  </si>
  <si>
    <t>Yo estandarizaría la presentación.</t>
  </si>
  <si>
    <t>Todos responden exactamente lo mismo:</t>
  </si>
  <si>
    <t>META</t>
  </si>
  <si>
    <t>¿Dónde debería estar?</t>
  </si>
  <si>
    <t>Maria Luz Huaman Flores</t>
  </si>
  <si>
    <t>¿Dónde estoy?</t>
  </si>
  <si>
    <t>+51964498659</t>
  </si>
  <si>
    <t>FORECAST</t>
  </si>
  <si>
    <t>¿Dónde voy a terminar?</t>
  </si>
  <si>
    <t>GAP</t>
  </si>
  <si>
    <t>¿Cuánto me falta?</t>
  </si>
  <si>
    <t>CAUSA</t>
  </si>
  <si>
    <t>¿Por qué?</t>
  </si>
  <si>
    <t>ACCIÓN</t>
  </si>
  <si>
    <t>¿Qué voy a hacer?</t>
  </si>
  <si>
    <t>RIESGO</t>
  </si>
  <si>
    <t>¿Qué podría salir mal?</t>
  </si>
  <si>
    <t>NECESITO DEL CEO</t>
  </si>
  <si>
    <t>¿Qué decisión/recurso necesito?</t>
  </si>
  <si>
    <t>Raúl Antonio Agüero Alberto</t>
  </si>
  <si>
    <t>+51997839155</t>
  </si>
  <si>
    <t>Meta: S/3M</t>
  </si>
  <si>
    <t>Real: S/1.8M</t>
  </si>
  <si>
    <t>Forecast: S/2.7M</t>
  </si>
  <si>
    <t>Gap: -S/300K</t>
  </si>
  <si>
    <t>Causa: caída conversión visita→separación</t>
  </si>
  <si>
    <t>Acción: nuevos cierres + acompañamiento líderes</t>
  </si>
  <si>
    <t>Riesgo: S/180K de separaciones débiles</t>
  </si>
  <si>
    <t>CEO: aprobar promoción específica.</t>
  </si>
  <si>
    <t>Con eso, en 5 minutos entendiste el área.</t>
  </si>
  <si>
    <t>20. TUS CINCO PRIORIDADES ACTUALES</t>
  </si>
  <si>
    <t>Como actualmente quieres concentrarte especialmente en:</t>
  </si>
  <si>
    <t>CSO + CFO + CMO + COO + CLO, yo haría que aproximadamente 70–80% de tu dashboard inicial esté concentrado allí.</t>
  </si>
  <si>
    <t>Tu primera pantalla debería responder rápidamente:</t>
  </si>
  <si>
    <t>¿Vamos a cumplir ventas?</t>
  </si>
  <si>
    <t>¿Tenemos suficiente demanda para cumplir ventas?</t>
  </si>
  <si>
    <t>¿Esas ventas están generando utilidad y caja?</t>
  </si>
  <si>
    <t>Francisco Juan Bohorquez Garcias</t>
  </si>
  <si>
    <t>+51992228424</t>
  </si>
  <si>
    <t>¿Podemos entregar lo vendido dentro de tiempo y presupuesto?</t>
  </si>
  <si>
    <t>¿Podemos hacerlo sin exponernos jurídicamente?</t>
  </si>
  <si>
    <t>Y debajo:</t>
  </si>
  <si>
    <t>¿Estamos vendiendo el producto correcto?</t>
  </si>
  <si>
    <t>¿Estamos cuidando al cliente?</t>
  </si>
  <si>
    <t>¿Tenemos equipo suficiente?</t>
  </si>
  <si>
    <t>¿La tecnología acompaña el crecimiento?</t>
  </si>
  <si>
    <t>¿Los números son confiables?</t>
  </si>
  <si>
    <t>maria lastenia Bustamante campos</t>
  </si>
  <si>
    <t>¿Estamos construyendo el próximo nivel de la compañía?</t>
  </si>
  <si>
    <t>+51952072908</t>
  </si>
  <si>
    <t>21. ESTA SERÍA TU VERDADERA ECUACIÓN COMO CEO</t>
  </si>
  <si>
    <t>Yo resumiría toda tu inmobiliaria así:</t>
  </si>
  <si>
    <t>ESTRATEGIA</t>
  </si>
  <si>
    <t>PRODUCTO</t>
  </si>
  <si>
    <t>Product Manager</t>
  </si>
  <si>
    <t>DEMANDA</t>
  </si>
  <si>
    <t>VENTA</t>
  </si>
  <si>
    <t>DINERO</t>
  </si>
  <si>
    <t>Julio Franco</t>
  </si>
  <si>
    <t>SEGURIDAD</t>
  </si>
  <si>
    <t>+51940407178</t>
  </si>
  <si>
    <t>EJECUCIÓN</t>
  </si>
  <si>
    <t>EXPERIENCIA</t>
  </si>
  <si>
    <t>RECOMPRA / REFERIDO</t>
  </si>
  <si>
    <t>Y todo sostenido por:</t>
  </si>
  <si>
    <t>PERSONAS = CHRO</t>
  </si>
  <si>
    <t>TECNOLOGÍA = CTO</t>
  </si>
  <si>
    <t>INFORMACIÓN = CIO</t>
  </si>
  <si>
    <t>Y tú arriba:</t>
  </si>
  <si>
    <t>CEO = CAPITAL + PRIORIDADES + PERSONAS + DECISIONES + RESULTADOS.</t>
  </si>
  <si>
    <t>Cuando construyamos el dashboard general del CEO, no te recomendaría hacer una pantalla llena de 100 indicadores. Lo correcto será diseñarlo en niveles: una pantalla CEO de aproximadamente 15–20 indicadores críticos, y desde cada semáforo poder bajar al dashboard particular de CSO, CFO, CMO, COO, CLO, Product, etc.</t>
  </si>
  <si>
    <t>Además, incluiría dos bloques que normalmente no aparecen en los dashboards tradicionales: “Qué me debe entregar cada C-Level esta semana” y “Qué decisiones/recursos debo entregar yo como CEO”. Así el tablero no solo sirve para observar la empresa: sirve para dirigirla.</t>
  </si>
  <si>
    <t>Al3ss@ndr0</t>
  </si>
  <si>
    <t>+51992644040</t>
  </si>
  <si>
    <t>German Ruiton Rojas</t>
  </si>
  <si>
    <t>+51928523794</t>
  </si>
  <si>
    <t>Pablo Jesus</t>
  </si>
  <si>
    <t>+51942456127</t>
  </si>
  <si>
    <t>LuisM</t>
  </si>
  <si>
    <t>+51931159245</t>
  </si>
  <si>
    <t>Sara •</t>
  </si>
  <si>
    <t>+51920820457</t>
  </si>
  <si>
    <t>Mark Villena</t>
  </si>
  <si>
    <t>+51994839763</t>
  </si>
  <si>
    <t>L1 y L2</t>
  </si>
  <si>
    <t>Axel Christiams</t>
  </si>
  <si>
    <t>+51902071070</t>
  </si>
  <si>
    <t>Walter Hidalgo Huaman</t>
  </si>
  <si>
    <t>+51949667412</t>
  </si>
  <si>
    <t>Victor Hugo Aranibar Trujillo</t>
  </si>
  <si>
    <t>+51998891495</t>
  </si>
  <si>
    <t>Alberto Claudio Sanchez</t>
  </si>
  <si>
    <t>+51954731308</t>
  </si>
  <si>
    <t>pedro pablo yachas jimenez</t>
  </si>
  <si>
    <t>+51920789111</t>
  </si>
  <si>
    <t>Fiorella Coca</t>
  </si>
  <si>
    <t>+51992224417</t>
  </si>
  <si>
    <t>+51960203202</t>
  </si>
  <si>
    <t>Reyna Figueroa</t>
  </si>
  <si>
    <t>+51917334850</t>
  </si>
  <si>
    <t>Alberto Tejada</t>
  </si>
  <si>
    <t>+51982097620</t>
  </si>
  <si>
    <t>Concepcioįn Lastarria</t>
  </si>
  <si>
    <t>+51933908681</t>
  </si>
  <si>
    <t>Wilmer Sanchez Vargas</t>
  </si>
  <si>
    <t>+51934269000</t>
  </si>
  <si>
    <t>Alejandro Fidel</t>
  </si>
  <si>
    <t>+51960880432</t>
  </si>
  <si>
    <t>eliaspino1953</t>
  </si>
  <si>
    <t>Andres Chumpitaz</t>
  </si>
  <si>
    <t>+51958435772</t>
  </si>
  <si>
    <t>Doralinda Urdanivia</t>
  </si>
  <si>
    <t>+51973980400</t>
  </si>
  <si>
    <t>Luis Perez</t>
  </si>
  <si>
    <t>+51994978189</t>
  </si>
  <si>
    <t>Carlos Milla</t>
  </si>
  <si>
    <t>+51982423709</t>
  </si>
  <si>
    <t>Paolo Mitra Chufandama</t>
  </si>
  <si>
    <t>+51946635831</t>
  </si>
  <si>
    <t>Monica</t>
  </si>
  <si>
    <t>+51984391130</t>
  </si>
  <si>
    <t>Auland Centro educativo integral</t>
  </si>
  <si>
    <t>+51994471486</t>
  </si>
  <si>
    <t>Cesar Christian Tello Arce</t>
  </si>
  <si>
    <t>+51966374078</t>
  </si>
  <si>
    <t>Wilmer M Mi</t>
  </si>
  <si>
    <t>+51933481433</t>
  </si>
  <si>
    <t>Angel Capillo</t>
  </si>
  <si>
    <t>+51934132469</t>
  </si>
  <si>
    <t>André Omar Medina Vela</t>
  </si>
  <si>
    <t>+51969806142</t>
  </si>
  <si>
    <t>Jose Diaz</t>
  </si>
  <si>
    <t>+51962309944</t>
  </si>
  <si>
    <t>Atilio David Ruiz Calle</t>
  </si>
  <si>
    <t>+51928539510</t>
  </si>
  <si>
    <t>A. David Ruiz</t>
  </si>
  <si>
    <t>javier camacho</t>
  </si>
  <si>
    <t>+51996120230</t>
  </si>
  <si>
    <t>Maria Sosa Alamo</t>
  </si>
  <si>
    <t>+51981224866</t>
  </si>
  <si>
    <t>Janeth Taipe</t>
  </si>
  <si>
    <t>+51985924019</t>
  </si>
  <si>
    <t>Noe Veliz condor</t>
  </si>
  <si>
    <t>+51915385181</t>
  </si>
  <si>
    <t>Marco</t>
  </si>
  <si>
    <t>+51969499334</t>
  </si>
  <si>
    <t>Rosa Mulatillo</t>
  </si>
  <si>
    <t>+51918803763</t>
  </si>
  <si>
    <t>Franco Sánchez</t>
  </si>
  <si>
    <t>+51937759400</t>
  </si>
  <si>
    <t>Eustaquio Felipe</t>
  </si>
  <si>
    <t>+51921652880</t>
  </si>
  <si>
    <t>Elizabeth Roxana Rodriguez Garcia</t>
  </si>
  <si>
    <t>+51963199301</t>
  </si>
  <si>
    <t>Ena Flor Vasquez Peralta</t>
  </si>
  <si>
    <t>+51975177074</t>
  </si>
  <si>
    <t>Clemente Osorio</t>
  </si>
  <si>
    <t>+51902974018</t>
  </si>
  <si>
    <t>Va a conversarlo con su hijo</t>
  </si>
  <si>
    <t>+51928060431</t>
  </si>
  <si>
    <t>Esta de viaje en Huanuco, cuando vuelva ira por huacho</t>
  </si>
  <si>
    <t>Jesus</t>
  </si>
  <si>
    <t>+51956016084</t>
  </si>
  <si>
    <t>juliocesargalindofernande</t>
  </si>
  <si>
    <t>+51945104020</t>
  </si>
  <si>
    <t>ArmanDo P Lzaro</t>
  </si>
  <si>
    <t>+51926575707</t>
  </si>
  <si>
    <t>trabaja de noche, quedo para una reunion virtual pero ya no volvio a responder las llamdas</t>
  </si>
  <si>
    <t>Jorge Chepe Vilchez</t>
  </si>
  <si>
    <t>+51937506637</t>
  </si>
  <si>
    <t>Jordan Jahir Vasquez Cavero</t>
  </si>
  <si>
    <t>+51934950569</t>
  </si>
  <si>
    <t>Lizeth Miñan Izarnótegui</t>
  </si>
  <si>
    <t>+51902957266</t>
  </si>
  <si>
    <t>K1 y K2</t>
  </si>
  <si>
    <t>Hermes Jauregui</t>
  </si>
  <si>
    <t>+51922621864</t>
  </si>
  <si>
    <t>Juana Fanny Lozada Linares</t>
  </si>
  <si>
    <t>+51933741326</t>
  </si>
  <si>
    <t>lucio llancay  quispe</t>
  </si>
  <si>
    <t>+51943599873</t>
  </si>
  <si>
    <t>Natividad Añazco Silva</t>
  </si>
  <si>
    <t>+51904247437</t>
  </si>
  <si>
    <t>Aguilar Arana Ravel</t>
  </si>
  <si>
    <t>+51918838497</t>
  </si>
  <si>
    <t>Luis Alberto Neyra Ibarra</t>
  </si>
  <si>
    <t>+51956621796</t>
  </si>
  <si>
    <t>Niceforo Félix flores Pantoja</t>
  </si>
  <si>
    <t>+51996640177</t>
  </si>
  <si>
    <t>FREDY</t>
  </si>
  <si>
    <t>+51979641099</t>
  </si>
  <si>
    <t>Balvina Samaniego Caceres</t>
  </si>
  <si>
    <t>+51927105832</t>
  </si>
  <si>
    <t>Indira Vallejos Coronel</t>
  </si>
  <si>
    <t>+51921841392</t>
  </si>
  <si>
    <t>Celia Alvarado Castillo</t>
  </si>
  <si>
    <t>+51966921908</t>
  </si>
  <si>
    <t>BC Lucero</t>
  </si>
  <si>
    <t>+51935637890</t>
  </si>
  <si>
    <t>agapito alejandro chinchay rosales</t>
  </si>
  <si>
    <t>+51983662380</t>
  </si>
  <si>
    <t>Roger castillejo quiñones</t>
  </si>
  <si>
    <t>+51929126980</t>
  </si>
  <si>
    <t>Anibal Bazan Ramírez</t>
  </si>
  <si>
    <t>+51976623782</t>
  </si>
  <si>
    <t>+51906523767</t>
  </si>
  <si>
    <t>Cesar Luis Toribio Aranda</t>
  </si>
  <si>
    <t>+51977732853</t>
  </si>
  <si>
    <t>Alder Omar Pilco Mamani</t>
  </si>
  <si>
    <t>+51974827900</t>
  </si>
  <si>
    <t>Dina poma</t>
  </si>
  <si>
    <t>+51948140345</t>
  </si>
  <si>
    <t>Wilde Garcia</t>
  </si>
  <si>
    <t>+51996479247</t>
  </si>
  <si>
    <t>Jhan Carlos Reyes Uriarte</t>
  </si>
  <si>
    <t>+51922858024</t>
  </si>
  <si>
    <t>Raul Eduardo Huarcaya Gutierrez</t>
  </si>
  <si>
    <t>+51964350632</t>
  </si>
  <si>
    <t>ysabel castro Davila</t>
  </si>
  <si>
    <t>+51979814914</t>
  </si>
  <si>
    <t>Esther Gomez</t>
  </si>
  <si>
    <t>+51959156724</t>
  </si>
  <si>
    <t>Flor Ichpas</t>
  </si>
  <si>
    <t>+51940164878</t>
  </si>
  <si>
    <t>Betty Del Carmen</t>
  </si>
  <si>
    <t>+51937154874</t>
  </si>
  <si>
    <t>Celinda</t>
  </si>
  <si>
    <t>+51925134441</t>
  </si>
  <si>
    <t>Luz Vb</t>
  </si>
  <si>
    <t>+51995642521</t>
  </si>
  <si>
    <t>+51980466053</t>
  </si>
  <si>
    <t>Elvira la Rosa</t>
  </si>
  <si>
    <t>+51921169001</t>
  </si>
  <si>
    <t>Guillermo Enrique Caro Castillo</t>
  </si>
  <si>
    <t>+51902298624</t>
  </si>
  <si>
    <t>Doris Gomez</t>
  </si>
  <si>
    <t>+51960104625</t>
  </si>
  <si>
    <t>Amelia Torres Huaman</t>
  </si>
  <si>
    <t>+51997902990</t>
  </si>
  <si>
    <t>Julio Oncoy</t>
  </si>
  <si>
    <t>+51992597993</t>
  </si>
  <si>
    <t>Catiusca Dueñas Pizarro</t>
  </si>
  <si>
    <t>+51923535058</t>
  </si>
  <si>
    <t>Julio César Seminario Espinoza</t>
  </si>
  <si>
    <t>+51910801220</t>
  </si>
  <si>
    <t>Eduardo Rogelio Prado Levano</t>
  </si>
  <si>
    <t>+51999287126</t>
  </si>
  <si>
    <t>Cesar Romero</t>
  </si>
  <si>
    <t>+51999613539</t>
  </si>
  <si>
    <t>Leonardo Alfredo Allain Marcos</t>
  </si>
  <si>
    <t>+51910839600</t>
  </si>
  <si>
    <t>Rafael Ordoñez Calmet</t>
  </si>
  <si>
    <t>+51929184999</t>
  </si>
  <si>
    <t>Jose Luis Rodriguez</t>
  </si>
  <si>
    <t>+51916969975</t>
  </si>
  <si>
    <t>rocio ramos timoteo</t>
  </si>
  <si>
    <t>+51971499818</t>
  </si>
  <si>
    <t>David Junior Rm</t>
  </si>
  <si>
    <t>+51929961453</t>
  </si>
  <si>
    <t>Rosario Ybaceta Perez</t>
  </si>
  <si>
    <t>+51998111138</t>
  </si>
  <si>
    <t>damelis Josefina prosper</t>
  </si>
  <si>
    <t>+51928317124</t>
  </si>
  <si>
    <t>Flora Alejandra Chuchón Sulca</t>
  </si>
  <si>
    <t>+5110353092</t>
  </si>
  <si>
    <t>Edgar Lapa</t>
  </si>
  <si>
    <t>+51932027595</t>
  </si>
  <si>
    <t>Victoria Carbonel Segura</t>
  </si>
  <si>
    <t>+51989860950</t>
  </si>
  <si>
    <t>María Gabriela Tordoya vicuña</t>
  </si>
  <si>
    <t>+51972128668</t>
  </si>
  <si>
    <t>Fermin Eugenio Velasquez Gamboa</t>
  </si>
  <si>
    <t>+51963550371</t>
  </si>
  <si>
    <t>Roxana Valiente</t>
  </si>
  <si>
    <t>+51992636868</t>
  </si>
  <si>
    <t>Clara Isabel Morales Mayhuay</t>
  </si>
  <si>
    <t>+51991629643</t>
  </si>
  <si>
    <t>Johan Castro</t>
  </si>
  <si>
    <t>+51932504919</t>
  </si>
  <si>
    <t>Marcelo Fortunato Príncipe Rivera</t>
  </si>
  <si>
    <t>+51985245283</t>
  </si>
  <si>
    <t>Jeyni Vega De la Cruz</t>
  </si>
  <si>
    <t>+51997200199</t>
  </si>
  <si>
    <t>Daniel valentin ticona supo</t>
  </si>
  <si>
    <t>+51987924445</t>
  </si>
  <si>
    <t>Juvenal Mercado Guevara</t>
  </si>
  <si>
    <t>+51993195473</t>
  </si>
  <si>
    <t>Andy Rios Tuanama</t>
  </si>
  <si>
    <t>+51981226515</t>
  </si>
  <si>
    <t>Juan goñi</t>
  </si>
  <si>
    <t>+51993593094</t>
  </si>
  <si>
    <t>Juan Mejia Mori</t>
  </si>
  <si>
    <t>+51967274013</t>
  </si>
  <si>
    <t>Yhon James Milian Requejo</t>
  </si>
  <si>
    <t>+51989251268</t>
  </si>
  <si>
    <t>Viviano Lizano Villatty</t>
  </si>
  <si>
    <t>+51923259994</t>
  </si>
  <si>
    <t>Miguel Angel Torres Atachao</t>
  </si>
  <si>
    <t>+51926027377</t>
  </si>
  <si>
    <t>Katherine D Bejarano</t>
  </si>
  <si>
    <t>+51940251200</t>
  </si>
  <si>
    <t>Robert Flores Santos</t>
  </si>
  <si>
    <t>+51977841002</t>
  </si>
  <si>
    <t>NO CONTESTA</t>
  </si>
  <si>
    <t>Jhon Hipolito Vasquez Garcia</t>
  </si>
  <si>
    <t>+51922997919</t>
  </si>
  <si>
    <t>wilfredo valentin perez gutierrez</t>
  </si>
  <si>
    <t>+51952389778</t>
  </si>
  <si>
    <t>Lucy Janina Vasquez Lopez</t>
  </si>
  <si>
    <t>+51999000957</t>
  </si>
  <si>
    <t>Juvenal Espinoza</t>
  </si>
  <si>
    <t>+51995488007</t>
  </si>
  <si>
    <t>Hermilio Chavez Sanchez</t>
  </si>
  <si>
    <t>+51939643107</t>
  </si>
  <si>
    <t>Liliana Valencia</t>
  </si>
  <si>
    <t>+51986588505</t>
  </si>
  <si>
    <t>Jacob Jericof Mesia</t>
  </si>
  <si>
    <t>+51943304720</t>
  </si>
  <si>
    <t>Carlos O. Inocente</t>
  </si>
  <si>
    <t>+51989232015</t>
  </si>
  <si>
    <t>Rosa Córdova</t>
  </si>
  <si>
    <t>+51949510516</t>
  </si>
  <si>
    <t>kaiser elvis paucar salazar</t>
  </si>
  <si>
    <t>+51985309764</t>
  </si>
  <si>
    <t>Mariano Buenaventura Zapata Baca</t>
  </si>
  <si>
    <t>+51956694167</t>
  </si>
  <si>
    <t>Jesus Smith Salas</t>
  </si>
  <si>
    <t>+51926556736</t>
  </si>
  <si>
    <t>LLAMARLO PROXIMA SEMANA</t>
  </si>
  <si>
    <t>H.ch</t>
  </si>
  <si>
    <t>+51977473089</t>
  </si>
  <si>
    <t>Juan Barrera Montenegro</t>
  </si>
  <si>
    <t>+51999228510</t>
  </si>
  <si>
    <t>Beto</t>
  </si>
  <si>
    <t>+51994778214</t>
  </si>
  <si>
    <t>Maicol Requejo</t>
  </si>
  <si>
    <t>+51993895378</t>
  </si>
  <si>
    <t>Sergio Bailon Nolasco</t>
  </si>
  <si>
    <t>+51945668778</t>
  </si>
  <si>
    <t>Maritza Montero Espiritu</t>
  </si>
  <si>
    <t>+51979579523</t>
  </si>
  <si>
    <t>William Alberto Vargas Sánchez</t>
  </si>
  <si>
    <t>+51907733463</t>
  </si>
  <si>
    <t>Santiago Pacheco Cajaleon</t>
  </si>
  <si>
    <t>+51942968255</t>
  </si>
  <si>
    <t>Greko Zelada Garcia</t>
  </si>
  <si>
    <t>+51955269837</t>
  </si>
  <si>
    <t>Vidal Solorzano León ❤️</t>
  </si>
  <si>
    <t>+51904797069</t>
  </si>
  <si>
    <t>Daniel Maximo Rios Sanchez</t>
  </si>
  <si>
    <t>+51974622033</t>
  </si>
  <si>
    <t>Gladys felicitsmatutep</t>
  </si>
  <si>
    <t>+51924187906</t>
  </si>
  <si>
    <t>Jcristiam Caballero</t>
  </si>
  <si>
    <t>+51933827967</t>
  </si>
  <si>
    <t>Carmen Curasi Velasquez</t>
  </si>
  <si>
    <t>+51920367705</t>
  </si>
  <si>
    <t>Roberto</t>
  </si>
  <si>
    <t>+51992780450</t>
  </si>
  <si>
    <t>Celso Nieves chero.</t>
  </si>
  <si>
    <t>+51957232154</t>
  </si>
  <si>
    <t>Julio Albornos</t>
  </si>
  <si>
    <t>+51943009077</t>
  </si>
  <si>
    <t>Jaime Panduro Celis</t>
  </si>
  <si>
    <t>+51910751781</t>
  </si>
  <si>
    <t>Neri Adrian Rivas Rivera</t>
  </si>
  <si>
    <t>+51992812734</t>
  </si>
  <si>
    <t>Maximo Huané Arquiñigo</t>
  </si>
  <si>
    <t>+51943993863</t>
  </si>
  <si>
    <t>Aquiles Nieves Gonzales</t>
  </si>
  <si>
    <t>+51920217626</t>
  </si>
  <si>
    <t>Ivette Delgado Huaqui</t>
  </si>
  <si>
    <t>+51974049133</t>
  </si>
  <si>
    <t>COLGO LLAMADA</t>
  </si>
  <si>
    <t>Jordy Contreras Villanueva</t>
  </si>
  <si>
    <t>+51979761600</t>
  </si>
  <si>
    <t>Laura Torres</t>
  </si>
  <si>
    <t>+51959025347</t>
  </si>
  <si>
    <t>Luis Povis</t>
  </si>
  <si>
    <t>+51997891423</t>
  </si>
  <si>
    <t>APAGADO</t>
  </si>
  <si>
    <t>Walter Quiroz</t>
  </si>
  <si>
    <t>+51968798290</t>
  </si>
  <si>
    <t>Pedro Luis Rimac Espinoza</t>
  </si>
  <si>
    <t>+51963882912</t>
  </si>
  <si>
    <t>Fermin Aurelio Vega Carrión</t>
  </si>
  <si>
    <t>+51954697000</t>
  </si>
  <si>
    <t>Rafael Maille</t>
  </si>
  <si>
    <t>+51968958340</t>
  </si>
  <si>
    <t>Marlene Schmitt</t>
  </si>
  <si>
    <t>+51943218098</t>
  </si>
  <si>
    <t>John Richard Cristobal Sarmiento</t>
  </si>
  <si>
    <t>+51961902668</t>
  </si>
  <si>
    <t>Robert chavez</t>
  </si>
  <si>
    <t>+51972377999</t>
  </si>
  <si>
    <t>Susan Lizbeth Correa Sangama</t>
  </si>
  <si>
    <t>+51900269808</t>
  </si>
  <si>
    <t>Mīlër Jhn Rèyès C</t>
  </si>
  <si>
    <t>+51935925866</t>
  </si>
  <si>
    <t>Maura Parra Obregon</t>
  </si>
  <si>
    <t>+51998899818</t>
  </si>
  <si>
    <t>Ricardo Daniel Tapia Delgado</t>
  </si>
  <si>
    <t>+51928858504</t>
  </si>
  <si>
    <t>Oscar enrique curioso Beltrán</t>
  </si>
  <si>
    <t>+34603347573</t>
  </si>
  <si>
    <t>Leo Daniel Loma</t>
  </si>
  <si>
    <t>+51943706419</t>
  </si>
  <si>
    <t>j</t>
  </si>
  <si>
    <t>+51920650140</t>
  </si>
  <si>
    <t>Juancito Arias</t>
  </si>
  <si>
    <t>+51986606058</t>
  </si>
  <si>
    <t>INTERESADO visita el sabado</t>
  </si>
  <si>
    <t>+51991939505</t>
  </si>
  <si>
    <t>Nicanor Gonzales Ortiz</t>
  </si>
  <si>
    <t>+51902722982</t>
  </si>
  <si>
    <t>Dehimi Ortiz</t>
  </si>
  <si>
    <t>+51991377129</t>
  </si>
  <si>
    <t>Manuel Alex De La Cruz Valenzuela</t>
  </si>
  <si>
    <t>+51928614509</t>
  </si>
  <si>
    <t>Ernesto Bolaños Chacaliaza</t>
  </si>
  <si>
    <t>+51960679158</t>
  </si>
  <si>
    <t>msramirez2017@gmail.com</t>
  </si>
  <si>
    <t>+51912601381</t>
  </si>
  <si>
    <t>Grisell</t>
  </si>
  <si>
    <t>+51906328275</t>
  </si>
  <si>
    <t>Meri Gambetta</t>
  </si>
  <si>
    <t>+51955328231</t>
  </si>
  <si>
    <t>Aurora Cueva Chávez</t>
  </si>
  <si>
    <t>+51960473254</t>
  </si>
  <si>
    <t>GvBr Jhordan</t>
  </si>
  <si>
    <t>+51953176468</t>
  </si>
  <si>
    <t>Dhariends Chafalote</t>
  </si>
  <si>
    <t>+51937303576</t>
  </si>
  <si>
    <t>Gavi Ymp Rosas</t>
  </si>
  <si>
    <t>+51986101915</t>
  </si>
  <si>
    <t>Joshi Nick Adanaque Adanaque</t>
  </si>
  <si>
    <t>+51957165212</t>
  </si>
  <si>
    <t>Vicky</t>
  </si>
  <si>
    <t>+51934828286</t>
  </si>
  <si>
    <t>Lis</t>
  </si>
  <si>
    <t>+51958696457</t>
  </si>
  <si>
    <t>Erasmo Villafuerte Roman</t>
  </si>
  <si>
    <t>+51923053155</t>
  </si>
  <si>
    <t>Consuelo Lara</t>
  </si>
  <si>
    <t>+51997550031</t>
  </si>
  <si>
    <t>Marco Cedron Torres</t>
  </si>
  <si>
    <t>+51936901233</t>
  </si>
  <si>
    <t>Luis ManuelLezameta</t>
  </si>
  <si>
    <t>+51947497507</t>
  </si>
  <si>
    <t>elvira</t>
  </si>
  <si>
    <t>+51952123602</t>
  </si>
  <si>
    <t>Christian</t>
  </si>
  <si>
    <t>+51962326913</t>
  </si>
  <si>
    <t>Teodolinda Vilma CABALLERO TRUJILLO</t>
  </si>
  <si>
    <t>+51993526629</t>
  </si>
  <si>
    <t>Cifridoleonardo@gimail.com</t>
  </si>
  <si>
    <t>Humberto Morales Trejo</t>
  </si>
  <si>
    <t>+51901444413</t>
  </si>
  <si>
    <t>Eulalia</t>
  </si>
  <si>
    <t>+51943549092</t>
  </si>
  <si>
    <t>Lidia</t>
  </si>
  <si>
    <t>+51953974877</t>
  </si>
  <si>
    <t>Edgarh</t>
  </si>
  <si>
    <t>+51983583250</t>
  </si>
  <si>
    <t>Edgar Huaman Ludeña</t>
  </si>
  <si>
    <t>lilia</t>
  </si>
  <si>
    <t>+51936382442</t>
  </si>
  <si>
    <t>Rodrigo Gomez Torres</t>
  </si>
  <si>
    <t>+51924047645</t>
  </si>
  <si>
    <t>blanca Cecilia Cisneros fiorenttini</t>
  </si>
  <si>
    <t>+51982738000</t>
  </si>
  <si>
    <t>Moises Manuel Chavez Encalada</t>
  </si>
  <si>
    <t>+51947571870</t>
  </si>
  <si>
    <t>Jorge Esteban Castillo Quinechi</t>
  </si>
  <si>
    <t>+51967729558</t>
  </si>
  <si>
    <t>Fiorela</t>
  </si>
  <si>
    <t>luisjesusmarcosvelasquez</t>
  </si>
  <si>
    <t>+51943728812</t>
  </si>
  <si>
    <t>jhon</t>
  </si>
  <si>
    <t>+51936534236</t>
  </si>
  <si>
    <t>Marco Antonio Espinoza Barbieri</t>
  </si>
  <si>
    <t>+51961772328</t>
  </si>
  <si>
    <t>Efrain Ortiz Ticlo</t>
  </si>
  <si>
    <t>+51928856815</t>
  </si>
  <si>
    <t>Mario Antezana Taipe</t>
  </si>
  <si>
    <t>+51991746462</t>
  </si>
  <si>
    <t>Elisa Miranda</t>
  </si>
  <si>
    <t>+51930252744</t>
  </si>
  <si>
    <t>Winkler Briceño</t>
  </si>
  <si>
    <t>+51934980567</t>
  </si>
  <si>
    <t>Leon Ruth</t>
  </si>
  <si>
    <t>+51953737981</t>
  </si>
  <si>
    <t>Antonio Llerena</t>
  </si>
  <si>
    <t>+51993480895</t>
  </si>
  <si>
    <t>Jean</t>
  </si>
  <si>
    <t>+51917284448</t>
  </si>
  <si>
    <t>ceferinoleoncastro</t>
  </si>
  <si>
    <t>+51999690021</t>
  </si>
  <si>
    <t>Neuster Lopez Huamán</t>
  </si>
  <si>
    <t>+51954314453</t>
  </si>
  <si>
    <t>Jose Carrillo Rios</t>
  </si>
  <si>
    <t>+51965655253</t>
  </si>
  <si>
    <t>Beramar Inversiones</t>
  </si>
  <si>
    <t>+51956071814</t>
  </si>
  <si>
    <t>Angel Miguel Abanto Arias</t>
  </si>
  <si>
    <t>+51996717433</t>
  </si>
  <si>
    <t>Williams Guerra</t>
  </si>
  <si>
    <t>+51907846302</t>
  </si>
  <si>
    <t>esteban</t>
  </si>
  <si>
    <t>+51959021640</t>
  </si>
  <si>
    <t>l</t>
  </si>
  <si>
    <t>+51949023419</t>
  </si>
  <si>
    <t>Ivan Palomino</t>
  </si>
  <si>
    <t>+51974075026</t>
  </si>
  <si>
    <t>LIZ LÓPEZ TORRES ( x Whatsap porfa )</t>
  </si>
  <si>
    <t>+51993086474</t>
  </si>
  <si>
    <t>+51950306074</t>
  </si>
  <si>
    <t>Lucas</t>
  </si>
  <si>
    <t>+51981303965</t>
  </si>
  <si>
    <t>Rodha Cueva</t>
  </si>
  <si>
    <t>+51966350561</t>
  </si>
  <si>
    <t>Jonathan Tipiani Vilcapoma</t>
  </si>
  <si>
    <t>+51967629670</t>
  </si>
  <si>
    <t>Juan Alfredo Alva Alva</t>
  </si>
  <si>
    <t>+51925248193</t>
  </si>
  <si>
    <t>+51913773864</t>
  </si>
  <si>
    <t>Roberto Vásquez</t>
  </si>
  <si>
    <t>+51948075831</t>
  </si>
  <si>
    <t>Rodriguez Fel</t>
  </si>
  <si>
    <t>+51998339001</t>
  </si>
  <si>
    <t>Maruja Gonzales Almeida</t>
  </si>
  <si>
    <t>+51996386103</t>
  </si>
  <si>
    <t>mayte</t>
  </si>
  <si>
    <t>+51970825730</t>
  </si>
  <si>
    <t>Luis Pala</t>
  </si>
  <si>
    <t>+51971729156</t>
  </si>
  <si>
    <t>Jose Huanacuni</t>
  </si>
  <si>
    <t>+51933370906</t>
  </si>
  <si>
    <t>Luis Ortega</t>
  </si>
  <si>
    <t>+51919008907</t>
  </si>
  <si>
    <t>Michael alexander</t>
  </si>
  <si>
    <t>+51980697684</t>
  </si>
  <si>
    <t>Yesica Huamani</t>
  </si>
  <si>
    <t>+51947564399</t>
  </si>
  <si>
    <t>+51912176751</t>
  </si>
  <si>
    <t>Rosa Alcedo Zorrilla de Solis</t>
  </si>
  <si>
    <t>+51952661628</t>
  </si>
  <si>
    <t>Cesareo León</t>
  </si>
  <si>
    <t>+51901649001</t>
  </si>
  <si>
    <t>Elizabeth Vargas</t>
  </si>
  <si>
    <t>+51958472716</t>
  </si>
  <si>
    <t>Victoria Libertad Marcelo Zumba</t>
  </si>
  <si>
    <t>+51901544781</t>
  </si>
  <si>
    <t>jesus cataino tucto julcamoro</t>
  </si>
  <si>
    <t>+51963833696</t>
  </si>
  <si>
    <t>José Loreto Mío Valladolid</t>
  </si>
  <si>
    <t>+51985176313</t>
  </si>
  <si>
    <t>Rocio Ruiz de Palacios</t>
  </si>
  <si>
    <t>+51936301677</t>
  </si>
  <si>
    <t>Medalith</t>
  </si>
  <si>
    <t>+51988504693</t>
  </si>
  <si>
    <t>Kenyo Cancho</t>
  </si>
  <si>
    <t>+51929945337</t>
  </si>
  <si>
    <t>Juana Huillca Gonzales</t>
  </si>
  <si>
    <t>+15145927616</t>
  </si>
  <si>
    <t>Richard</t>
  </si>
  <si>
    <t>+51991899861</t>
  </si>
  <si>
    <t>Mario Orlando Fernandez Palomino</t>
  </si>
  <si>
    <t>+51997345525</t>
  </si>
  <si>
    <t>yorchgonzalessalinas</t>
  </si>
  <si>
    <t>+51973675589</t>
  </si>
  <si>
    <t>Mart Helí</t>
  </si>
  <si>
    <t>+51999894745</t>
  </si>
  <si>
    <t>Cristian Yonatan Juscamayta Guerrero</t>
  </si>
  <si>
    <t>+51988578861</t>
  </si>
  <si>
    <t>Armando Willy Mamani Vilca</t>
  </si>
  <si>
    <t>+51946215356</t>
  </si>
  <si>
    <t>Priscilla Angels</t>
  </si>
  <si>
    <t>+41766506015</t>
  </si>
  <si>
    <t>dina huayhua huaraca</t>
  </si>
  <si>
    <t>+51958416859</t>
  </si>
  <si>
    <t>Similiss Graciela Rengifd</t>
  </si>
  <si>
    <t>+51936401933</t>
  </si>
  <si>
    <t>Edwin Richard Villavicencio Riveros</t>
  </si>
  <si>
    <t>+51991666250</t>
  </si>
  <si>
    <t>Luis Amado Urbina Gomez</t>
  </si>
  <si>
    <t>+51919691264</t>
  </si>
  <si>
    <t>Jessica Coral</t>
  </si>
  <si>
    <t>+51968395871</t>
  </si>
  <si>
    <t>Kevin Ortega Rojas</t>
  </si>
  <si>
    <t>+51935602582</t>
  </si>
  <si>
    <t>Walter Elias</t>
  </si>
  <si>
    <t>+51980575354</t>
  </si>
  <si>
    <t>Jorge Orihuela</t>
  </si>
  <si>
    <t>+51995970435</t>
  </si>
  <si>
    <t>Miguel Pusaico Gomez</t>
  </si>
  <si>
    <t>+51928777312</t>
  </si>
  <si>
    <t>Brayan S'aavedra</t>
  </si>
  <si>
    <t>+51927827147</t>
  </si>
  <si>
    <t>Edgar Lopez Cuba</t>
  </si>
  <si>
    <t>+51987811145</t>
  </si>
  <si>
    <t>Luciano</t>
  </si>
  <si>
    <t>+51910490781</t>
  </si>
  <si>
    <t>Martha Lobatón</t>
  </si>
  <si>
    <t>+51999571155</t>
  </si>
  <si>
    <t>Juan luis Rojas</t>
  </si>
  <si>
    <t>+51958871984</t>
  </si>
  <si>
    <t>Yldefonso Ascencios Floresi no</t>
  </si>
  <si>
    <t>+51902362656</t>
  </si>
  <si>
    <t>stefannymilagrosmarquezay</t>
  </si>
  <si>
    <t>+51971428593</t>
  </si>
  <si>
    <t>William Fher</t>
  </si>
  <si>
    <t>+51936298626</t>
  </si>
  <si>
    <t>Jose Luis</t>
  </si>
  <si>
    <t>+51997008340</t>
  </si>
  <si>
    <t>Jorge Castro Quiñones</t>
  </si>
  <si>
    <t>+51940176493</t>
  </si>
  <si>
    <t>cruz Cinthia</t>
  </si>
  <si>
    <t>+51947929360</t>
  </si>
  <si>
    <t>Julio Domínguez pereda</t>
  </si>
  <si>
    <t>+51998169296</t>
  </si>
  <si>
    <t>Cristian Raul Matos Olivares</t>
  </si>
  <si>
    <t>+51992222451</t>
  </si>
  <si>
    <t>Yohel Bravo Contreras</t>
  </si>
  <si>
    <t>+51983830082</t>
  </si>
  <si>
    <t>oscar Ballarte</t>
  </si>
  <si>
    <t>+51989199775</t>
  </si>
  <si>
    <t>Yataco Rogger</t>
  </si>
  <si>
    <t>+51967769508</t>
  </si>
  <si>
    <t>Edelmira Cajahuaringa</t>
  </si>
  <si>
    <t>+51969533118</t>
  </si>
  <si>
    <t>Jose Cornejo</t>
  </si>
  <si>
    <t>Gabriela Aurora Julca Chavez</t>
  </si>
  <si>
    <t>+51916941048</t>
  </si>
  <si>
    <t>Luis Delgado</t>
  </si>
  <si>
    <t>+51997200174</t>
  </si>
  <si>
    <t>Rodrigo Renzo Campos Rojas</t>
  </si>
  <si>
    <t>+51939122015</t>
  </si>
  <si>
    <t>Oro Rojo</t>
  </si>
  <si>
    <t>+51944816296</t>
  </si>
  <si>
    <t>Danier Jaramillo Osorio</t>
  </si>
  <si>
    <t>+51932580530</t>
  </si>
  <si>
    <t>Marco Valeriano</t>
  </si>
  <si>
    <t>+51929715458</t>
  </si>
  <si>
    <t>Rosario Baldeón Carbajal</t>
  </si>
  <si>
    <t>+51910221408</t>
  </si>
  <si>
    <t>Paolo Mendez Vega</t>
  </si>
  <si>
    <t>+51917644117</t>
  </si>
  <si>
    <t>Javier Antonio Mv</t>
  </si>
  <si>
    <t>+51999892985</t>
  </si>
  <si>
    <t>Ronnye Mauricio Caldas Rivera</t>
  </si>
  <si>
    <t>+51931322680</t>
  </si>
  <si>
    <t>Fabiano Castillo</t>
  </si>
  <si>
    <t>+51994449017</t>
  </si>
  <si>
    <t>Andy Espinoza Saenz</t>
  </si>
  <si>
    <t>+51981305056</t>
  </si>
  <si>
    <t>Justa Luzmila Gomez Alguiar</t>
  </si>
  <si>
    <t>+51999292608</t>
  </si>
  <si>
    <t>Rosario Palomino Cristóbal</t>
  </si>
  <si>
    <t>+51960726355</t>
  </si>
  <si>
    <t>Daisy Paredes Perez</t>
  </si>
  <si>
    <t>+51988523465</t>
  </si>
  <si>
    <t>Javier ponte</t>
  </si>
  <si>
    <t>+51947243950</t>
  </si>
  <si>
    <t>jhon Peter sarmiento Atalaya</t>
  </si>
  <si>
    <t>+51977759141</t>
  </si>
  <si>
    <t>Jose Yupan Garcia</t>
  </si>
  <si>
    <t>+51987761356</t>
  </si>
  <si>
    <t>Maria Isabel Diaz Silva</t>
  </si>
  <si>
    <t>+51933816969</t>
  </si>
  <si>
    <t>Luz Gonzales Dávalos</t>
  </si>
  <si>
    <t>+51922520783</t>
  </si>
  <si>
    <t>Vilma</t>
  </si>
  <si>
    <t>+51993117933</t>
  </si>
  <si>
    <t>Ing. Ysabel Tinta Rojas</t>
  </si>
  <si>
    <t>+51947903849</t>
  </si>
  <si>
    <t>Karen Guerrero</t>
  </si>
  <si>
    <t>+51947997077</t>
  </si>
  <si>
    <t>Henry Revatt42373620 a Perez</t>
  </si>
  <si>
    <t>+51947368201</t>
  </si>
  <si>
    <t>Chase Rau</t>
  </si>
  <si>
    <t>+51987190190</t>
  </si>
  <si>
    <t>Carlos Anton Mucha</t>
  </si>
  <si>
    <t>+51971714452</t>
  </si>
  <si>
    <t>Stefanny Milagros Marquez Aylas</t>
  </si>
  <si>
    <t>katerine tapia</t>
  </si>
  <si>
    <t>+51935644532</t>
  </si>
  <si>
    <t>Emerson Quispe</t>
  </si>
  <si>
    <t>+51972202870</t>
  </si>
  <si>
    <t>GJ Ugaz Ocmin</t>
  </si>
  <si>
    <t>+51905811546</t>
  </si>
  <si>
    <t>Gj</t>
  </si>
  <si>
    <t>+51912665632</t>
  </si>
  <si>
    <t>Yanina Magaly Espino Aquije</t>
  </si>
  <si>
    <t>+51935784886</t>
  </si>
  <si>
    <t>Steven Chalco Tito</t>
  </si>
  <si>
    <t>+51906398604</t>
  </si>
  <si>
    <t>Miguel Alejos</t>
  </si>
  <si>
    <t>+51995438829</t>
  </si>
  <si>
    <t>Jess Roger Chuquilín Rojas</t>
  </si>
  <si>
    <t>+51989682085</t>
  </si>
  <si>
    <t>liz malena espinoza durand</t>
  </si>
  <si>
    <t>+51963300306</t>
  </si>
  <si>
    <t>Carlos Jesus Ibañez Mendoza</t>
  </si>
  <si>
    <t>+51983414652</t>
  </si>
  <si>
    <t>Milagros Villanueva</t>
  </si>
  <si>
    <t>+51933823629</t>
  </si>
  <si>
    <t>Luis Cueva Hurtado</t>
  </si>
  <si>
    <t>+51941933545</t>
  </si>
  <si>
    <t>jose magallanes</t>
  </si>
  <si>
    <t>+51914501344</t>
  </si>
  <si>
    <t>Percy J T. Ruiz</t>
  </si>
  <si>
    <t>+51963804209</t>
  </si>
  <si>
    <t>Javier Cruz Dioses</t>
  </si>
  <si>
    <t>+51998048147</t>
  </si>
  <si>
    <t>Miguel Ángel Fernández Cervantes</t>
  </si>
  <si>
    <t>+51965345783</t>
  </si>
  <si>
    <t>Carlos Ferrer</t>
  </si>
  <si>
    <t>+51966644449</t>
  </si>
  <si>
    <t>LIMA DUBERLI</t>
  </si>
  <si>
    <t>+51916822148</t>
  </si>
  <si>
    <t>juan risco salinas</t>
  </si>
  <si>
    <t>+51953119924</t>
  </si>
  <si>
    <t>Dajanne Ambp</t>
  </si>
  <si>
    <t>+51940974597</t>
  </si>
  <si>
    <t>Liliana León</t>
  </si>
  <si>
    <t>+51901954197</t>
  </si>
  <si>
    <t>Tomas Vara</t>
  </si>
  <si>
    <t>+51924877759</t>
  </si>
  <si>
    <t>Jorge Saravia Melgarejo</t>
  </si>
  <si>
    <t>+51929844794</t>
  </si>
  <si>
    <t>Maria Purizaga</t>
  </si>
  <si>
    <t>Rodolfo Caceres Bugarin</t>
  </si>
  <si>
    <t>Alberto Loarte</t>
  </si>
  <si>
    <t>Edwin Díaz</t>
  </si>
  <si>
    <t>Ronald Jimenez</t>
  </si>
  <si>
    <t>Neil Favio Ramirez Condor</t>
  </si>
  <si>
    <t>+51957592617</t>
  </si>
  <si>
    <t>César Elias Caceres</t>
  </si>
  <si>
    <t>+51979768699</t>
  </si>
  <si>
    <t>Edit Doris Quispe Montoya</t>
  </si>
  <si>
    <t>+51943932844</t>
  </si>
  <si>
    <t>Bernardocasternoque murrieta</t>
  </si>
  <si>
    <t>+51942860460</t>
  </si>
  <si>
    <t>Edwin Palomino</t>
  </si>
  <si>
    <t>+51968299841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</si>
</sst>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S/.]#,##0"/>
    <numFmt numFmtId="165" formatCode="d/M/yyyy"/>
    <numFmt numFmtId="166" formatCode="[$S/.]#,##0.00"/>
    <numFmt numFmtId="167" formatCode="dd/mm/yyyy"/>
    <numFmt numFmtId="168" formatCode="mmm&quot;/&quot;yyyy"/>
    <numFmt numFmtId="169" formatCode="&quot;S/&quot; #,##0"/>
    <numFmt numFmtId="170" formatCode="0.0%"/>
    <numFmt numFmtId="171" formatCode="&quot;S/&quot; #,##0.00"/>
    <numFmt numFmtId="172" formatCode="0.0%;[Red](0.0%);-"/>
    <numFmt numFmtId="173" formatCode="d mmm"/>
  </numFmts>
  <fonts count="35">
    <font>
      <sz val="11.0"/>
      <color rgb="FF000000"/>
      <name val="Carlito"/>
      <scheme val="minor"/>
    </font>
    <font>
      <b/>
      <sz val="20.0"/>
      <color rgb="FFFFFFFF"/>
      <name val="Carlito"/>
    </font>
    <font>
      <b/>
      <sz val="18.0"/>
      <color rgb="FFFFFFFF"/>
      <name val="Carlito"/>
    </font>
    <font/>
    <font>
      <color theme="1"/>
      <name val="Carlito"/>
      <scheme val="minor"/>
    </font>
    <font>
      <b/>
      <sz val="11.0"/>
      <color rgb="FFFFFFFF"/>
      <name val="Carlito"/>
    </font>
    <font>
      <b/>
      <sz val="12.0"/>
      <color rgb="FF0E121D"/>
      <name val="Carlito"/>
    </font>
    <font>
      <b/>
      <color rgb="FFFFFFFF"/>
      <name val="Carlito"/>
      <scheme val="minor"/>
    </font>
    <font>
      <b/>
      <color theme="1"/>
      <name val="Carlito"/>
      <scheme val="minor"/>
    </font>
    <font>
      <sz val="11.0"/>
      <color theme="1"/>
      <name val="Carlito"/>
    </font>
    <font>
      <sz val="12.0"/>
      <color rgb="FF000000"/>
      <name val="Carlito"/>
    </font>
    <font>
      <b/>
      <sz val="12.0"/>
      <color rgb="FF000000"/>
      <name val="Carlito"/>
    </font>
    <font>
      <sz val="12.0"/>
      <color rgb="FF1634CF"/>
      <name val="Carlito"/>
    </font>
    <font>
      <sz val="12.0"/>
      <color rgb="FF000000"/>
      <name val="Apple Color Emoji"/>
    </font>
    <font>
      <color rgb="FF000000"/>
      <name val="Carlito"/>
      <scheme val="minor"/>
    </font>
    <font>
      <sz val="11.0"/>
      <color theme="1"/>
      <name val="Carlito"/>
      <scheme val="minor"/>
    </font>
    <font>
      <b/>
      <sz val="11.0"/>
      <color theme="1"/>
      <name val="Carlito"/>
    </font>
    <font>
      <b/>
      <sz val="23.0"/>
      <color rgb="FFFFFFFF"/>
      <name val="Carlito"/>
    </font>
    <font>
      <b/>
      <sz val="34.0"/>
      <color rgb="FFFFFFFF"/>
      <name val="Carlito"/>
    </font>
    <font>
      <i/>
      <sz val="10.0"/>
      <color rgb="FF6B7280"/>
      <name val="Carlito"/>
    </font>
    <font>
      <b/>
      <sz val="11.0"/>
      <color rgb="FF0B1F33"/>
      <name val="Carlito"/>
    </font>
    <font>
      <b/>
      <sz val="11.0"/>
      <color rgb="FF1F2937"/>
      <name val="Carlito"/>
    </font>
    <font>
      <b/>
      <sz val="8.0"/>
      <color rgb="FF0B1F33"/>
      <name val="Carlito"/>
    </font>
    <font>
      <sz val="11.0"/>
      <color rgb="FF000000"/>
      <name val="Carlito"/>
    </font>
    <font>
      <b/>
      <sz val="11.0"/>
      <color rgb="FF111827"/>
      <name val="Carlito"/>
    </font>
    <font>
      <b/>
      <sz val="11.0"/>
      <color rgb="FF000000"/>
      <name val="Carlito"/>
    </font>
    <font>
      <b/>
      <color theme="0"/>
      <name val="Carlito"/>
      <scheme val="minor"/>
    </font>
    <font>
      <b/>
      <sz val="11.0"/>
      <color theme="1"/>
      <name val="Carlito"/>
      <scheme val="minor"/>
    </font>
    <font>
      <b/>
      <sz val="20.0"/>
      <color rgb="FF0B1F33"/>
      <name val="Carlito"/>
    </font>
    <font>
      <color theme="1"/>
      <name val="Carlito"/>
    </font>
    <font>
      <b/>
      <sz val="10.0"/>
      <color rgb="FF0B1F33"/>
      <name val="Carlito"/>
    </font>
    <font>
      <b/>
      <color rgb="FF000000"/>
      <name val="Carlito"/>
      <scheme val="minor"/>
    </font>
    <font>
      <sz val="12.0"/>
      <color rgb="FF000000"/>
      <name val="Calibri"/>
    </font>
    <font>
      <b/>
      <sz val="13.0"/>
      <color theme="1"/>
      <name val="Carlito"/>
      <scheme val="minor"/>
    </font>
    <font>
      <u/>
      <sz val="12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0B1726"/>
        <bgColor rgb="FF0B1726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0F1F4"/>
        <bgColor rgb="FFF0F1F4"/>
      </patternFill>
    </fill>
    <fill>
      <patternFill patternType="solid">
        <fgColor rgb="FF9900FF"/>
        <bgColor rgb="FF9900FF"/>
      </patternFill>
    </fill>
    <fill>
      <patternFill patternType="solid">
        <fgColor rgb="FFFFFBE5"/>
        <bgColor rgb="FFFFFBE5"/>
      </patternFill>
    </fill>
    <fill>
      <patternFill patternType="solid">
        <fgColor rgb="FFFFF7D6"/>
        <bgColor rgb="FFFFF7D6"/>
      </patternFill>
    </fill>
    <fill>
      <patternFill patternType="solid">
        <fgColor rgb="FF0F766E"/>
        <bgColor rgb="FF0F766E"/>
      </patternFill>
    </fill>
    <fill>
      <patternFill patternType="solid">
        <fgColor rgb="FFCBD5E1"/>
        <bgColor rgb="FFCBD5E1"/>
      </patternFill>
    </fill>
    <fill>
      <patternFill patternType="solid">
        <fgColor rgb="FFF3F4F6"/>
        <bgColor rgb="FFF3F4F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F0F6"/>
        <bgColor rgb="FFEAF0F6"/>
      </patternFill>
    </fill>
    <fill>
      <patternFill patternType="solid">
        <fgColor rgb="FFEEF6FF"/>
        <bgColor rgb="FFEEF6FF"/>
      </patternFill>
    </fill>
    <fill>
      <patternFill patternType="solid">
        <fgColor rgb="FF1F4E78"/>
        <bgColor rgb="FF1F4E78"/>
      </patternFill>
    </fill>
  </fills>
  <borders count="38">
    <border/>
    <border>
      <left style="thin">
        <color rgb="FF9A9A9A"/>
      </lef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9A9A9A"/>
      </top>
    </border>
    <border>
      <top style="thin">
        <color rgb="FF9A9A9A"/>
      </top>
      <bottom style="thin">
        <color rgb="FF000000"/>
      </bottom>
    </border>
    <border>
      <top style="thin">
        <color rgb="FF9A9A9A"/>
      </top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CBD5E1"/>
      </left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right style="thin">
        <color rgb="FFCBD5E1"/>
      </righ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bottom style="thin">
        <color rgb="FFCBD5E1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readingOrder="0"/>
    </xf>
    <xf borderId="3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0" fillId="0" fontId="4" numFmtId="164" xfId="0" applyFont="1" applyNumberFormat="1"/>
    <xf borderId="5" fillId="0" fontId="3" numFmtId="0" xfId="0" applyBorder="1" applyFont="1"/>
    <xf borderId="0" fillId="2" fontId="5" numFmtId="0" xfId="0" applyAlignment="1" applyFill="1" applyFont="1">
      <alignment horizontal="center" shrinkToFit="0" vertical="center" wrapText="1"/>
    </xf>
    <xf borderId="6" fillId="0" fontId="3" numFmtId="0" xfId="0" applyBorder="1" applyFont="1"/>
    <xf borderId="7" fillId="4" fontId="4" numFmtId="0" xfId="0" applyAlignment="1" applyBorder="1" applyFill="1" applyFont="1">
      <alignment vertical="bottom"/>
    </xf>
    <xf borderId="0" fillId="5" fontId="5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vertical="bottom"/>
    </xf>
    <xf borderId="0" fillId="2" fontId="5" numFmtId="0" xfId="0" applyAlignment="1" applyFill="1" applyFont="1">
      <alignment horizontal="center" readingOrder="0" shrinkToFit="0" vertical="center" wrapText="1"/>
    </xf>
    <xf borderId="7" fillId="4" fontId="4" numFmtId="165" xfId="0" applyAlignment="1" applyBorder="1" applyFill="1" applyFont="1" applyNumberFormat="1">
      <alignment vertical="bottom"/>
    </xf>
    <xf borderId="8" fillId="2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7" fillId="4" fontId="4" numFmtId="166" xfId="0" applyAlignment="1" applyBorder="1" applyFill="1" applyFont="1" applyNumberFormat="1">
      <alignment vertical="bottom"/>
    </xf>
    <xf borderId="10" fillId="5" fontId="5" numFmtId="164" xfId="0" applyAlignment="1" applyBorder="1" applyFill="1" applyFont="1" applyNumberForma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ill="1" applyFont="1">
      <alignment horizontal="center" readingOrder="0"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ill="1" applyFont="1">
      <alignment vertical="bottom"/>
    </xf>
    <xf borderId="13" fillId="4" fontId="4" numFmtId="0" xfId="0" applyAlignment="1" applyBorder="1" applyFill="1" applyFont="1">
      <alignment vertical="bottom"/>
    </xf>
    <xf borderId="0" fillId="7" fontId="7" numFmtId="0" xfId="0" applyAlignment="1" applyFill="1" applyFont="1">
      <alignment readingOrder="0"/>
    </xf>
    <xf borderId="14" fillId="6" fontId="6" numFmtId="165" xfId="0" applyAlignment="1" applyBorder="1" applyFill="1" applyFont="1" applyNumberFormat="1">
      <alignment horizontal="center" readingOrder="0" shrinkToFit="0" vertical="center" wrapText="1"/>
    </xf>
    <xf borderId="14" fillId="6" fontId="6" numFmtId="0" xfId="0" applyAlignment="1" applyBorder="1" applyFill="1" applyFont="1">
      <alignment horizontal="center" readingOrder="0" shrinkToFit="0" vertical="center" wrapText="1"/>
    </xf>
    <xf borderId="14" fillId="6" fontId="6" numFmtId="166" xfId="0" applyAlignment="1" applyBorder="1" applyFill="1" applyFont="1" applyNumberFormat="1">
      <alignment horizontal="center" readingOrder="0" shrinkToFit="0" vertical="center" wrapText="1"/>
    </xf>
    <xf borderId="15" fillId="4" fontId="8" numFmtId="0" xfId="0" applyAlignment="1" applyBorder="1" applyFill="1" applyFont="1">
      <alignment horizontal="center" readingOrder="0" vertical="bottom"/>
    </xf>
    <xf borderId="16" fillId="0" fontId="3" numFmtId="0" xfId="0" applyBorder="1" applyFont="1"/>
    <xf borderId="17" fillId="0" fontId="3" numFmtId="0" xfId="0" applyBorder="1" applyFont="1"/>
    <xf borderId="18" fillId="6" fontId="6" numFmtId="0" xfId="0" applyAlignment="1" applyBorder="1" applyFill="1" applyFont="1">
      <alignment horizontal="center" readingOrder="0" shrinkToFit="0" vertical="center" wrapText="1"/>
    </xf>
    <xf borderId="11" fillId="6" fontId="6" numFmtId="0" xfId="0" applyAlignment="1" applyBorder="1" applyFill="1" applyFont="1">
      <alignment horizontal="center" readingOrder="0"/>
    </xf>
    <xf borderId="14" fillId="8" fontId="10" numFmtId="0" xfId="0" applyAlignment="1" applyBorder="1" applyFill="1" applyFont="1">
      <alignment readingOrder="0" vertical="bottom"/>
    </xf>
    <xf borderId="19" fillId="0" fontId="9" numFmtId="167" xfId="0" applyBorder="1" applyFont="1" applyNumberFormat="1"/>
    <xf borderId="14" fillId="6" fontId="6" numFmtId="0" xfId="0" applyAlignment="1" applyBorder="1" applyFill="1" applyFont="1">
      <alignment horizontal="center" readingOrder="0"/>
    </xf>
    <xf borderId="14" fillId="8" fontId="10" numFmtId="165" xfId="0" applyAlignment="1" applyBorder="1" applyFill="1" applyFont="1" applyNumberFormat="1">
      <alignment readingOrder="0" vertical="bottom"/>
    </xf>
    <xf borderId="14" fillId="6" fontId="11" numFmtId="0" xfId="0" applyAlignment="1" applyBorder="1" applyFill="1" applyFont="1">
      <alignment horizontal="center" readingOrder="0"/>
    </xf>
    <xf borderId="20" fillId="4" fontId="10" numFmtId="168" xfId="0" applyAlignment="1" applyBorder="1" applyFill="1" applyFont="1" applyNumberFormat="1">
      <alignment readingOrder="0" vertical="bottom"/>
    </xf>
    <xf borderId="14" fillId="8" fontId="12" numFmtId="166" xfId="0" applyAlignment="1" applyBorder="1" applyFill="1" applyFont="1" applyNumberFormat="1">
      <alignment readingOrder="0" vertical="bottom"/>
    </xf>
    <xf borderId="14" fillId="8" fontId="12" numFmtId="0" xfId="0" applyAlignment="1" applyBorder="1" applyFill="1" applyFont="1">
      <alignment readingOrder="0" vertical="bottom"/>
    </xf>
    <xf borderId="0" fillId="0" fontId="9" numFmtId="0" xfId="0" applyFont="1"/>
    <xf borderId="14" fillId="4" fontId="10" numFmtId="10" xfId="0" applyAlignment="1" applyBorder="1" applyFill="1" applyFont="1" applyNumberFormat="1">
      <alignment readingOrder="0" vertical="bottom"/>
    </xf>
    <xf borderId="14" fillId="8" fontId="10" numFmtId="10" xfId="0" applyAlignment="1" applyBorder="1" applyFill="1" applyFont="1" applyNumberFormat="1">
      <alignment readingOrder="0" vertical="bottom"/>
    </xf>
    <xf borderId="14" fillId="8" fontId="10" numFmtId="166" xfId="0" applyAlignment="1" applyBorder="1" applyFill="1" applyFont="1" applyNumberFormat="1">
      <alignment readingOrder="0" vertical="bottom"/>
    </xf>
    <xf borderId="14" fillId="4" fontId="10" numFmtId="166" xfId="0" applyAlignment="1" applyBorder="1" applyFill="1" applyFont="1" applyNumberFormat="1">
      <alignment readingOrder="0" vertical="bottom"/>
    </xf>
    <xf borderId="14" fillId="4" fontId="10" numFmtId="0" xfId="0" applyAlignment="1" applyBorder="1" applyFill="1" applyFont="1">
      <alignment readingOrder="0" vertical="bottom"/>
    </xf>
    <xf borderId="21" fillId="4" fontId="10" numFmtId="10" xfId="0" applyAlignment="1" applyBorder="1" applyFill="1" applyFont="1" applyNumberFormat="1">
      <alignment readingOrder="0" vertical="bottom"/>
    </xf>
    <xf borderId="22" fillId="4" fontId="10" numFmtId="166" xfId="0" applyAlignment="1" applyBorder="1" applyFill="1" applyFont="1" applyNumberFormat="1">
      <alignment readingOrder="0" vertical="bottom"/>
    </xf>
    <xf borderId="22" fillId="4" fontId="13" numFmtId="0" xfId="0" applyAlignment="1" applyBorder="1" applyFill="1" applyFont="1">
      <alignment readingOrder="0" vertical="bottom"/>
    </xf>
    <xf borderId="0" fillId="0" fontId="9" numFmtId="164" xfId="0" applyFont="1" applyNumberFormat="1"/>
    <xf borderId="23" fillId="0" fontId="9" numFmtId="169" xfId="0" applyBorder="1" applyFont="1" applyNumberFormat="1"/>
    <xf borderId="0" fillId="0" fontId="4" numFmtId="10" xfId="0" applyAlignment="1" applyFont="1" applyNumberFormat="1">
      <alignment horizontal="right"/>
    </xf>
    <xf borderId="24" fillId="4" fontId="13" numFmtId="0" xfId="0" applyAlignment="1" applyBorder="1" applyFill="1" applyFont="1">
      <alignment readingOrder="0" vertical="bottom"/>
    </xf>
    <xf borderId="14" fillId="8" fontId="14" numFmtId="0" xfId="0" applyAlignment="1" applyBorder="1" applyFill="1" applyFont="1">
      <alignment vertical="bottom"/>
    </xf>
    <xf borderId="14" fillId="8" fontId="14" numFmtId="166" xfId="0" applyAlignment="1" applyBorder="1" applyFill="1" applyFont="1" applyNumberFormat="1">
      <alignment vertical="bottom"/>
    </xf>
    <xf borderId="14" fillId="4" fontId="14" numFmtId="0" xfId="0" applyAlignment="1" applyBorder="1" applyFill="1" applyFont="1">
      <alignment vertical="bottom"/>
    </xf>
    <xf borderId="14" fillId="4" fontId="4" numFmtId="0" xfId="0" applyAlignment="1" applyBorder="1" applyFill="1" applyFont="1">
      <alignment vertical="bottom"/>
    </xf>
    <xf borderId="14" fillId="4" fontId="4" numFmtId="165" xfId="0" applyAlignment="1" applyBorder="1" applyFill="1" applyFont="1" applyNumberFormat="1">
      <alignment vertical="bottom"/>
    </xf>
    <xf borderId="14" fillId="4" fontId="4" numFmtId="166" xfId="0" applyAlignment="1" applyBorder="1" applyFill="1" applyFont="1" applyNumberFormat="1">
      <alignment vertical="bottom"/>
    </xf>
    <xf borderId="25" fillId="4" fontId="4" numFmtId="0" xfId="0" applyAlignment="1" applyBorder="1" applyFill="1" applyFont="1">
      <alignment vertical="bottom"/>
    </xf>
    <xf borderId="25" fillId="4" fontId="4" numFmtId="165" xfId="0" applyAlignment="1" applyBorder="1" applyFill="1" applyFont="1" applyNumberFormat="1">
      <alignment vertical="bottom"/>
    </xf>
    <xf borderId="25" fillId="4" fontId="4" numFmtId="166" xfId="0" applyAlignment="1" applyBorder="1" applyFill="1" applyFont="1" applyNumberFormat="1">
      <alignment vertical="bottom"/>
    </xf>
    <xf borderId="24" fillId="4" fontId="4" numFmtId="0" xfId="0" applyAlignment="1" applyBorder="1" applyFill="1" applyFont="1">
      <alignment vertical="bottom"/>
    </xf>
    <xf borderId="24" fillId="4" fontId="4" numFmtId="165" xfId="0" applyAlignment="1" applyBorder="1" applyFill="1" applyFont="1" applyNumberFormat="1">
      <alignment vertical="bottom"/>
    </xf>
    <xf borderId="24" fillId="4" fontId="4" numFmtId="166" xfId="0" applyAlignment="1" applyBorder="1" applyFill="1" applyFont="1" applyNumberFormat="1">
      <alignment vertical="bottom"/>
    </xf>
    <xf borderId="0" fillId="0" fontId="4" numFmtId="165" xfId="0" applyFont="1" applyNumberFormat="1"/>
    <xf borderId="0" fillId="0" fontId="4" numFmtId="166" xfId="0" applyFont="1" applyNumberFormat="1"/>
    <xf borderId="26" fillId="4" fontId="4" numFmtId="0" xfId="0" applyAlignment="1" applyBorder="1" applyFill="1" applyFont="1">
      <alignment vertical="bottom"/>
    </xf>
    <xf borderId="0" fillId="0" fontId="4" numFmtId="0" xfId="0" applyFont="1"/>
    <xf borderId="0" fillId="0" fontId="9" numFmtId="167" xfId="0" applyFont="1" applyNumberFormat="1"/>
    <xf borderId="9" fillId="2" fontId="5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19" fillId="0" fontId="9" numFmtId="0" xfId="0" applyBorder="1" applyFont="1"/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169" xfId="0" applyFont="1" applyNumberFormat="1"/>
    <xf borderId="0" fillId="0" fontId="9" numFmtId="170" xfId="0" applyFont="1" applyNumberFormat="1"/>
    <xf borderId="0" fillId="0" fontId="9" numFmtId="166" xfId="0" applyFont="1" applyNumberFormat="1"/>
    <xf borderId="0" fillId="0" fontId="9" numFmtId="10" xfId="0" applyAlignment="1" applyFont="1" applyNumberFormat="1">
      <alignment horizontal="right" readingOrder="0"/>
    </xf>
    <xf borderId="0" fillId="0" fontId="9" numFmtId="10" xfId="0" applyAlignment="1" applyFont="1" applyNumberFormat="1">
      <alignment horizontal="right"/>
    </xf>
    <xf borderId="27" fillId="0" fontId="9" numFmtId="167" xfId="0" applyBorder="1" applyFont="1" applyNumberFormat="1"/>
    <xf borderId="28" fillId="0" fontId="9" numFmtId="0" xfId="0" applyBorder="1" applyFont="1"/>
    <xf borderId="0" fillId="0" fontId="9" numFmtId="4" xfId="0" applyFont="1" applyNumberFormat="1"/>
    <xf borderId="0" fillId="0" fontId="4" numFmtId="166" xfId="0" applyAlignment="1" applyFont="1" applyNumberFormat="1">
      <alignment readingOrder="0"/>
    </xf>
    <xf borderId="29" fillId="0" fontId="3" numFmtId="0" xfId="0" applyBorder="1" applyFont="1"/>
    <xf borderId="11" fillId="8" fontId="12" numFmtId="0" xfId="0" applyAlignment="1" applyBorder="1" applyFill="1" applyFont="1">
      <alignment readingOrder="0" vertical="bottom"/>
    </xf>
    <xf borderId="14" fillId="8" fontId="12" numFmtId="167" xfId="0" applyAlignment="1" applyBorder="1" applyFill="1" applyFont="1" applyNumberFormat="1">
      <alignment readingOrder="0" vertical="bottom"/>
    </xf>
    <xf borderId="21" fillId="4" fontId="10" numFmtId="0" xfId="0" applyAlignment="1" applyBorder="1" applyFill="1" applyFont="1">
      <alignment readingOrder="0" vertical="bottom"/>
    </xf>
    <xf borderId="20" fillId="4" fontId="10" numFmtId="10" xfId="0" applyAlignment="1" applyBorder="1" applyFill="1" applyFont="1" applyNumberFormat="1">
      <alignment readingOrder="0" vertical="bottom"/>
    </xf>
    <xf borderId="0" fillId="0" fontId="1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19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71" xfId="0" applyAlignment="1" applyFont="1" applyNumberFormat="1">
      <alignment shrinkToFit="0" vertical="center" wrapText="0"/>
    </xf>
    <xf borderId="23" fillId="0" fontId="9" numFmtId="0" xfId="0" applyAlignment="1" applyBorder="1" applyFont="1">
      <alignment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27" fillId="0" fontId="9" numFmtId="0" xfId="0" applyBorder="1" applyFont="1"/>
    <xf borderId="0" fillId="4" fontId="17" numFmtId="0" xfId="0" applyAlignment="1" applyFill="1" applyFont="1">
      <alignment horizontal="center" readingOrder="0" vertical="center"/>
    </xf>
    <xf borderId="0" fillId="4" fontId="18" numFmtId="0" xfId="0" applyAlignment="1" applyFill="1" applyFont="1">
      <alignment horizontal="center" readingOrder="0" vertical="center"/>
    </xf>
    <xf borderId="15" fillId="2" fontId="17" numFmtId="0" xfId="0" applyAlignment="1" applyBorder="1" applyFill="1" applyFont="1">
      <alignment horizontal="center" readingOrder="0" vertical="center"/>
    </xf>
    <xf borderId="0" fillId="4" fontId="19" numFmtId="0" xfId="0" applyAlignment="1" applyFill="1" applyFont="1">
      <alignment shrinkToFit="0" wrapText="1"/>
    </xf>
    <xf borderId="0" fillId="0" fontId="19" numFmtId="0" xfId="0" applyAlignment="1" applyFont="1">
      <alignment shrinkToFit="0" wrapText="1"/>
    </xf>
    <xf borderId="0" fillId="4" fontId="4" numFmtId="0" xfId="0" applyFill="1" applyFont="1"/>
    <xf borderId="0" fillId="4" fontId="20" numFmtId="0" xfId="0" applyFill="1" applyFont="1"/>
    <xf borderId="14" fillId="0" fontId="20" numFmtId="0" xfId="0" applyBorder="1" applyFont="1"/>
    <xf borderId="14" fillId="9" fontId="21" numFmtId="167" xfId="0" applyAlignment="1" applyBorder="1" applyFill="1" applyFont="1" applyNumberFormat="1">
      <alignment horizontal="center" readingOrder="0"/>
    </xf>
    <xf borderId="14" fillId="0" fontId="20" numFmtId="167" xfId="0" applyBorder="1" applyFont="1" applyNumberFormat="1"/>
    <xf borderId="15" fillId="9" fontId="21" numFmtId="167" xfId="0" applyAlignment="1" applyBorder="1" applyFill="1" applyFont="1" applyNumberFormat="1">
      <alignment horizontal="center" readingOrder="0"/>
    </xf>
    <xf borderId="15" fillId="0" fontId="8" numFmtId="0" xfId="0" applyAlignment="1" applyBorder="1" applyFont="1">
      <alignment readingOrder="0"/>
    </xf>
    <xf borderId="15" fillId="0" fontId="8" numFmtId="14" xfId="0" applyBorder="1" applyFont="1" applyNumberFormat="1"/>
    <xf borderId="0" fillId="4" fontId="5" numFmtId="0" xfId="0" applyAlignment="1" applyFill="1" applyFont="1">
      <alignment shrinkToFit="0" wrapText="1"/>
    </xf>
    <xf borderId="0" fillId="10" fontId="5" numFmtId="0" xfId="0" applyAlignment="1" applyFill="1" applyFont="1">
      <alignment shrinkToFit="0" wrapText="1"/>
    </xf>
    <xf borderId="0" fillId="4" fontId="4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30" fillId="0" fontId="9" numFmtId="170" xfId="0" applyBorder="1" applyFont="1" applyNumberFormat="1"/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5" fillId="4" fontId="4" numFmtId="166" xfId="0" applyAlignment="1" applyBorder="1" applyFill="1" applyFont="1" applyNumberFormat="1">
      <alignment readingOrder="0"/>
    </xf>
    <xf borderId="14" fillId="0" fontId="4" numFmtId="0" xfId="0" applyBorder="1" applyFont="1"/>
    <xf borderId="0" fillId="0" fontId="9" numFmtId="171" xfId="0" applyAlignment="1" applyFont="1" applyNumberFormat="1">
      <alignment readingOrder="0" shrinkToFit="0" vertical="center" wrapText="0"/>
    </xf>
    <xf borderId="15" fillId="0" fontId="4" numFmtId="166" xfId="0" applyBorder="1" applyFont="1" applyNumberFormat="1"/>
    <xf borderId="23" fillId="0" fontId="9" numFmtId="0" xfId="0" applyAlignment="1" applyBorder="1" applyFont="1">
      <alignment readingOrder="0" shrinkToFit="0" vertical="center" wrapText="0"/>
    </xf>
    <xf borderId="14" fillId="4" fontId="4" numFmtId="0" xfId="0" applyBorder="1" applyFill="1" applyFont="1"/>
    <xf borderId="0" fillId="4" fontId="22" numFmtId="0" xfId="0" applyAlignment="1" applyFill="1" applyFont="1">
      <alignment horizontal="left" shrinkToFit="0" vertical="center" wrapText="1"/>
    </xf>
    <xf borderId="14" fillId="0" fontId="4" numFmtId="0" xfId="0" applyBorder="1" applyFont="1"/>
    <xf borderId="15" fillId="0" fontId="4" numFmtId="10" xfId="0" applyBorder="1" applyFont="1" applyNumberFormat="1"/>
    <xf borderId="15" fillId="0" fontId="4" numFmtId="2" xfId="0" applyAlignment="1" applyBorder="1" applyFont="1" applyNumberFormat="1">
      <alignment horizontal="right"/>
    </xf>
    <xf borderId="15" fillId="11" fontId="23" numFmtId="0" xfId="0" applyAlignment="1" applyBorder="1" applyFill="1" applyFont="1">
      <alignment horizontal="center" shrinkToFit="0" vertical="center" wrapText="1"/>
    </xf>
    <xf borderId="15" fillId="11" fontId="23" numFmtId="0" xfId="0" applyAlignment="1" applyBorder="1" applyFill="1" applyFont="1">
      <alignment horizontal="center" readingOrder="0" shrinkToFit="0" vertical="center" wrapText="1"/>
    </xf>
    <xf borderId="15" fillId="0" fontId="9" numFmtId="0" xfId="0" applyBorder="1" applyFont="1"/>
    <xf borderId="15" fillId="0" fontId="9" numFmtId="169" xfId="0" applyBorder="1" applyFont="1" applyNumberFormat="1"/>
    <xf borderId="0" fillId="0" fontId="9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10" fontId="5" numFmtId="0" xfId="0" applyAlignment="1" applyFill="1" applyFont="1">
      <alignment readingOrder="0" shrinkToFit="0" wrapText="1"/>
    </xf>
    <xf borderId="0" fillId="4" fontId="24" numFmtId="0" xfId="0" applyAlignment="1" applyFill="1" applyFont="1">
      <alignment horizontal="center" shrinkToFit="0" wrapText="1"/>
    </xf>
    <xf borderId="0" fillId="4" fontId="24" numFmtId="0" xfId="0" applyAlignment="1" applyFill="1" applyFont="1">
      <alignment horizontal="center" readingOrder="0" shrinkToFit="0" wrapText="1"/>
    </xf>
    <xf borderId="14" fillId="12" fontId="24" numFmtId="0" xfId="0" applyAlignment="1" applyBorder="1" applyFill="1" applyFont="1">
      <alignment horizontal="center" shrinkToFit="0" wrapText="1"/>
    </xf>
    <xf borderId="14" fillId="12" fontId="24" numFmtId="0" xfId="0" applyAlignment="1" applyBorder="1" applyFill="1" applyFont="1">
      <alignment horizontal="center" readingOrder="0" shrinkToFit="0" wrapText="1"/>
    </xf>
    <xf borderId="15" fillId="12" fontId="24" numFmtId="0" xfId="0" applyAlignment="1" applyBorder="1" applyFill="1" applyFont="1">
      <alignment horizontal="center" shrinkToFit="0" wrapText="1"/>
    </xf>
    <xf borderId="0" fillId="4" fontId="9" numFmtId="0" xfId="0" applyAlignment="1" applyFill="1" applyFont="1">
      <alignment shrinkToFit="0" vertical="bottom" wrapText="1"/>
    </xf>
    <xf borderId="14" fillId="0" fontId="9" numFmtId="0" xfId="0" applyAlignment="1" applyBorder="1" applyFont="1">
      <alignment shrinkToFit="0" vertical="bottom" wrapText="1"/>
    </xf>
    <xf borderId="14" fillId="0" fontId="23" numFmtId="0" xfId="0" applyAlignment="1" applyBorder="1" applyFont="1">
      <alignment horizontal="right" readingOrder="0" shrinkToFit="0" vertical="bottom" wrapText="1"/>
    </xf>
    <xf borderId="14" fillId="0" fontId="23" numFmtId="172" xfId="0" applyAlignment="1" applyBorder="1" applyFont="1" applyNumberFormat="1">
      <alignment horizontal="right" shrinkToFit="0" vertical="bottom" wrapText="1"/>
    </xf>
    <xf borderId="15" fillId="13" fontId="23" numFmtId="166" xfId="0" applyAlignment="1" applyBorder="1" applyFill="1" applyFont="1" applyNumberFormat="1">
      <alignment horizontal="right" shrinkToFit="0" vertical="bottom" wrapText="1"/>
    </xf>
    <xf borderId="14" fillId="0" fontId="14" numFmtId="166" xfId="0" applyBorder="1" applyFont="1" applyNumberFormat="1"/>
    <xf borderId="14" fillId="0" fontId="16" numFmtId="0" xfId="0" applyAlignment="1" applyBorder="1" applyFont="1">
      <alignment shrinkToFit="0" vertical="bottom" wrapText="1"/>
    </xf>
    <xf borderId="14" fillId="0" fontId="25" numFmtId="0" xfId="0" applyAlignment="1" applyBorder="1" applyFont="1">
      <alignment horizontal="right" shrinkToFit="0" vertical="bottom" wrapText="1"/>
    </xf>
    <xf borderId="14" fillId="0" fontId="25" numFmtId="9" xfId="0" applyAlignment="1" applyBorder="1" applyFont="1" applyNumberFormat="1">
      <alignment horizontal="right" readingOrder="0" shrinkToFit="0" vertical="bottom" wrapText="1"/>
    </xf>
    <xf borderId="15" fillId="13" fontId="25" numFmtId="166" xfId="0" applyAlignment="1" applyBorder="1" applyFill="1" applyFont="1" applyNumberFormat="1">
      <alignment horizontal="right" shrinkToFit="0" vertical="bottom" wrapText="1"/>
    </xf>
    <xf borderId="14" fillId="0" fontId="14" numFmtId="0" xfId="0" applyBorder="1" applyFont="1"/>
    <xf borderId="15" fillId="13" fontId="4" numFmtId="0" xfId="0" applyAlignment="1" applyBorder="1" applyFill="1" applyFont="1">
      <alignment readingOrder="0"/>
    </xf>
    <xf borderId="15" fillId="13" fontId="4" numFmtId="166" xfId="0" applyBorder="1" applyFill="1" applyFont="1" applyNumberFormat="1"/>
    <xf borderId="14" fillId="4" fontId="4" numFmtId="10" xfId="0" applyBorder="1" applyFill="1" applyFont="1" applyNumberFormat="1"/>
    <xf borderId="15" fillId="12" fontId="8" numFmtId="0" xfId="0" applyAlignment="1" applyBorder="1" applyFill="1" applyFont="1">
      <alignment readingOrder="0"/>
    </xf>
    <xf borderId="15" fillId="12" fontId="8" numFmtId="166" xfId="0" applyAlignment="1" applyBorder="1" applyFill="1" applyFont="1" applyNumberFormat="1">
      <alignment readingOrder="0"/>
    </xf>
    <xf borderId="14" fillId="0" fontId="4" numFmtId="10" xfId="0" applyBorder="1" applyFont="1" applyNumberFormat="1"/>
    <xf borderId="15" fillId="13" fontId="8" numFmtId="0" xfId="0" applyAlignment="1" applyBorder="1" applyFill="1" applyFont="1">
      <alignment readingOrder="0"/>
    </xf>
    <xf borderId="15" fillId="13" fontId="8" numFmtId="166" xfId="0" applyBorder="1" applyFill="1" applyFont="1" applyNumberFormat="1"/>
    <xf borderId="0" fillId="2" fontId="26" numFmtId="0" xfId="0" applyAlignment="1" applyFill="1" applyFont="1">
      <alignment readingOrder="0"/>
    </xf>
    <xf borderId="15" fillId="4" fontId="4" numFmtId="10" xfId="0" applyBorder="1" applyFill="1" applyFont="1" applyNumberFormat="1"/>
    <xf borderId="15" fillId="0" fontId="4" numFmtId="166" xfId="0" applyAlignment="1" applyBorder="1" applyFont="1" applyNumberFormat="1">
      <alignment readingOrder="0"/>
    </xf>
    <xf borderId="15" fillId="4" fontId="4" numFmtId="166" xfId="0" applyBorder="1" applyFill="1" applyFont="1" applyNumberFormat="1"/>
    <xf borderId="15" fillId="4" fontId="23" numFmtId="0" xfId="0" applyAlignment="1" applyBorder="1" applyFill="1" applyFont="1">
      <alignment readingOrder="0" vertical="bottom"/>
    </xf>
    <xf borderId="15" fillId="0" fontId="4" numFmtId="0" xfId="0" applyBorder="1" applyFont="1"/>
    <xf borderId="15" fillId="0" fontId="15" numFmtId="2" xfId="0" applyBorder="1" applyFont="1" applyNumberFormat="1"/>
    <xf borderId="0" fillId="0" fontId="27" numFmtId="0" xfId="0" applyAlignment="1" applyFont="1">
      <alignment readingOrder="0"/>
    </xf>
    <xf borderId="0" fillId="4" fontId="20" numFmtId="2" xfId="0" applyAlignment="1" applyFill="1" applyFont="1" applyNumberFormat="1">
      <alignment horizontal="right" shrinkToFit="0" vertical="center" wrapText="1"/>
    </xf>
    <xf borderId="15" fillId="0" fontId="27" numFmtId="0" xfId="0" applyAlignment="1" applyBorder="1" applyFont="1">
      <alignment readingOrder="0"/>
    </xf>
    <xf borderId="15" fillId="4" fontId="20" numFmtId="2" xfId="0" applyAlignment="1" applyBorder="1" applyFill="1" applyFont="1" applyNumberFormat="1">
      <alignment horizontal="right" shrinkToFit="0" vertical="center" wrapText="1"/>
    </xf>
    <xf borderId="0" fillId="4" fontId="28" numFmtId="171" xfId="0" applyAlignment="1" applyFill="1" applyFont="1" applyNumberFormat="1">
      <alignment horizontal="center" vertical="center"/>
    </xf>
    <xf borderId="0" fillId="0" fontId="4" numFmtId="10" xfId="0" applyFont="1" applyNumberFormat="1"/>
    <xf borderId="15" fillId="14" fontId="4" numFmtId="166" xfId="0" applyAlignment="1" applyBorder="1" applyFill="1" applyFont="1" applyNumberFormat="1">
      <alignment readingOrder="0"/>
    </xf>
    <xf borderId="0" fillId="15" fontId="4" numFmtId="0" xfId="0" applyAlignment="1" applyFill="1" applyFont="1">
      <alignment readingOrder="0"/>
    </xf>
    <xf borderId="0" fillId="4" fontId="5" numFmtId="0" xfId="0" applyAlignment="1" applyFill="1" applyFont="1">
      <alignment readingOrder="0" shrinkToFit="0" wrapText="1"/>
    </xf>
    <xf borderId="14" fillId="4" fontId="4" numFmtId="9" xfId="0" applyAlignment="1" applyBorder="1" applyFill="1" applyFont="1" applyNumberFormat="1">
      <alignment readingOrder="0"/>
    </xf>
    <xf borderId="14" fillId="0" fontId="4" numFmtId="2" xfId="0" applyAlignment="1" applyBorder="1" applyFont="1" applyNumberFormat="1">
      <alignment readingOrder="0"/>
    </xf>
    <xf borderId="14" fillId="0" fontId="4" numFmtId="2" xfId="0" applyBorder="1" applyFont="1" applyNumberFormat="1"/>
    <xf borderId="14" fillId="0" fontId="4" numFmtId="1" xfId="0" applyBorder="1" applyFont="1" applyNumberFormat="1"/>
    <xf borderId="14" fillId="15" fontId="4" numFmtId="0" xfId="0" applyBorder="1" applyFill="1" applyFont="1"/>
    <xf borderId="0" fillId="4" fontId="5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15" fontId="4" numFmtId="0" xfId="0" applyFill="1" applyFont="1"/>
    <xf borderId="0" fillId="0" fontId="16" numFmtId="10" xfId="0" applyFont="1" applyNumberFormat="1"/>
    <xf borderId="9" fillId="4" fontId="5" numFmtId="0" xfId="0" applyAlignment="1" applyBorder="1" applyFill="1" applyFont="1">
      <alignment horizontal="center" readingOrder="0" shrinkToFit="0" vertical="center" wrapText="1"/>
    </xf>
    <xf borderId="0" fillId="4" fontId="9" numFmtId="0" xfId="0" applyFill="1" applyFont="1"/>
    <xf borderId="0" fillId="4" fontId="21" numFmtId="0" xfId="0" applyAlignment="1" applyFill="1" applyFont="1">
      <alignment horizontal="center" shrinkToFit="0" vertical="center" wrapText="1"/>
    </xf>
    <xf borderId="0" fillId="0" fontId="9" numFmtId="10" xfId="0" applyAlignment="1" applyFont="1" applyNumberFormat="1">
      <alignment readingOrder="0"/>
    </xf>
    <xf borderId="23" fillId="0" fontId="9" numFmtId="10" xfId="0" applyAlignment="1" applyBorder="1" applyFont="1" applyNumberFormat="1">
      <alignment readingOrder="0"/>
    </xf>
    <xf borderId="28" fillId="0" fontId="9" numFmtId="10" xfId="0" applyAlignment="1" applyBorder="1" applyFont="1" applyNumberFormat="1">
      <alignment readingOrder="0"/>
    </xf>
    <xf borderId="14" fillId="2" fontId="5" numFmtId="0" xfId="0" applyAlignment="1" applyBorder="1" applyFill="1" applyFont="1">
      <alignment horizontal="center" shrinkToFit="0" vertical="center" wrapText="1"/>
    </xf>
    <xf borderId="15" fillId="2" fontId="5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4" fillId="0" fontId="16" numFmtId="0" xfId="0" applyAlignment="1" applyBorder="1" applyFont="1">
      <alignment readingOrder="0"/>
    </xf>
    <xf borderId="14" fillId="0" fontId="16" numFmtId="0" xfId="0" applyBorder="1" applyFont="1"/>
    <xf borderId="15" fillId="0" fontId="16" numFmtId="169" xfId="0" applyBorder="1" applyFont="1" applyNumberFormat="1"/>
    <xf borderId="15" fillId="2" fontId="5" numFmtId="0" xfId="0" applyAlignment="1" applyBorder="1" applyFill="1" applyFont="1">
      <alignment readingOrder="0" shrinkToFit="0" wrapText="1"/>
    </xf>
    <xf borderId="0" fillId="4" fontId="29" numFmtId="0" xfId="0" applyAlignment="1" applyFill="1" applyFont="1">
      <alignment readingOrder="0"/>
    </xf>
    <xf borderId="15" fillId="16" fontId="29" numFmtId="0" xfId="0" applyAlignment="1" applyBorder="1" applyFill="1" applyFont="1">
      <alignment readingOrder="0"/>
    </xf>
    <xf borderId="14" fillId="0" fontId="29" numFmtId="0" xfId="0" applyBorder="1" applyFont="1"/>
    <xf borderId="15" fillId="17" fontId="4" numFmtId="0" xfId="0" applyAlignment="1" applyBorder="1" applyFill="1" applyFont="1">
      <alignment readingOrder="0"/>
    </xf>
    <xf borderId="31" fillId="4" fontId="4" numFmtId="0" xfId="0" applyAlignment="1" applyBorder="1" applyFill="1" applyFont="1">
      <alignment horizontal="center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8" fillId="4" fontId="30" numFmtId="0" xfId="0" applyAlignment="1" applyBorder="1" applyFill="1" applyFont="1">
      <alignment horizontal="center" shrinkToFit="0" vertical="center" wrapText="1"/>
    </xf>
    <xf borderId="9" fillId="4" fontId="30" numFmtId="0" xfId="0" applyAlignment="1" applyBorder="1" applyFill="1" applyFont="1">
      <alignment horizontal="center" shrinkToFit="0" vertical="center" wrapText="1"/>
    </xf>
    <xf borderId="0" fillId="4" fontId="7" numFmtId="0" xfId="0" applyFill="1" applyFont="1"/>
    <xf borderId="0" fillId="2" fontId="7" numFmtId="0" xfId="0" applyFill="1" applyFont="1"/>
    <xf borderId="14" fillId="2" fontId="7" numFmtId="0" xfId="0" applyAlignment="1" applyBorder="1" applyFill="1" applyFont="1">
      <alignment readingOrder="0"/>
    </xf>
    <xf borderId="0" fillId="18" fontId="5" numFmtId="0" xfId="0" applyAlignment="1" applyFill="1" applyFont="1">
      <alignment horizontal="left" vertical="center"/>
    </xf>
    <xf borderId="0" fillId="4" fontId="16" numFmtId="0" xfId="0" applyAlignment="1" applyFill="1" applyFont="1">
      <alignment shrinkToFit="0" vertical="bottom" wrapText="1"/>
    </xf>
    <xf borderId="15" fillId="0" fontId="16" numFmtId="0" xfId="0" applyAlignment="1" applyBorder="1" applyFont="1">
      <alignment shrinkToFit="0" vertical="bottom" wrapText="1"/>
    </xf>
    <xf borderId="14" fillId="0" fontId="8" numFmtId="0" xfId="0" applyBorder="1" applyFont="1"/>
    <xf borderId="14" fillId="4" fontId="8" numFmtId="0" xfId="0" applyBorder="1" applyFill="1" applyFont="1"/>
    <xf borderId="14" fillId="0" fontId="31" numFmtId="0" xfId="0" applyBorder="1" applyFont="1"/>
    <xf borderId="0" fillId="4" fontId="16" numFmtId="0" xfId="0" applyAlignment="1" applyFill="1" applyFont="1">
      <alignment readingOrder="0" shrinkToFit="0" vertical="bottom" wrapText="1"/>
    </xf>
    <xf borderId="15" fillId="0" fontId="16" numFmtId="0" xfId="0" applyAlignment="1" applyBorder="1" applyFont="1">
      <alignment readingOrder="0" shrinkToFit="0" vertical="bottom" wrapText="1"/>
    </xf>
    <xf borderId="14" fillId="0" fontId="8" numFmtId="0" xfId="0" applyAlignment="1" applyBorder="1" applyFont="1">
      <alignment readingOrder="0"/>
    </xf>
    <xf borderId="14" fillId="0" fontId="16" numFmtId="172" xfId="0" applyAlignment="1" applyBorder="1" applyFont="1" applyNumberFormat="1">
      <alignment horizontal="right" shrinkToFit="0" vertical="bottom" wrapText="1"/>
    </xf>
    <xf borderId="14" fillId="0" fontId="16" numFmtId="9" xfId="0" applyAlignment="1" applyBorder="1" applyFont="1" applyNumberFormat="1">
      <alignment horizontal="right" readingOrder="0" shrinkToFit="0" vertical="bottom" wrapText="1"/>
    </xf>
    <xf borderId="14" fillId="0" fontId="25" numFmtId="172" xfId="0" applyAlignment="1" applyBorder="1" applyFont="1" applyNumberFormat="1">
      <alignment horizontal="right" shrinkToFit="0" vertical="bottom" wrapText="1"/>
    </xf>
    <xf borderId="14" fillId="4" fontId="16" numFmtId="0" xfId="0" applyAlignment="1" applyBorder="1" applyFill="1" applyFont="1">
      <alignment shrinkToFit="0" vertical="bottom" wrapText="1"/>
    </xf>
    <xf borderId="0" fillId="4" fontId="9" numFmtId="0" xfId="0" applyAlignment="1" applyFill="1" applyFont="1">
      <alignment readingOrder="0" shrinkToFit="0" vertical="bottom" wrapText="1"/>
    </xf>
    <xf borderId="15" fillId="0" fontId="9" numFmtId="0" xfId="0" applyAlignment="1" applyBorder="1" applyFont="1">
      <alignment readingOrder="0" shrinkToFit="0" vertical="bottom" wrapText="1"/>
    </xf>
    <xf borderId="14" fillId="0" fontId="4" numFmtId="9" xfId="0" applyAlignment="1" applyBorder="1" applyFont="1" applyNumberFormat="1">
      <alignment readingOrder="0"/>
    </xf>
    <xf borderId="14" fillId="4" fontId="9" numFmtId="0" xfId="0" applyAlignment="1" applyBorder="1" applyFill="1" applyFont="1">
      <alignment shrinkToFit="0" vertical="bottom" wrapText="1"/>
    </xf>
    <xf borderId="14" fillId="0" fontId="8" numFmtId="9" xfId="0" applyAlignment="1" applyBorder="1" applyFont="1" applyNumberFormat="1">
      <alignment readingOrder="0"/>
    </xf>
    <xf borderId="14" fillId="0" fontId="9" numFmtId="0" xfId="0" applyAlignment="1" applyBorder="1" applyFont="1">
      <alignment horizontal="right" readingOrder="0" shrinkToFit="0" vertical="bottom" wrapText="1"/>
    </xf>
    <xf borderId="14" fillId="0" fontId="9" numFmtId="9" xfId="0" applyAlignment="1" applyBorder="1" applyFont="1" applyNumberFormat="1">
      <alignment horizontal="right" readingOrder="0" shrinkToFit="0" vertical="bottom" wrapText="1"/>
    </xf>
    <xf borderId="14" fillId="0" fontId="16" numFmtId="0" xfId="0" applyAlignment="1" applyBorder="1" applyFont="1">
      <alignment horizontal="right" readingOrder="0" shrinkToFit="0" vertical="bottom" wrapText="1"/>
    </xf>
    <xf borderId="0" fillId="0" fontId="16" numFmtId="49" xfId="0" applyAlignment="1" applyFont="1" applyNumberFormat="1">
      <alignment horizontal="center" readingOrder="0" shrinkToFit="0" vertical="center" wrapText="1"/>
    </xf>
    <xf borderId="0" fillId="0" fontId="23" numFmtId="167" xfId="0" applyAlignment="1" applyFont="1" applyNumberFormat="1">
      <alignment readingOrder="0" shrinkToFit="0" vertical="bottom" wrapText="0"/>
    </xf>
    <xf borderId="24" fillId="0" fontId="32" numFmtId="0" xfId="0" applyAlignment="1" applyBorder="1" applyFont="1">
      <alignment readingOrder="0" shrinkToFit="0" vertical="bottom" wrapText="0"/>
    </xf>
    <xf quotePrefix="1" borderId="24" fillId="0" fontId="32" numFmtId="0" xfId="0" applyAlignment="1" applyBorder="1" applyFont="1">
      <alignment readingOrder="0" shrinkToFit="0" vertical="bottom" wrapText="0"/>
    </xf>
    <xf borderId="24" fillId="0" fontId="32" numFmtId="0" xfId="0" applyAlignment="1" applyBorder="1" applyFont="1">
      <alignment readingOrder="0" shrinkToFit="0" vertical="bottom" wrapText="0"/>
    </xf>
    <xf borderId="24" fillId="0" fontId="4" numFmtId="171" xfId="0" applyAlignment="1" applyBorder="1" applyFont="1" applyNumberFormat="1">
      <alignment shrinkToFit="0" vertical="bottom" wrapText="0"/>
    </xf>
    <xf borderId="24" fillId="0" fontId="32" numFmtId="171" xfId="0" applyAlignment="1" applyBorder="1" applyFont="1" applyNumberFormat="1">
      <alignment readingOrder="0" shrinkToFit="0" vertical="bottom" wrapText="0"/>
    </xf>
    <xf borderId="24" fillId="0" fontId="4" numFmtId="0" xfId="0" applyAlignment="1" applyBorder="1" applyFont="1">
      <alignment shrinkToFit="0" vertical="bottom" wrapText="0"/>
    </xf>
    <xf borderId="0" fillId="0" fontId="8" numFmtId="0" xfId="0" applyFont="1"/>
    <xf borderId="15" fillId="4" fontId="25" numFmtId="0" xfId="0" applyAlignment="1" applyBorder="1" applyFill="1" applyFont="1">
      <alignment readingOrder="0" vertical="bottom"/>
    </xf>
    <xf borderId="0" fillId="0" fontId="9" numFmtId="0" xfId="0" applyAlignment="1" applyFont="1">
      <alignment vertical="bottom"/>
    </xf>
    <xf borderId="15" fillId="0" fontId="9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18" fillId="6" fontId="6" numFmtId="0" xfId="0" applyAlignment="1" applyBorder="1" applyFill="1" applyFont="1">
      <alignment horizontal="center" readingOrder="0"/>
    </xf>
    <xf borderId="21" fillId="0" fontId="10" numFmtId="0" xfId="0" applyAlignment="1" applyBorder="1" applyFont="1">
      <alignment readingOrder="0" vertical="bottom"/>
    </xf>
    <xf borderId="20" fillId="0" fontId="10" numFmtId="0" xfId="0" applyAlignment="1" applyBorder="1" applyFont="1">
      <alignment readingOrder="0" vertical="bottom"/>
    </xf>
    <xf borderId="18" fillId="8" fontId="12" numFmtId="0" xfId="0" applyAlignment="1" applyBorder="1" applyFill="1" applyFont="1">
      <alignment readingOrder="0" vertical="bottom"/>
    </xf>
    <xf borderId="26" fillId="0" fontId="10" numFmtId="0" xfId="0" applyAlignment="1" applyBorder="1" applyFont="1">
      <alignment readingOrder="0" vertical="bottom"/>
    </xf>
    <xf borderId="37" fillId="0" fontId="10" numFmtId="0" xfId="0" applyAlignment="1" applyBorder="1" applyFont="1">
      <alignment readingOrder="0" vertical="bottom"/>
    </xf>
    <xf borderId="14" fillId="8" fontId="4" numFmtId="0" xfId="0" applyAlignment="1" applyBorder="1" applyFill="1" applyFont="1">
      <alignment vertical="bottom"/>
    </xf>
    <xf borderId="24" fillId="0" fontId="13" numFmtId="0" xfId="0" applyAlignment="1" applyBorder="1" applyFont="1">
      <alignment readingOrder="0" shrinkToFit="0" vertical="bottom" wrapText="0"/>
    </xf>
    <xf borderId="22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30" fillId="0" fontId="9" numFmtId="165" xfId="0" applyAlignment="1" applyBorder="1" applyFont="1" applyNumberFormat="1">
      <alignment shrinkToFit="0" vertical="center" wrapText="0"/>
    </xf>
    <xf borderId="27" fillId="0" fontId="9" numFmtId="0" xfId="0" applyAlignment="1" applyBorder="1" applyFont="1">
      <alignment shrinkToFit="0" vertical="center" wrapText="0"/>
    </xf>
    <xf borderId="30" fillId="0" fontId="9" numFmtId="0" xfId="0" applyAlignment="1" applyBorder="1" applyFont="1">
      <alignment shrinkToFit="0" vertical="center" wrapText="0"/>
    </xf>
    <xf borderId="30" fillId="0" fontId="9" numFmtId="0" xfId="0" applyAlignment="1" applyBorder="1" applyFont="1">
      <alignment shrinkToFit="0" vertical="center" wrapText="0"/>
    </xf>
    <xf borderId="30" fillId="0" fontId="9" numFmtId="171" xfId="0" applyAlignment="1" applyBorder="1" applyFont="1" applyNumberFormat="1">
      <alignment shrinkToFit="0" vertical="center" wrapText="0"/>
    </xf>
    <xf borderId="28" fillId="0" fontId="9" numFmtId="0" xfId="0" applyAlignment="1" applyBorder="1" applyFont="1">
      <alignment shrinkToFit="0" vertical="center" wrapText="0"/>
    </xf>
    <xf borderId="0" fillId="0" fontId="9" numFmtId="165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71" xfId="0" applyAlignment="1" applyFont="1" applyNumberFormat="1">
      <alignment shrinkToFit="0" vertical="center" wrapText="0"/>
    </xf>
    <xf borderId="8" fillId="2" fontId="1" numFmtId="0" xfId="0" applyAlignment="1" applyBorder="1" applyFill="1" applyFont="1">
      <alignment horizontal="left" vertical="center"/>
    </xf>
    <xf borderId="9" fillId="0" fontId="3" numFmtId="0" xfId="0" applyBorder="1" applyFont="1"/>
    <xf borderId="10" fillId="0" fontId="3" numFmtId="0" xfId="0" applyBorder="1" applyFont="1"/>
    <xf borderId="23" fillId="0" fontId="9" numFmtId="0" xfId="0" applyBorder="1" applyFont="1"/>
    <xf borderId="19" fillId="18" fontId="5" numFmtId="0" xfId="0" applyAlignment="1" applyBorder="1" applyFill="1" applyFont="1">
      <alignment horizontal="left" vertical="center"/>
    </xf>
    <xf borderId="23" fillId="18" fontId="5" numFmtId="0" xfId="0" applyAlignment="1" applyBorder="1" applyFill="1" applyFont="1">
      <alignment horizontal="left" vertical="center"/>
    </xf>
    <xf borderId="0" fillId="0" fontId="9" numFmtId="0" xfId="0" applyAlignment="1" applyFont="1">
      <alignment shrinkToFit="0" wrapText="1"/>
    </xf>
    <xf borderId="23" fillId="0" fontId="3" numFmtId="0" xfId="0" applyBorder="1" applyFont="1"/>
    <xf borderId="30" fillId="0" fontId="9" numFmtId="0" xfId="0" applyAlignment="1" applyBorder="1" applyFont="1">
      <alignment shrinkToFit="0" wrapText="1"/>
    </xf>
    <xf borderId="30" fillId="0" fontId="3" numFmtId="0" xfId="0" applyBorder="1" applyFont="1"/>
    <xf borderId="28" fillId="0" fontId="3" numFmtId="0" xfId="0" applyBorder="1" applyFont="1"/>
    <xf borderId="19" fillId="0" fontId="9" numFmtId="0" xfId="0" applyAlignment="1" applyBorder="1" applyFont="1">
      <alignment readingOrder="0"/>
    </xf>
    <xf borderId="0" fillId="14" fontId="9" numFmtId="167" xfId="0" applyAlignment="1" applyFill="1" applyFont="1" applyNumberFormat="1">
      <alignment readingOrder="0"/>
    </xf>
    <xf borderId="19" fillId="2" fontId="5" numFmtId="0" xfId="0" applyAlignment="1" applyBorder="1" applyFill="1" applyFont="1">
      <alignment horizontal="center" shrinkToFit="0" vertical="center" wrapText="1"/>
    </xf>
    <xf borderId="0" fillId="9" fontId="9" numFmtId="170" xfId="0" applyAlignment="1" applyFill="1" applyFont="1" applyNumberFormat="1">
      <alignment readingOrder="0"/>
    </xf>
    <xf borderId="0" fillId="9" fontId="9" numFmtId="170" xfId="0" applyFill="1" applyFont="1" applyNumberFormat="1"/>
    <xf borderId="0" fillId="9" fontId="9" numFmtId="171" xfId="0" applyAlignment="1" applyFill="1" applyFont="1" applyNumberFormat="1">
      <alignment readingOrder="0"/>
    </xf>
    <xf borderId="0" fillId="9" fontId="9" numFmtId="2" xfId="0" applyAlignment="1" applyFill="1" applyFont="1" applyNumberFormat="1">
      <alignment readingOrder="0"/>
    </xf>
    <xf borderId="0" fillId="9" fontId="9" numFmtId="2" xfId="0" applyFill="1" applyFont="1" applyNumberFormat="1"/>
    <xf borderId="19" fillId="2" fontId="5" numFmtId="0" xfId="0" applyAlignment="1" applyBorder="1" applyFill="1" applyFont="1">
      <alignment horizontal="center" readingOrder="0" shrinkToFit="0" vertical="center" wrapText="1"/>
    </xf>
    <xf borderId="0" fillId="14" fontId="4" numFmtId="9" xfId="0" applyAlignment="1" applyFill="1" applyFont="1" applyNumberFormat="1">
      <alignment readingOrder="0"/>
    </xf>
    <xf borderId="23" fillId="4" fontId="9" numFmtId="0" xfId="0" applyBorder="1" applyFill="1" applyFont="1"/>
    <xf borderId="22" fillId="4" fontId="10" numFmtId="0" xfId="0" applyAlignment="1" applyBorder="1" applyFill="1" applyFont="1">
      <alignment readingOrder="0" vertical="bottom"/>
    </xf>
    <xf borderId="24" fillId="4" fontId="10" numFmtId="0" xfId="0" applyAlignment="1" applyBorder="1" applyFill="1" applyFont="1">
      <alignment readingOrder="0" vertical="bottom"/>
    </xf>
    <xf borderId="0" fillId="0" fontId="15" numFmtId="0" xfId="0" applyFont="1"/>
    <xf borderId="0" fillId="0" fontId="33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5" numFmtId="3" xfId="0" applyAlignment="1" applyFont="1" applyNumberFormat="1">
      <alignment readingOrder="0"/>
    </xf>
    <xf borderId="0" fillId="0" fontId="15" numFmtId="4" xfId="0" applyAlignment="1" applyFont="1" applyNumberFormat="1">
      <alignment readingOrder="0"/>
    </xf>
    <xf borderId="0" fillId="0" fontId="15" numFmtId="173" xfId="0" applyAlignment="1" applyFont="1" applyNumberFormat="1">
      <alignment readingOrder="0"/>
    </xf>
    <xf borderId="24" fillId="0" fontId="3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DC2626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4">
    <tableStyle count="4" pivot="0" name="Data_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Cot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nfiguracion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Embudo comercial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Cantidad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Dashboard!$B$130:$B$140</c:f>
            </c:strRef>
          </c:cat>
          <c:val>
            <c:numRef>
              <c:f>Dashboard!$C$130:$C$140</c:f>
              <c:numCache/>
            </c:numRef>
          </c:val>
        </c:ser>
        <c:ser>
          <c:idx val="1"/>
          <c:order val="1"/>
          <c:invertIfNegative val="0"/>
          <c:cat>
            <c:strRef>
              <c:f>Dashboard!$B$130:$B$140</c:f>
            </c:strRef>
          </c:cat>
          <c:val>
            <c:numRef>
              <c:f>Dashboard!$D$130:$D$140</c:f>
              <c:numCache/>
            </c:numRef>
          </c:val>
        </c:ser>
        <c:axId val="528111615"/>
        <c:axId val="471964702"/>
      </c:barChart>
      <c:catAx>
        <c:axId val="52811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964702"/>
      </c:catAx>
      <c:valAx>
        <c:axId val="471964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1116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Leads, visitas, separaciones y ventas</a:t>
            </a:r>
          </a:p>
        </c:rich>
      </c:tx>
      <c:overlay val="0"/>
    </c:title>
    <c:plotArea>
      <c:layout/>
      <c:lineChart>
        <c:ser>
          <c:idx val="0"/>
          <c:order val="0"/>
          <c:tx>
            <c:v>Leads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Resum_Semanal!$A$5:$A$16</c:f>
            </c:strRef>
          </c:cat>
          <c:val>
            <c:numRef>
              <c:f>Resum_Semanal!$G$5:$G$16</c:f>
              <c:numCache/>
            </c:numRef>
          </c:val>
          <c:smooth val="0"/>
        </c:ser>
        <c:ser>
          <c:idx val="1"/>
          <c:order val="1"/>
          <c:tx>
            <c:v>Visitas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Resum_Semanal!$A$5:$A$16</c:f>
            </c:strRef>
          </c:cat>
          <c:val>
            <c:numRef>
              <c:f>Resum_Semanal!$H$5:$H$16</c:f>
              <c:numCache/>
            </c:numRef>
          </c:val>
          <c:smooth val="0"/>
        </c:ser>
        <c:ser>
          <c:idx val="2"/>
          <c:order val="2"/>
          <c:tx>
            <c:v>Separaciones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Resum_Semanal!$A$5:$A$16</c:f>
            </c:strRef>
          </c:cat>
          <c:val>
            <c:numRef>
              <c:f>Resum_Semanal!$I$5:$I$16</c:f>
              <c:numCache/>
            </c:numRef>
          </c:val>
          <c:smooth val="0"/>
        </c:ser>
        <c:ser>
          <c:idx val="3"/>
          <c:order val="3"/>
          <c:tx>
            <c:v>Ventas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Resum_Semanal!$A$5:$A$16</c:f>
            </c:strRef>
          </c:cat>
          <c:val>
            <c:numRef>
              <c:f>Resum_Semanal!$J$5:$J$16</c:f>
              <c:numCache/>
            </c:numRef>
          </c:val>
          <c:smooth val="0"/>
        </c:ser>
        <c:axId val="490037191"/>
        <c:axId val="97658809"/>
      </c:lineChart>
      <c:catAx>
        <c:axId val="490037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-m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58809"/>
      </c:catAx>
      <c:valAx>
        <c:axId val="97658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0371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 por asesor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Ventas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Dashboard!$C$114:$C$172</c:f>
            </c:strRef>
          </c:cat>
          <c:val>
            <c:numRef>
              <c:f>Dashboard!$E$114:$E$172</c:f>
              <c:numCache/>
            </c:numRef>
          </c:val>
        </c:ser>
        <c:axId val="1169051613"/>
        <c:axId val="1125438660"/>
      </c:barChart>
      <c:catAx>
        <c:axId val="1169051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438660"/>
      </c:catAx>
      <c:valAx>
        <c:axId val="1125438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05161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118</xdr:row>
      <xdr:rowOff>66675</xdr:rowOff>
    </xdr:from>
    <xdr:ext cx="3571875" cy="1600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104775</xdr:colOff>
      <xdr:row>129</xdr:row>
      <xdr:rowOff>85725</xdr:rowOff>
    </xdr:from>
    <xdr:ext cx="3571875" cy="19812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104775</xdr:colOff>
      <xdr:row>29</xdr:row>
      <xdr:rowOff>47625</xdr:rowOff>
    </xdr:from>
    <xdr:ext cx="3571875" cy="1600200"/>
    <xdr:pic>
      <xdr:nvPicPr>
        <xdr:cNvPr id="50944572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101</xdr:row>
      <xdr:rowOff>57150</xdr:rowOff>
    </xdr:from>
    <xdr:ext cx="3571875" cy="13906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013" displayName="DataKommoTable" name="DataKommoTable" id="1">
  <autoFilter ref="$A$1:$U$1013"/>
  <tableColumns count="21">
    <tableColumn name="Fecha_Lead" id="1"/>
    <tableColumn name="Lead_ID" id="2"/>
    <tableColumn name="Cliente" id="3"/>
    <tableColumn name="Telefono" id="4"/>
    <tableColumn name="Vendedor" id="5"/>
    <tableColumn name="Fuente" id="6"/>
    <tableColumn name="Proyecto" id="7"/>
    <tableColumn name="Estado_CRM" id="8"/>
    <tableColumn name="Monto_Separacion" id="9"/>
    <tableColumn name="Observaciones" id="10"/>
    <tableColumn name="Manzana" id="11"/>
    <tableColumn name="Lote" id="12"/>
    <tableColumn name="Precio Lista" id="13"/>
    <tableColumn name="Precio venta" id="14"/>
    <tableColumn name="Dscto S/." id="15"/>
    <tableColumn name="Dscto %" id="16"/>
    <tableColumn name="Tipo de Venta" id="17"/>
    <tableColumn name="Inicial" id="18"/>
    <tableColumn name="Saldo" id="19"/>
    <tableColumn name="Fecha firma" id="20"/>
    <tableColumn name="Dias cierre" id="21"/>
  </tableColumns>
  <tableStyleInfo name="Data_Ventas-style" showColumnStripes="0" showFirstColumn="1" showLastColumn="1" showRowStripes="1"/>
</table>
</file>

<file path=xl/tables/table2.xml><?xml version="1.0" encoding="utf-8"?>
<table xmlns="http://schemas.openxmlformats.org/spreadsheetml/2006/main" ref="A1:U1013" displayName="DataKommoTable_3" name="DataKommoTable_3" id="2">
  <autoFilter ref="$A$1:$U$1013"/>
  <tableColumns count="21">
    <tableColumn name="Fecha_Lead" id="1"/>
    <tableColumn name="Lead_ID" id="2"/>
    <tableColumn name="Cliente" id="3"/>
    <tableColumn name="Telefono" id="4"/>
    <tableColumn name="Vendedor" id="5"/>
    <tableColumn name="Fuente" id="6"/>
    <tableColumn name="Proyecto" id="7"/>
    <tableColumn name="Estado_CRM" id="8"/>
    <tableColumn name="Monto_Separacion" id="9"/>
    <tableColumn name="Observaciones" id="10"/>
    <tableColumn name="Manzana" id="11"/>
    <tableColumn name="Lote" id="12"/>
    <tableColumn name="Precio Lista" id="13"/>
    <tableColumn name="Precio venta" id="14"/>
    <tableColumn name="Dscto S/." id="15"/>
    <tableColumn name="Dscto %" id="16"/>
    <tableColumn name="Tipo de Venta" id="17"/>
    <tableColumn name="Inicial" id="18"/>
    <tableColumn name="Saldo" id="19"/>
    <tableColumn name="Fecha firma" id="20"/>
    <tableColumn name="Dias cierre" id="21"/>
  </tableColumns>
  <tableStyleInfo name="Data_Cotiz-style" showColumnStripes="0" showFirstColumn="1" showLastColumn="1" showRowStripes="1"/>
</table>
</file>

<file path=xl/tables/table3.xml><?xml version="1.0" encoding="utf-8"?>
<table xmlns="http://schemas.openxmlformats.org/spreadsheetml/2006/main" ref="A1:L1013" displayName="DataKommoTable_2" name="DataKommoTable_2" id="3">
  <autoFilter ref="$A$1:$L$1013"/>
  <tableColumns count="12">
    <tableColumn name="Fecha_Lead" id="1"/>
    <tableColumn name="Lead_ID" id="2"/>
    <tableColumn name="Cliente" id="3"/>
    <tableColumn name="Telefono" id="4"/>
    <tableColumn name="Vendedor" id="5"/>
    <tableColumn name="Estado_CRM" id="6"/>
    <tableColumn name="Lote Cotizado" id="7"/>
    <tableColumn name="Monto_Cotizado" id="8"/>
    <tableColumn name="Observaciones" id="9"/>
    <tableColumn name="Fuente" id="10"/>
    <tableColumn name="Proyecto" id="11"/>
    <tableColumn name="Campaña" id="12"/>
  </tableColumns>
  <tableStyleInfo name="Data_Leads-style" showColumnStripes="0" showFirstColumn="1" showLastColumn="1" showRowStripes="1"/>
</table>
</file>

<file path=xl/tables/table4.xml><?xml version="1.0" encoding="utf-8"?>
<table xmlns="http://schemas.openxmlformats.org/spreadsheetml/2006/main" headerRowCount="0" ref="F35:F44" displayName="Table_1" name="Table_1" id="4">
  <tableColumns count="1">
    <tableColumn name="Column1" id="1"/>
  </tableColumns>
  <tableStyleInfo name="Configura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h.ch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2.0"/>
    <col customWidth="1" min="3" max="3" width="13.75"/>
    <col customWidth="1" min="4" max="4" width="8.0"/>
    <col customWidth="1" min="5" max="5" width="7.5"/>
    <col customWidth="1" min="6" max="6" width="9.75"/>
    <col customWidth="1" min="7" max="7" width="11.25"/>
    <col customWidth="1" min="8" max="8" width="7.13"/>
    <col customWidth="1" min="9" max="9" width="1.5"/>
    <col customWidth="1" min="10" max="10" width="7.63"/>
    <col customWidth="1" min="11" max="11" width="7.88"/>
    <col customWidth="1" min="12" max="12" width="6.75"/>
    <col customWidth="1" min="13" max="13" width="1.5"/>
    <col customWidth="1" min="14" max="14" width="9.5"/>
    <col customWidth="1" min="15" max="15" width="6.63"/>
    <col customWidth="1" min="16" max="16" width="8.38"/>
    <col customWidth="1" min="17" max="17" width="2.38"/>
  </cols>
  <sheetData>
    <row r="1" ht="9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</row>
    <row r="2" ht="39.75" customHeight="1">
      <c r="A2" s="111"/>
      <c r="B2" s="113" t="s">
        <v>215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112"/>
    </row>
    <row r="3">
      <c r="A3" s="114"/>
      <c r="B3" s="115" t="s">
        <v>216</v>
      </c>
    </row>
    <row r="4" ht="6.0" customHeight="1">
      <c r="A4" s="116"/>
    </row>
    <row r="5">
      <c r="A5" s="117"/>
      <c r="B5" s="118" t="s">
        <v>217</v>
      </c>
      <c r="C5" s="119">
        <v>45930.0</v>
      </c>
      <c r="D5" s="120" t="s">
        <v>218</v>
      </c>
      <c r="E5" s="121">
        <v>46295.0</v>
      </c>
      <c r="F5" s="30"/>
      <c r="L5" s="122" t="s">
        <v>219</v>
      </c>
      <c r="M5" s="29"/>
      <c r="N5" s="30"/>
      <c r="O5" s="123">
        <f>TODAY()</f>
        <v>46294</v>
      </c>
      <c r="P5" s="30"/>
    </row>
    <row r="6">
      <c r="A6" s="116"/>
      <c r="E6" s="116"/>
      <c r="I6" s="116"/>
      <c r="M6" s="116"/>
    </row>
    <row r="7">
      <c r="A7" s="124"/>
      <c r="B7" s="125" t="s">
        <v>221</v>
      </c>
    </row>
    <row r="8" ht="10.5" customHeight="1">
      <c r="A8" s="116"/>
      <c r="E8" s="116"/>
      <c r="I8" s="116"/>
      <c r="M8" s="116"/>
    </row>
    <row r="9">
      <c r="A9" s="126"/>
      <c r="B9" s="127" t="s">
        <v>222</v>
      </c>
      <c r="D9" s="85"/>
      <c r="E9" s="85"/>
      <c r="F9" s="129" t="s">
        <v>223</v>
      </c>
      <c r="I9" s="116"/>
      <c r="M9" s="116"/>
    </row>
    <row r="10">
      <c r="A10" s="126"/>
      <c r="B10" s="130" t="s">
        <v>224</v>
      </c>
      <c r="C10" s="30"/>
      <c r="D10" s="131">
        <f>SUMPRODUCT(Meta!$B$5:$B1136*IF(EOMONTH(Meta!$A$5:$A1136,0)&lt;$C$5,0,IF(Meta!$A$5:$A1136&gt;$E$5,0,(IF(EOMONTH(Meta!$A$5:$A1136,0)&lt;$E$5,EOMONTH(Meta!$A$5:$A1136,0),$E$5)-IF(Meta!$A$5:$A1136&gt;$C$5,Meta!$A$5:$A1136,$C$5)+1)/DAY(EOMONTH(Meta!$A$5:$A1136,0)))))</f>
        <v>3600000</v>
      </c>
      <c r="E10" s="30"/>
      <c r="F10" s="132">
        <f>SUMPRODUCT(Meta!$C$5:$C1136*IF(EOMONTH(Meta!$A$5:$A1136,0)&lt;$C$5,0,IF(Meta!$A$5:$A1136&gt;$E$5,0,(IF(EOMONTH(Meta!$A$5:$A1136,0)&lt;$E$5,EOMONTH(Meta!$A$5:$A1136,0),$E$5)-IF(Meta!$A$5:$A1136&gt;$C$5,Meta!$A$5:$A1136,$C$5)+1)/DAY(EOMONTH(Meta!$A$5:$A1136,0)))))</f>
        <v>90</v>
      </c>
      <c r="I10" s="116"/>
    </row>
    <row r="11">
      <c r="A11" s="126"/>
      <c r="B11" s="130" t="s">
        <v>226</v>
      </c>
      <c r="C11" s="30"/>
      <c r="D11" s="134">
        <f>SUMIFS(Data_Ventas!$N$2:$N1136,Data_Ventas!$A$2:$A1136,"&gt;="&amp;$C$5,Data_Ventas!$A$2:$A1136,"&lt;="&amp;$E$5,Data_Ventas!$H$2:$H1136,"Venta")</f>
        <v>742424.5</v>
      </c>
      <c r="E11" s="30"/>
      <c r="F11" s="132">
        <f>COUNTIFS(Data_Ventas!$A$2:$A1136,"&gt;="&amp;$C$5,Data_Ventas!$A$2:$A1136,"&lt;="&amp;$E$5,Data_Ventas!$H$2:$H1136,"Venta")</f>
        <v>14</v>
      </c>
      <c r="I11" s="116"/>
    </row>
    <row r="12">
      <c r="A12" s="126"/>
      <c r="B12" s="130" t="s">
        <v>8</v>
      </c>
      <c r="C12" s="30"/>
      <c r="D12" s="134">
        <f>SUMIFS(Data_Ventas!$N$2:$N1136,Data_Ventas!$A$2:$A1136,"&gt;="&amp;$C$5,Data_Ventas!$A$2:$A1136,"&lt;="&amp;$E$5,Data_Ventas!$H$2:$H1136,"Separado")</f>
        <v>0</v>
      </c>
      <c r="E12" s="30"/>
      <c r="F12" s="132">
        <f>COUNTIFS(Data_Ventas!$A$15:$A1136,"&gt;="&amp;$C$5,Data_Ventas!$A$15:$A1136,"&lt;="&amp;$E$5,Data_Ventas!$H$15:$H1136,"Separado")</f>
        <v>0</v>
      </c>
      <c r="I12" s="116"/>
    </row>
    <row r="13">
      <c r="A13" s="126"/>
      <c r="B13" s="130" t="s">
        <v>227</v>
      </c>
      <c r="C13" s="30"/>
      <c r="D13" s="134">
        <f>SUMIFS(Data_Cotiz!$N$2:$N1136,Data_Cotiz!$A$2:$A1136,"&gt;="&amp;$C$5,Data_Cotiz!$A$2:$A1136,"&lt;="&amp;$E$5,Data_Cotiz!$H$2:$H1136,"En Cotizacion")</f>
        <v>0</v>
      </c>
      <c r="E13" s="30"/>
      <c r="F13" s="136">
        <f>COUNTIFS(Data_Ventas!$A$15:$A1136,"&gt;="&amp;$C$5,Data_Ventas!$A$15:$A1136,"&lt;="&amp;$E$5,Data_Ventas!$H$15:$H1136,"En cotizacion")</f>
        <v>0</v>
      </c>
      <c r="I13" s="116"/>
      <c r="P13" s="116"/>
      <c r="Q13" s="116"/>
    </row>
    <row r="14">
      <c r="A14" s="126"/>
      <c r="B14" s="130" t="s">
        <v>230</v>
      </c>
      <c r="C14" s="30"/>
      <c r="D14" s="134">
        <f>SUMIFS(Data_Cotiz!$N$2:$N1136,Data_Cotiz!$A$2:$A1136,"&gt;="&amp;$C$5,Data_Cotiz!$A$2:$A1136,"&lt;="&amp;$E$5,Data_Cotiz!$H$2:$H1136,"Listo para comprar")</f>
        <v>0</v>
      </c>
      <c r="E14" s="30"/>
      <c r="F14" s="136">
        <f>COUNTIFS(Data_Ventas!$A$15:$A1136,"&gt;="&amp;$C$5,Data_Ventas!$A$15:$A1136,"&lt;="&amp;$E$5,Data_Ventas!$H$15:$H1136,"Listo para comprar")</f>
        <v>0</v>
      </c>
      <c r="I14" s="116"/>
      <c r="O14" s="137"/>
      <c r="P14" s="137"/>
      <c r="Q14" s="116"/>
    </row>
    <row r="15">
      <c r="A15" s="126"/>
      <c r="B15" s="130" t="s">
        <v>231</v>
      </c>
      <c r="C15" s="30"/>
      <c r="D15" s="134">
        <f>D11+D12+D14</f>
        <v>742424.5</v>
      </c>
      <c r="E15" s="30"/>
      <c r="F15" s="138">
        <f>F11+F12+F14</f>
        <v>14</v>
      </c>
      <c r="I15" s="116"/>
      <c r="O15" s="137"/>
      <c r="P15" s="137"/>
      <c r="Q15" s="116"/>
    </row>
    <row r="16">
      <c r="A16" s="126"/>
      <c r="B16" s="130" t="s">
        <v>233</v>
      </c>
      <c r="C16" s="30"/>
      <c r="D16" s="134">
        <f>D15-D10</f>
        <v>-2857575.5</v>
      </c>
      <c r="E16" s="30"/>
      <c r="I16" s="116"/>
      <c r="O16" s="137"/>
      <c r="P16" s="137"/>
      <c r="Q16" s="116"/>
    </row>
    <row r="17">
      <c r="A17" s="116"/>
      <c r="E17" s="116"/>
      <c r="I17" s="116"/>
      <c r="M17" s="116"/>
      <c r="N17" s="137"/>
      <c r="O17" s="137"/>
      <c r="P17" s="137"/>
      <c r="Q17" s="116"/>
    </row>
    <row r="18">
      <c r="A18" s="116"/>
      <c r="B18" s="130" t="s">
        <v>234</v>
      </c>
      <c r="C18" s="29"/>
      <c r="D18" s="139">
        <f>$D$11/$D$10</f>
        <v>0.2062290278</v>
      </c>
      <c r="E18" s="30"/>
      <c r="I18" s="116"/>
      <c r="M18" s="116"/>
      <c r="N18" s="137"/>
      <c r="O18" s="137"/>
      <c r="P18" s="137"/>
      <c r="Q18" s="116"/>
    </row>
    <row r="19">
      <c r="A19" s="116"/>
      <c r="B19" s="130" t="s">
        <v>235</v>
      </c>
      <c r="C19" s="29"/>
      <c r="D19" s="140">
        <f>($D$11/$D$10)*100</f>
        <v>20.62290278</v>
      </c>
      <c r="E19" s="30"/>
      <c r="I19" s="116"/>
      <c r="M19" s="116"/>
      <c r="N19" s="137"/>
      <c r="O19" s="137"/>
      <c r="P19" s="137"/>
      <c r="Q19" s="116"/>
    </row>
    <row r="20">
      <c r="A20" s="116"/>
      <c r="E20" s="116"/>
      <c r="I20" s="116"/>
      <c r="M20" s="116"/>
      <c r="N20" s="137"/>
      <c r="O20" s="137"/>
      <c r="P20" s="137"/>
      <c r="Q20" s="116"/>
    </row>
    <row r="21">
      <c r="A21" s="116"/>
      <c r="B21" s="127" t="s">
        <v>236</v>
      </c>
      <c r="E21" s="116"/>
      <c r="I21" s="116"/>
      <c r="M21" s="116"/>
      <c r="N21" s="137"/>
      <c r="O21" s="137"/>
      <c r="P21" s="137"/>
      <c r="Q21" s="116"/>
    </row>
    <row r="22">
      <c r="A22" s="116"/>
      <c r="B22" s="141" t="s">
        <v>237</v>
      </c>
      <c r="C22" s="30"/>
      <c r="D22" s="142" t="s">
        <v>238</v>
      </c>
      <c r="E22" s="30"/>
      <c r="I22" s="116"/>
      <c r="M22" s="116"/>
      <c r="N22" s="137"/>
      <c r="O22" s="137"/>
      <c r="P22" s="137"/>
      <c r="Q22" s="116"/>
    </row>
    <row r="23">
      <c r="A23" s="116"/>
      <c r="B23" s="143" t="s">
        <v>239</v>
      </c>
      <c r="C23" s="30"/>
      <c r="D23" s="144">
        <f>SUMIFS(Data_Ventas!$N$2:$N1136,Data_Ventas!$A$2:$A1136,"&gt;="&amp;($E$5-WEEKDAY($E$5,2)+1),Data_Ventas!$A$2:$A1136,"&lt;="&amp;($E$5-WEEKDAY($E$5,2)+7))</f>
        <v>0</v>
      </c>
      <c r="E23" s="30"/>
      <c r="I23" s="116"/>
      <c r="M23" s="116"/>
      <c r="N23" s="137"/>
      <c r="O23" s="137"/>
      <c r="P23" s="137"/>
      <c r="Q23" s="116"/>
    </row>
    <row r="24">
      <c r="A24" s="116"/>
      <c r="B24" s="143" t="s">
        <v>240</v>
      </c>
      <c r="C24" s="30"/>
      <c r="D24" s="144">
        <f>SUMIFS(Data_Ventas!$N$2:$N1136,Data_Ventas!$A$2:$A1136,"&gt;="&amp;DATE(YEAR($E$5),MONTH($E$5),1),Data_Ventas!$A$2:$A1136,"&lt;="&amp;EOMONTH($E$5,0))</f>
        <v>80000</v>
      </c>
      <c r="E24" s="30"/>
      <c r="I24" s="116"/>
      <c r="M24" s="116"/>
      <c r="N24" s="137"/>
      <c r="O24" s="137"/>
      <c r="P24" s="137"/>
      <c r="Q24" s="116"/>
    </row>
    <row r="25">
      <c r="A25" s="116"/>
      <c r="B25" s="143" t="s">
        <v>241</v>
      </c>
      <c r="C25" s="30"/>
      <c r="D25" s="144">
        <f>SUMIFS(Data_Ventas!$N$2:$N1136,Data_Ventas!$A$2:$A1136,"&gt;="&amp;DATE(YEAR($E$5),3*INT((MONTH($E$5)-1)/3)+1,1),Data_Ventas!$A$2:$A1136,"&lt;="&amp;EOMONTH(DATE(YEAR($E$5),3*INT((MONTH($E$5)-1)/3)+1,1),2))</f>
        <v>247000</v>
      </c>
      <c r="E25" s="30"/>
      <c r="I25" s="116"/>
      <c r="M25" s="116"/>
      <c r="N25" s="137"/>
      <c r="O25" s="137"/>
      <c r="P25" s="137"/>
      <c r="Q25" s="116"/>
    </row>
    <row r="26">
      <c r="A26" s="116"/>
      <c r="B26" s="143" t="s">
        <v>242</v>
      </c>
      <c r="C26" s="30"/>
      <c r="D26" s="144">
        <f>SUMIFS(Data_Ventas!$N$2:$N1136,Data_Ventas!$A$2:$A1136,"&gt;="&amp;DATE(YEAR($E$5),IF(MONTH($E$5)&lt;=6,1,7),1),Data_Ventas!$A$2:$A1136,"&lt;="&amp;EOMONTH(DATE(YEAR($E$5),IF(MONTH($E$5)&lt;=6,1,7),1),5))</f>
        <v>247000</v>
      </c>
      <c r="E26" s="30"/>
      <c r="I26" s="116"/>
      <c r="M26" s="116"/>
      <c r="N26" s="137"/>
      <c r="O26" s="137"/>
      <c r="P26" s="137"/>
      <c r="Q26" s="116"/>
    </row>
    <row r="27">
      <c r="A27" s="116"/>
      <c r="B27" s="143" t="s">
        <v>243</v>
      </c>
      <c r="C27" s="30"/>
      <c r="D27" s="144">
        <f>SUMIFS(Data_Ventas!$N$2:$N1136,Data_Ventas!$A$2:$A1136,"&gt;="&amp;DATE(YEAR($E$5),1,1),Data_Ventas!$A$2:$A1136,"&lt;="&amp;DATE(YEAR($E$5),12,31))</f>
        <v>595160</v>
      </c>
      <c r="E27" s="30"/>
      <c r="I27" s="116"/>
      <c r="M27" s="116"/>
      <c r="N27" s="137"/>
      <c r="O27" s="137"/>
      <c r="P27" s="137"/>
      <c r="Q27" s="116"/>
    </row>
    <row r="28">
      <c r="A28" s="116"/>
      <c r="E28" s="116"/>
      <c r="I28" s="116"/>
      <c r="M28" s="116"/>
      <c r="N28" s="137"/>
      <c r="O28" s="137"/>
      <c r="P28" s="137"/>
      <c r="Q28" s="116"/>
    </row>
    <row r="29">
      <c r="A29" s="116"/>
      <c r="B29" s="150" t="s">
        <v>244</v>
      </c>
      <c r="Q29" s="116"/>
    </row>
    <row r="30">
      <c r="A30" s="116"/>
      <c r="E30" s="116"/>
      <c r="I30" s="116"/>
      <c r="M30" s="116"/>
      <c r="Q30" s="116"/>
    </row>
    <row r="31">
      <c r="A31" s="151"/>
      <c r="B31" s="127" t="s">
        <v>245</v>
      </c>
      <c r="D31" s="152"/>
      <c r="E31" s="151"/>
      <c r="F31" s="151"/>
      <c r="G31" s="152"/>
      <c r="H31" s="116"/>
      <c r="I31" s="116"/>
      <c r="J31" s="116"/>
      <c r="K31" s="116"/>
      <c r="L31" s="116"/>
      <c r="M31" s="116"/>
      <c r="N31" s="116"/>
      <c r="O31" s="116"/>
      <c r="P31" s="116"/>
      <c r="Q31" s="116"/>
    </row>
    <row r="32">
      <c r="A32" s="151"/>
      <c r="B32" s="153" t="s">
        <v>15</v>
      </c>
      <c r="C32" s="153" t="s">
        <v>223</v>
      </c>
      <c r="D32" s="154" t="s">
        <v>246</v>
      </c>
      <c r="E32" s="155" t="s">
        <v>247</v>
      </c>
      <c r="F32" s="30"/>
      <c r="G32" s="154" t="s">
        <v>248</v>
      </c>
      <c r="H32" s="154" t="s">
        <v>249</v>
      </c>
      <c r="I32" s="116"/>
      <c r="M32" s="116"/>
      <c r="Q32" s="116"/>
    </row>
    <row r="33">
      <c r="A33" s="156"/>
      <c r="B33" s="157" t="s">
        <v>210</v>
      </c>
      <c r="C33" s="158">
        <f>COUNTIFS(Data_Ventas!$A$2:$A1136,"&gt;="&amp;$C$5,Data_Ventas!$A$2:$A1136,"&lt;="&amp;$E$5,Data_Ventas!$H$2:$H1136,"Venta",Data_Ventas!$Q$2:$Q1136,B33)</f>
        <v>2</v>
      </c>
      <c r="D33" s="159">
        <f t="shared" ref="D33:D34" si="1">C33/$C$35</f>
        <v>0.1428571429</v>
      </c>
      <c r="E33" s="160">
        <f>SUMIFS(Data_Ventas!$N$2:$N1136,Data_Ventas!$A$2:$A1136,"&gt;="&amp;$C$5,Data_Ventas!$A$2:$A1136,"&lt;="&amp;$E$5,Data_Ventas!$H$2:$H1136,"Venta",Data_Ventas!$Q$2:$Q1136,B33)</f>
        <v>103360</v>
      </c>
      <c r="F33" s="30"/>
      <c r="G33" s="161">
        <f>IFERROR($E$33/$C$33,0)</f>
        <v>51680</v>
      </c>
      <c r="H33" s="159">
        <f t="shared" ref="H33:H34" si="2">E33/$E$35</f>
        <v>0.1392195435</v>
      </c>
      <c r="I33" s="116"/>
      <c r="M33" s="116"/>
      <c r="Q33" s="116"/>
    </row>
    <row r="34">
      <c r="A34" s="156"/>
      <c r="B34" s="157" t="s">
        <v>204</v>
      </c>
      <c r="C34" s="158">
        <f>COUNTIFS(Data_Ventas!$A$2:$A1136,"&gt;="&amp;$C$5,Data_Ventas!$A$2:$A1136,"&lt;="&amp;$E$5,Data_Ventas!$H$2:$H1136,"Venta",Data_Ventas!$Q$2:$Q1136,B34)</f>
        <v>12</v>
      </c>
      <c r="D34" s="159">
        <f t="shared" si="1"/>
        <v>0.8571428571</v>
      </c>
      <c r="E34" s="160">
        <f>SUMIFS(Data_Ventas!$N$2:$N1136,Data_Ventas!$A$2:$A1136,"&gt;="&amp;$C$5,Data_Ventas!$A$2:$A1136,"&lt;="&amp;$E$5,Data_Ventas!$H$2:$H1136,"Venta",Data_Ventas!$Q$2:$Q1136,B34)</f>
        <v>639064.5</v>
      </c>
      <c r="F34" s="30"/>
      <c r="G34" s="161">
        <f>$E$34/$C$34</f>
        <v>53255.375</v>
      </c>
      <c r="H34" s="159">
        <f t="shared" si="2"/>
        <v>0.8607804565</v>
      </c>
      <c r="I34" s="116"/>
      <c r="M34" s="116"/>
      <c r="Q34" s="116"/>
    </row>
    <row r="35">
      <c r="A35" s="156"/>
      <c r="B35" s="162" t="s">
        <v>250</v>
      </c>
      <c r="C35" s="163">
        <f t="shared" ref="C35:E35" si="3">SUM(C33:C34)</f>
        <v>14</v>
      </c>
      <c r="D35" s="164">
        <f t="shared" si="3"/>
        <v>1</v>
      </c>
      <c r="E35" s="165">
        <f t="shared" si="3"/>
        <v>742424.5</v>
      </c>
      <c r="F35" s="30"/>
      <c r="G35" s="166"/>
      <c r="H35" s="164">
        <f>SUM(H33:H34)</f>
        <v>1</v>
      </c>
      <c r="I35" s="116"/>
      <c r="M35" s="116"/>
      <c r="Q35" s="116"/>
    </row>
    <row r="36">
      <c r="A36" s="116"/>
      <c r="E36" s="116"/>
      <c r="I36" s="116"/>
      <c r="M36" s="116"/>
      <c r="Q36" s="116"/>
    </row>
    <row r="37">
      <c r="A37" s="116"/>
      <c r="B37" s="167" t="s">
        <v>251</v>
      </c>
      <c r="C37" s="30"/>
      <c r="D37" s="168">
        <f>E34-D41</f>
        <v>554014.5</v>
      </c>
      <c r="E37" s="30"/>
      <c r="F37" s="169">
        <f>D37/D11</f>
        <v>0.7462233534</v>
      </c>
      <c r="I37" s="116"/>
      <c r="M37" s="116"/>
      <c r="Q37" s="116"/>
    </row>
    <row r="38">
      <c r="A38" s="116"/>
      <c r="E38" s="116"/>
      <c r="I38" s="116"/>
      <c r="M38" s="116"/>
      <c r="Q38" s="116"/>
    </row>
    <row r="39">
      <c r="A39" s="116"/>
      <c r="B39" s="127" t="s">
        <v>252</v>
      </c>
      <c r="I39" s="116"/>
      <c r="M39" s="116"/>
      <c r="Q39" s="116"/>
    </row>
    <row r="40">
      <c r="A40" s="116"/>
      <c r="B40" s="170" t="s">
        <v>15</v>
      </c>
      <c r="C40" s="30"/>
      <c r="D40" s="171" t="s">
        <v>253</v>
      </c>
      <c r="E40" s="30"/>
      <c r="F40" s="154" t="s">
        <v>113</v>
      </c>
      <c r="I40" s="116"/>
      <c r="M40" s="116"/>
      <c r="Q40" s="116"/>
    </row>
    <row r="41">
      <c r="A41" s="116"/>
      <c r="B41" s="130" t="s">
        <v>254</v>
      </c>
      <c r="C41" s="30"/>
      <c r="D41" s="134">
        <f>SUMIFS(Data_Ventas!$R$2:$R1136,Data_Ventas!$A$2:$A1136,"&gt;="&amp;$C$5,Data_Ventas!$A$2:$A1136,"&lt;="&amp;$E$5,Data_Ventas!$H$2:$H1136,"Venta",Data_Ventas!$Q$2:$Q1136,B34)</f>
        <v>85050</v>
      </c>
      <c r="E41" s="30"/>
      <c r="F41" s="172">
        <f>D41/D11</f>
        <v>0.1145571031</v>
      </c>
      <c r="I41" s="116"/>
      <c r="M41" s="116"/>
      <c r="Q41" s="116"/>
    </row>
    <row r="42">
      <c r="A42" s="116"/>
      <c r="B42" s="130" t="s">
        <v>255</v>
      </c>
      <c r="C42" s="30"/>
      <c r="D42" s="134">
        <f>SUMIFS(Data_Ventas!$R$2:$R1136,Data_Ventas!$A$2:$A1136,"&gt;="&amp;$C$5,Data_Ventas!$A$2:$A1136,"&lt;="&amp;$E$5,Data_Ventas!$H$2:$H1136,"Venta",Data_Ventas!$Q$2:$Q1136,B33)</f>
        <v>103360</v>
      </c>
      <c r="E42" s="30"/>
      <c r="F42" s="172">
        <f>D42/D10</f>
        <v>0.02871111111</v>
      </c>
      <c r="I42" s="116"/>
      <c r="M42" s="116"/>
      <c r="Q42" s="116"/>
    </row>
    <row r="43">
      <c r="A43" s="116"/>
      <c r="B43" s="173" t="s">
        <v>256</v>
      </c>
      <c r="C43" s="30"/>
      <c r="D43" s="174">
        <f>SUM(D41:D42)</f>
        <v>188410</v>
      </c>
      <c r="E43" s="30"/>
      <c r="I43" s="116"/>
      <c r="M43" s="116"/>
      <c r="Q43" s="116"/>
    </row>
    <row r="44">
      <c r="A44" s="116"/>
      <c r="E44" s="116"/>
      <c r="I44" s="116"/>
      <c r="M44" s="116"/>
      <c r="Q44" s="116"/>
    </row>
    <row r="45">
      <c r="A45" s="116"/>
      <c r="B45" s="130" t="s">
        <v>257</v>
      </c>
      <c r="C45" s="30"/>
      <c r="D45" s="134">
        <f>$D$60/$C$35</f>
        <v>13457.85714</v>
      </c>
      <c r="E45" s="30"/>
      <c r="I45" s="116"/>
      <c r="M45" s="116"/>
      <c r="Q45" s="116"/>
    </row>
    <row r="46">
      <c r="A46" s="116"/>
      <c r="B46" s="130" t="s">
        <v>258</v>
      </c>
      <c r="C46" s="30"/>
      <c r="D46" s="134">
        <f>$D$41/$C$34</f>
        <v>7087.5</v>
      </c>
      <c r="E46" s="30"/>
      <c r="I46" s="116"/>
      <c r="M46" s="116"/>
      <c r="Q46" s="116"/>
    </row>
    <row r="47">
      <c r="A47" s="116"/>
      <c r="E47" s="116"/>
      <c r="I47" s="116"/>
      <c r="M47" s="116"/>
      <c r="Q47" s="116"/>
    </row>
    <row r="48">
      <c r="A48" s="116"/>
      <c r="B48" s="175" t="s">
        <v>259</v>
      </c>
      <c r="D48" s="67"/>
      <c r="E48" s="67"/>
      <c r="I48" s="116"/>
      <c r="M48" s="116"/>
      <c r="Q48" s="116"/>
    </row>
    <row r="49">
      <c r="A49" s="116"/>
      <c r="B49" s="130" t="s">
        <v>260</v>
      </c>
      <c r="C49" s="30"/>
      <c r="D49" s="134">
        <f>SUMIFS(Data_Ventas!$M$2:$M1136,Data_Ventas!$A$2:$A1136,"&gt;="&amp;$C$5,Data_Ventas!$A$2:$A1136,"&lt;="&amp;$E$5,Data_Ventas!$H$2:$H1136,"Venta")</f>
        <v>742424.5</v>
      </c>
      <c r="E49" s="30"/>
      <c r="I49" s="116"/>
      <c r="M49" s="116"/>
      <c r="Q49" s="116"/>
    </row>
    <row r="50">
      <c r="A50" s="116"/>
      <c r="B50" s="130" t="s">
        <v>261</v>
      </c>
      <c r="C50" s="30"/>
      <c r="D50" s="134">
        <f>SUMIFS(Data_Ventas!$O$2:$O1136,Data_Ventas!$A$2:$A1136,"&gt;="&amp;$C$5,Data_Ventas!$A$2:$A1136,"&lt;="&amp;$E$5,Data_Ventas!$H$2:$H1136,"Venta")</f>
        <v>0</v>
      </c>
      <c r="E50" s="30"/>
      <c r="I50" s="116"/>
      <c r="M50" s="116"/>
      <c r="Q50" s="116"/>
    </row>
    <row r="51">
      <c r="A51" s="116"/>
      <c r="B51" s="130" t="s">
        <v>262</v>
      </c>
      <c r="C51" s="30"/>
      <c r="D51" s="134">
        <f>D50/F11</f>
        <v>0</v>
      </c>
      <c r="E51" s="30"/>
      <c r="I51" s="116"/>
      <c r="M51" s="116"/>
      <c r="Q51" s="116"/>
    </row>
    <row r="52">
      <c r="A52" s="116"/>
      <c r="B52" s="130" t="s">
        <v>263</v>
      </c>
      <c r="C52" s="30"/>
      <c r="D52" s="176">
        <f>D11/D49</f>
        <v>1</v>
      </c>
      <c r="E52" s="30"/>
      <c r="I52" s="116"/>
      <c r="M52" s="116"/>
      <c r="Q52" s="116"/>
    </row>
    <row r="53">
      <c r="A53" s="116"/>
      <c r="E53" s="116"/>
      <c r="I53" s="116"/>
      <c r="M53" s="116"/>
      <c r="Q53" s="116"/>
    </row>
    <row r="54">
      <c r="A54" s="116"/>
      <c r="B54" s="127" t="s">
        <v>264</v>
      </c>
      <c r="E54" s="116"/>
      <c r="F54" s="129" t="s">
        <v>265</v>
      </c>
      <c r="I54" s="116"/>
      <c r="M54" s="116"/>
      <c r="Q54" s="116"/>
    </row>
    <row r="55">
      <c r="A55" s="116"/>
      <c r="B55" s="129" t="s">
        <v>266</v>
      </c>
      <c r="C55" s="132"/>
      <c r="D55" s="177">
        <f>SUMIFS(Data_Ventas!$N$2:$N1136,Data_Ventas!$A$2:$A1136,"&gt;="&amp;$C$5,Data_Ventas!$A$2:$A1136,"&lt;="&amp;$E$5,Data_Ventas!$H$2:$H1136,"Venta Perdida")</f>
        <v>40000</v>
      </c>
      <c r="E55" s="30"/>
      <c r="F55" s="129">
        <f>COUNTIFS(Data_Ventas!$A$2:$A1136,"&gt;="&amp;$C$5,Data_Ventas!$A$2:$A1136,"&lt;="&amp;$E$5,Data_Ventas!$H$2:$H1136,"Venta Perdida")</f>
        <v>1</v>
      </c>
      <c r="I55" s="116"/>
      <c r="M55" s="116"/>
      <c r="Q55" s="116"/>
    </row>
    <row r="56">
      <c r="A56" s="116"/>
      <c r="B56" s="130" t="s">
        <v>267</v>
      </c>
      <c r="C56" s="30"/>
      <c r="D56" s="134">
        <f>$D$55+$D$11</f>
        <v>782424.5</v>
      </c>
      <c r="E56" s="30"/>
      <c r="F56" s="132">
        <f>$F$11+$F$55</f>
        <v>15</v>
      </c>
      <c r="I56" s="116"/>
      <c r="M56" s="116"/>
      <c r="Q56" s="116"/>
    </row>
    <row r="57">
      <c r="A57" s="116"/>
      <c r="E57" s="116"/>
      <c r="I57" s="116"/>
      <c r="M57" s="116"/>
      <c r="Q57" s="116"/>
    </row>
    <row r="58">
      <c r="A58" s="116"/>
      <c r="B58" s="150" t="s">
        <v>268</v>
      </c>
      <c r="Q58" s="116"/>
    </row>
    <row r="59">
      <c r="A59" s="116"/>
      <c r="E59" s="116"/>
      <c r="I59" s="116"/>
      <c r="M59" s="116"/>
      <c r="Q59" s="116"/>
    </row>
    <row r="60">
      <c r="A60" s="116"/>
      <c r="B60" s="130" t="s">
        <v>269</v>
      </c>
      <c r="C60" s="30"/>
      <c r="D60" s="178">
        <f>SUM(D41:E42)</f>
        <v>188410</v>
      </c>
      <c r="E60" s="30"/>
      <c r="I60" s="116"/>
      <c r="Q60" s="116"/>
    </row>
    <row r="61">
      <c r="A61" s="116"/>
      <c r="B61" s="130" t="s">
        <v>270</v>
      </c>
      <c r="C61" s="30"/>
      <c r="D61" s="176">
        <f>D60/D11</f>
        <v>0.2537766466</v>
      </c>
      <c r="E61" s="30"/>
      <c r="I61" s="116"/>
      <c r="Q61" s="116"/>
    </row>
    <row r="62">
      <c r="A62" s="126"/>
      <c r="B62" s="130" t="s">
        <v>114</v>
      </c>
      <c r="C62" s="30"/>
      <c r="D62" s="139">
        <f>$D$41/$E$34</f>
        <v>0.1330851581</v>
      </c>
      <c r="E62" s="30"/>
      <c r="I62" s="116"/>
      <c r="O62" s="137"/>
      <c r="P62" s="137"/>
      <c r="Q62" s="116"/>
    </row>
    <row r="63">
      <c r="A63" s="126"/>
      <c r="B63" s="130" t="s">
        <v>271</v>
      </c>
      <c r="C63" s="30"/>
      <c r="D63" s="139">
        <f>$D$50/$D$49</f>
        <v>0</v>
      </c>
      <c r="E63" s="30"/>
      <c r="I63" s="116"/>
      <c r="O63" s="137"/>
      <c r="P63" s="137"/>
      <c r="Q63" s="116"/>
    </row>
    <row r="64">
      <c r="A64" s="126"/>
      <c r="B64" s="179" t="s">
        <v>272</v>
      </c>
      <c r="C64" s="30"/>
      <c r="D64" s="139">
        <f>$D$55/$D$11</f>
        <v>0.05387753233</v>
      </c>
      <c r="E64" s="30"/>
      <c r="I64" s="116"/>
      <c r="O64" s="137"/>
      <c r="P64" s="137"/>
      <c r="Q64" s="116"/>
    </row>
    <row r="65">
      <c r="A65" s="126"/>
      <c r="B65" s="179" t="s">
        <v>273</v>
      </c>
      <c r="C65" s="30"/>
      <c r="D65" s="139">
        <f>$D$11/$D$56</f>
        <v>0.9488768565</v>
      </c>
      <c r="E65" s="30"/>
      <c r="I65" s="116"/>
      <c r="O65" s="137"/>
      <c r="P65" s="137"/>
      <c r="Q65" s="116"/>
    </row>
    <row r="66">
      <c r="A66" s="126"/>
      <c r="B66" s="179" t="s">
        <v>274</v>
      </c>
      <c r="C66" s="30"/>
      <c r="D66" s="180"/>
      <c r="E66" s="30"/>
      <c r="I66" s="116"/>
      <c r="M66" s="116"/>
      <c r="N66" s="137"/>
      <c r="O66" s="137"/>
      <c r="P66" s="137"/>
      <c r="Q66" s="116"/>
    </row>
    <row r="67">
      <c r="A67" s="126"/>
      <c r="B67" s="179" t="s">
        <v>275</v>
      </c>
      <c r="C67" s="30"/>
      <c r="D67" s="181">
        <f>((MIN($D$61/Configuracion!$B$20,1)*30%)+(MIN($D$62/Configuracion!$B$21,1)*20%)+(MAX(0,1-($D$63/Configuracion!$B$22)*20%)*20%)+(IF($D$64=0,1,MIN(Configuracion!$B$23/$D$64,1))*20%)+(MIN($D$65/Configuracion!B24,1)*10%))*100</f>
        <v>83.60958974</v>
      </c>
      <c r="E67" s="30"/>
      <c r="I67" s="116"/>
      <c r="J67" s="182"/>
      <c r="K67" s="182"/>
      <c r="L67" s="182"/>
      <c r="M67" s="182"/>
      <c r="N67" s="183"/>
      <c r="O67" s="137"/>
      <c r="P67" s="137"/>
      <c r="Q67" s="116"/>
    </row>
    <row r="68">
      <c r="A68" s="126"/>
      <c r="I68" s="116"/>
      <c r="J68" s="182"/>
      <c r="K68" s="182"/>
      <c r="L68" s="182"/>
      <c r="M68" s="182"/>
      <c r="N68" s="183"/>
      <c r="O68" s="137"/>
      <c r="P68" s="137"/>
      <c r="Q68" s="116"/>
    </row>
    <row r="69">
      <c r="A69" s="126"/>
      <c r="B69" s="179" t="s">
        <v>276</v>
      </c>
      <c r="C69" s="30"/>
      <c r="D69" s="180" t="str">
        <f>IF(D67&gt;=90,"🟢 Ventas de alta calidad",IF(D67&gt;=80,"🟡 Ventas calidad aceptable, revisar",IF(D67&gt;=70,"🟠 Venta calidad débil","🔴 Mala calidad comercial")))</f>
        <v>🟡 Ventas calidad aceptable, revisar</v>
      </c>
      <c r="E69" s="29"/>
      <c r="F69" s="29"/>
      <c r="G69" s="30"/>
      <c r="I69" s="116"/>
      <c r="O69" s="137"/>
      <c r="P69" s="137"/>
      <c r="Q69" s="116"/>
    </row>
    <row r="70">
      <c r="A70" s="116"/>
      <c r="E70" s="116"/>
      <c r="I70" s="116"/>
      <c r="M70" s="116"/>
      <c r="N70" s="137"/>
      <c r="O70" s="137"/>
      <c r="P70" s="137"/>
      <c r="Q70" s="116"/>
    </row>
    <row r="71">
      <c r="A71" s="116"/>
      <c r="B71" s="184" t="s">
        <v>277</v>
      </c>
      <c r="C71" s="29"/>
      <c r="D71" s="185">
        <f>($D$19*60%)+($D$67*40%)</f>
        <v>45.81757756</v>
      </c>
      <c r="E71" s="30"/>
      <c r="I71" s="116"/>
      <c r="M71" s="116"/>
      <c r="Q71" s="116"/>
    </row>
    <row r="72">
      <c r="A72" s="116"/>
      <c r="E72" s="116"/>
      <c r="I72" s="116"/>
      <c r="Q72" s="116"/>
    </row>
    <row r="73">
      <c r="A73" s="116"/>
      <c r="B73" s="150" t="s">
        <v>278</v>
      </c>
      <c r="Q73" s="186"/>
    </row>
    <row r="74">
      <c r="A74" s="116"/>
      <c r="G74" s="187"/>
      <c r="H74" s="187"/>
      <c r="Q74" s="186"/>
    </row>
    <row r="75">
      <c r="A75" s="116"/>
      <c r="B75" s="130" t="s">
        <v>279</v>
      </c>
      <c r="C75" s="30"/>
      <c r="D75" s="188">
        <v>70000.0</v>
      </c>
      <c r="E75" s="30"/>
      <c r="F75" s="172">
        <f t="shared" ref="F75:F76" si="4">D75/$D$11</f>
        <v>0.09428568157</v>
      </c>
      <c r="G75" s="187"/>
      <c r="H75" s="187"/>
      <c r="Q75" s="186"/>
    </row>
    <row r="76">
      <c r="A76" s="116"/>
      <c r="B76" s="130" t="s">
        <v>280</v>
      </c>
      <c r="C76" s="30"/>
      <c r="D76" s="188">
        <v>30000.0</v>
      </c>
      <c r="E76" s="30"/>
      <c r="F76" s="172">
        <f t="shared" si="4"/>
        <v>0.04040814925</v>
      </c>
      <c r="G76" s="187"/>
      <c r="H76" s="187"/>
      <c r="Q76" s="186"/>
    </row>
    <row r="77">
      <c r="A77" s="116"/>
      <c r="B77" s="130" t="s">
        <v>281</v>
      </c>
      <c r="C77" s="30"/>
      <c r="D77" s="134">
        <f>SUM(D75:D76)</f>
        <v>100000</v>
      </c>
      <c r="E77" s="30"/>
      <c r="G77" s="187"/>
      <c r="H77" s="187"/>
      <c r="Q77" s="186"/>
    </row>
    <row r="78">
      <c r="A78" s="116"/>
      <c r="G78" s="187"/>
      <c r="H78" s="187"/>
      <c r="Q78" s="186"/>
    </row>
    <row r="79">
      <c r="A79" s="116"/>
      <c r="B79" s="130" t="s">
        <v>282</v>
      </c>
      <c r="C79" s="30"/>
      <c r="D79" s="134">
        <f>D11/D75</f>
        <v>10.60606429</v>
      </c>
      <c r="E79" s="30"/>
      <c r="G79" s="187"/>
      <c r="H79" s="187"/>
      <c r="Q79" s="186"/>
    </row>
    <row r="80">
      <c r="A80" s="116"/>
      <c r="B80" s="130" t="s">
        <v>283</v>
      </c>
      <c r="C80" s="29"/>
      <c r="D80" s="134">
        <f>$D$60/$D$75</f>
        <v>2.691571429</v>
      </c>
      <c r="E80" s="30"/>
      <c r="G80" s="187"/>
      <c r="H80" s="187"/>
      <c r="Q80" s="186"/>
    </row>
    <row r="81">
      <c r="A81" s="116"/>
      <c r="G81" s="187"/>
      <c r="H81" s="189" t="s">
        <v>284</v>
      </c>
      <c r="Q81" s="186"/>
    </row>
    <row r="82">
      <c r="A82" s="116"/>
      <c r="B82" s="130" t="s">
        <v>285</v>
      </c>
      <c r="C82" s="30"/>
      <c r="D82" s="134">
        <f>D76/$F$11</f>
        <v>2142.857143</v>
      </c>
      <c r="E82" s="30"/>
      <c r="G82" s="187"/>
      <c r="H82" s="189" t="s">
        <v>286</v>
      </c>
      <c r="Q82" s="186"/>
    </row>
    <row r="83">
      <c r="A83" s="116"/>
      <c r="B83" s="130" t="s">
        <v>287</v>
      </c>
      <c r="C83" s="30"/>
      <c r="D83" s="134">
        <f>D75/$F$11</f>
        <v>5000</v>
      </c>
      <c r="E83" s="30"/>
      <c r="Q83" s="186"/>
    </row>
    <row r="84">
      <c r="A84" s="116"/>
      <c r="B84" s="130" t="s">
        <v>288</v>
      </c>
      <c r="C84" s="30"/>
      <c r="D84" s="134">
        <f>D82+D83</f>
        <v>7142.857143</v>
      </c>
      <c r="E84" s="30"/>
      <c r="G84" s="187"/>
      <c r="H84" s="187"/>
      <c r="Q84" s="186"/>
    </row>
    <row r="85">
      <c r="A85" s="116"/>
      <c r="G85" s="187"/>
      <c r="H85" s="187"/>
      <c r="Q85" s="186"/>
    </row>
    <row r="86">
      <c r="A86" s="116"/>
      <c r="B86" s="130" t="s">
        <v>289</v>
      </c>
      <c r="C86" s="30"/>
      <c r="D86" s="134">
        <f>D11-D75-D76</f>
        <v>642424.5</v>
      </c>
      <c r="E86" s="30"/>
      <c r="G86" s="187"/>
      <c r="H86" s="187"/>
      <c r="Q86" s="186"/>
    </row>
    <row r="87">
      <c r="A87" s="116"/>
      <c r="B87" s="130" t="s">
        <v>290</v>
      </c>
      <c r="C87" s="30"/>
      <c r="D87" s="139">
        <f>($D$11-$D$77)/$D$77</f>
        <v>6.424245</v>
      </c>
      <c r="E87" s="30"/>
      <c r="G87" s="187"/>
      <c r="H87" s="187"/>
      <c r="Q87" s="186"/>
    </row>
    <row r="88">
      <c r="A88" s="116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16"/>
    </row>
    <row r="89">
      <c r="A89" s="116"/>
      <c r="B89" s="150" t="s">
        <v>291</v>
      </c>
      <c r="Q89" s="116"/>
    </row>
    <row r="90">
      <c r="A90" s="116"/>
      <c r="E90" s="116"/>
      <c r="I90" s="116"/>
      <c r="Q90" s="116"/>
    </row>
    <row r="91">
      <c r="A91" s="116"/>
      <c r="B91" s="130" t="s">
        <v>292</v>
      </c>
      <c r="C91" s="30"/>
      <c r="D91" s="129">
        <v>181.0</v>
      </c>
      <c r="E91" s="191">
        <v>1.0</v>
      </c>
      <c r="I91" s="116"/>
      <c r="M91" s="116"/>
      <c r="Q91" s="116"/>
    </row>
    <row r="92">
      <c r="A92" s="116"/>
      <c r="B92" s="130" t="s">
        <v>293</v>
      </c>
      <c r="C92" s="30"/>
      <c r="D92" s="132">
        <f>F11</f>
        <v>14</v>
      </c>
      <c r="E92" s="169">
        <f t="shared" ref="E92:E93" si="5">D92/$D$91</f>
        <v>0.0773480663</v>
      </c>
      <c r="I92" s="116"/>
      <c r="M92" s="116"/>
      <c r="Q92" s="116"/>
    </row>
    <row r="93">
      <c r="A93" s="116"/>
      <c r="B93" s="130" t="s">
        <v>294</v>
      </c>
      <c r="C93" s="30"/>
      <c r="D93" s="132">
        <f>D91-D92</f>
        <v>167</v>
      </c>
      <c r="E93" s="169">
        <f t="shared" si="5"/>
        <v>0.9226519337</v>
      </c>
      <c r="I93" s="116"/>
      <c r="M93" s="116"/>
      <c r="Q93" s="116"/>
    </row>
    <row r="94">
      <c r="A94" s="116"/>
      <c r="B94" s="130" t="s">
        <v>295</v>
      </c>
      <c r="C94" s="30"/>
      <c r="D94" s="192">
        <f>D92/(DATEDIF(Configuracion!B8,O5,"m"))</f>
        <v>1.272727273</v>
      </c>
      <c r="E94" s="116"/>
      <c r="I94" s="116"/>
      <c r="M94" s="116"/>
      <c r="Q94" s="116"/>
    </row>
    <row r="95">
      <c r="A95" s="116"/>
      <c r="B95" s="130" t="s">
        <v>296</v>
      </c>
      <c r="C95" s="30"/>
      <c r="D95" s="193">
        <f>D94/D92</f>
        <v>0.09090909091</v>
      </c>
      <c r="E95" s="169">
        <f>D94/D91</f>
        <v>0.007031642391</v>
      </c>
      <c r="I95" s="116"/>
      <c r="Q95" s="116"/>
    </row>
    <row r="96">
      <c r="A96" s="116"/>
      <c r="B96" s="130" t="s">
        <v>297</v>
      </c>
      <c r="C96" s="30"/>
      <c r="D96" s="194">
        <f>D93/D94</f>
        <v>131.2142857</v>
      </c>
      <c r="E96" s="116"/>
      <c r="I96" s="116"/>
      <c r="Q96" s="116"/>
    </row>
    <row r="97">
      <c r="A97" s="116"/>
      <c r="B97" s="130" t="s">
        <v>298</v>
      </c>
      <c r="C97" s="30"/>
      <c r="D97" s="195"/>
      <c r="E97" s="116"/>
      <c r="I97" s="116"/>
      <c r="M97" s="116"/>
      <c r="Q97" s="116"/>
    </row>
    <row r="98">
      <c r="A98" s="116"/>
      <c r="B98" s="130" t="s">
        <v>299</v>
      </c>
      <c r="C98" s="30"/>
      <c r="D98" s="195"/>
      <c r="E98" s="116"/>
      <c r="I98" s="116"/>
      <c r="M98" s="116"/>
      <c r="Q98" s="116"/>
    </row>
    <row r="99">
      <c r="A99" s="116"/>
      <c r="B99" s="130" t="s">
        <v>300</v>
      </c>
      <c r="C99" s="30"/>
      <c r="D99" s="195"/>
      <c r="E99" s="116"/>
      <c r="I99" s="116"/>
      <c r="M99" s="116"/>
      <c r="Q99" s="116"/>
    </row>
    <row r="100">
      <c r="A100" s="116"/>
      <c r="E100" s="116"/>
      <c r="I100" s="116"/>
      <c r="M100" s="116"/>
      <c r="Q100" s="116"/>
    </row>
    <row r="101">
      <c r="A101" s="190"/>
      <c r="B101" s="150" t="s">
        <v>301</v>
      </c>
    </row>
    <row r="102" ht="9.0" customHeight="1">
      <c r="A102" s="196"/>
      <c r="B102" s="196"/>
      <c r="C102" s="196"/>
      <c r="D102" s="196"/>
      <c r="E102" s="196"/>
      <c r="F102" s="196"/>
      <c r="G102" s="197"/>
      <c r="H102" s="197"/>
      <c r="I102" s="197"/>
    </row>
    <row r="103">
      <c r="A103" s="196"/>
      <c r="B103" s="198" t="s">
        <v>302</v>
      </c>
      <c r="D103" s="199"/>
      <c r="G103" s="200"/>
      <c r="H103" s="200"/>
      <c r="I103" s="201"/>
    </row>
    <row r="104">
      <c r="A104" s="202"/>
      <c r="B104" s="198" t="s">
        <v>303</v>
      </c>
      <c r="D104" s="199"/>
      <c r="G104" s="200"/>
      <c r="H104" s="200"/>
      <c r="I104" s="200"/>
      <c r="J104" s="200"/>
      <c r="M104" s="203"/>
      <c r="Q104" s="186"/>
    </row>
    <row r="105">
      <c r="A105" s="202"/>
      <c r="B105" s="198" t="s">
        <v>304</v>
      </c>
      <c r="D105" s="199"/>
      <c r="G105" s="200"/>
      <c r="H105" s="77"/>
      <c r="I105" s="77"/>
      <c r="J105" s="204"/>
      <c r="K105" s="205"/>
      <c r="M105" s="203"/>
      <c r="Q105" s="186"/>
    </row>
    <row r="106">
      <c r="A106" s="202"/>
      <c r="B106" s="198" t="s">
        <v>305</v>
      </c>
      <c r="D106" s="199"/>
      <c r="G106" s="200"/>
      <c r="H106" s="77"/>
      <c r="I106" s="77"/>
      <c r="J106" s="204"/>
      <c r="K106" s="205"/>
      <c r="M106" s="203"/>
      <c r="Q106" s="186"/>
    </row>
    <row r="107">
      <c r="A107" s="202"/>
      <c r="B107" s="198" t="s">
        <v>306</v>
      </c>
      <c r="D107" s="199"/>
      <c r="G107" s="200"/>
      <c r="H107" s="77"/>
      <c r="I107" s="77"/>
      <c r="J107" s="204"/>
      <c r="K107" s="206"/>
      <c r="M107" s="203"/>
      <c r="Q107" s="186"/>
    </row>
    <row r="108">
      <c r="A108" s="116"/>
      <c r="B108" s="198" t="s">
        <v>307</v>
      </c>
      <c r="D108" s="199"/>
      <c r="G108" s="187"/>
      <c r="H108" s="187"/>
      <c r="Q108" s="186"/>
    </row>
    <row r="109">
      <c r="A109" s="116"/>
      <c r="B109" s="198" t="s">
        <v>308</v>
      </c>
      <c r="D109" s="199"/>
      <c r="G109" s="187"/>
      <c r="H109" s="187"/>
      <c r="Q109" s="186"/>
    </row>
    <row r="110">
      <c r="A110" s="116"/>
      <c r="B110" s="198" t="s">
        <v>309</v>
      </c>
      <c r="D110" s="199"/>
      <c r="G110" s="187"/>
      <c r="H110" s="187"/>
      <c r="Q110" s="186"/>
    </row>
    <row r="111">
      <c r="A111" s="116"/>
      <c r="G111" s="187"/>
      <c r="H111" s="187"/>
      <c r="Q111" s="186"/>
    </row>
    <row r="112">
      <c r="A112" s="116"/>
      <c r="B112" s="207" t="s">
        <v>310</v>
      </c>
      <c r="C112" s="207" t="s">
        <v>96</v>
      </c>
      <c r="D112" s="207" t="s">
        <v>9</v>
      </c>
      <c r="E112" s="208" t="s">
        <v>10</v>
      </c>
      <c r="F112" s="30"/>
      <c r="G112" s="187"/>
      <c r="H112" s="187"/>
      <c r="Q112" s="186"/>
    </row>
    <row r="113">
      <c r="A113" s="116"/>
      <c r="B113" s="209"/>
      <c r="C113" s="210" t="s">
        <v>311</v>
      </c>
      <c r="D113" s="211">
        <f t="shared" ref="D113:E113" si="6">SUM(D114:D116)</f>
        <v>12</v>
      </c>
      <c r="E113" s="212">
        <f t="shared" si="6"/>
        <v>660424.5</v>
      </c>
      <c r="F113" s="30"/>
      <c r="I113" s="116"/>
      <c r="M113" s="116"/>
      <c r="Q113" s="116"/>
    </row>
    <row r="114">
      <c r="A114" s="116"/>
      <c r="B114" s="209">
        <v>1.0</v>
      </c>
      <c r="C114" s="209" t="str">
        <f t="array" ref="C114">INDEX(Asesores!$A$5:$A$14,MATCH(B114,Asesores!$AB$5:$AB$14,0))</f>
        <v>Juan Carlos Paredes</v>
      </c>
      <c r="D114" s="209">
        <f t="array" ref="D114">INDEX(Asesores!$M$5:$M$14,MATCH(B114,Asesores!$AB$5:$AB$14,0))</f>
        <v>6</v>
      </c>
      <c r="E114" s="144">
        <f t="array" ref="E114">INDEX(Asesores!$N$5:$N$14,MATCH(B114,Asesores!$AB$5:$AB$14,0))</f>
        <v>367200</v>
      </c>
      <c r="F114" s="30"/>
      <c r="I114" s="116"/>
      <c r="M114" s="116"/>
      <c r="Q114" s="116"/>
    </row>
    <row r="115">
      <c r="A115" s="116"/>
      <c r="B115" s="209">
        <v>2.0</v>
      </c>
      <c r="C115" s="209" t="str">
        <f t="array" ref="C115">INDEX(Asesores!$A$5:$A$14,MATCH(B115,Asesores!$AB$5:$AB$14,0))</f>
        <v>JeanPaul Campos</v>
      </c>
      <c r="D115" s="209">
        <f t="array" ref="D115">INDEX(Asesores!$M$5:$M$14,MATCH(B115,Asesores!$AB$5:$AB$14,0))</f>
        <v>3</v>
      </c>
      <c r="E115" s="144">
        <f t="array" ref="E115">INDEX(Asesores!$N$5:$N$14,MATCH(B115,Asesores!$AB$5:$AB$14,0))</f>
        <v>168224.5</v>
      </c>
      <c r="F115" s="30"/>
      <c r="I115" s="116"/>
      <c r="M115" s="116"/>
      <c r="Q115" s="116"/>
    </row>
    <row r="116">
      <c r="A116" s="116"/>
      <c r="B116" s="209">
        <v>3.0</v>
      </c>
      <c r="C116" s="209" t="str">
        <f t="array" ref="C116">INDEX(Asesores!$A$5:$A$14,MATCH(B116,Asesores!$AB$5:$AB$14,0))</f>
        <v>Alfredo Caceda</v>
      </c>
      <c r="D116" s="209">
        <f t="array" ref="D116">INDEX(Asesores!$M$5:$M$14,MATCH(B116,Asesores!$AB$5:$AB$14,0))</f>
        <v>3</v>
      </c>
      <c r="E116" s="144">
        <f t="array" ref="E116">INDEX(Asesores!$N$5:$N$14,MATCH(B116,Asesores!$AB$5:$AB$14,0))</f>
        <v>125000</v>
      </c>
      <c r="F116" s="30"/>
      <c r="I116" s="116"/>
      <c r="M116" s="116"/>
      <c r="Q116" s="116"/>
    </row>
    <row r="117">
      <c r="A117" s="116"/>
      <c r="E117" s="116"/>
      <c r="I117" s="116"/>
      <c r="M117" s="116"/>
      <c r="Q117" s="116"/>
    </row>
    <row r="118">
      <c r="A118" s="190"/>
      <c r="B118" s="150" t="s">
        <v>312</v>
      </c>
    </row>
    <row r="119" ht="11.25" customHeight="1">
      <c r="A119" s="116"/>
      <c r="E119" s="116"/>
      <c r="I119" s="116"/>
      <c r="M119" s="116"/>
    </row>
    <row r="120">
      <c r="A120" s="190"/>
      <c r="B120" s="213" t="s">
        <v>314</v>
      </c>
      <c r="C120" s="29"/>
      <c r="D120" s="30"/>
      <c r="E120" s="126"/>
      <c r="F120" s="198"/>
      <c r="G120" s="198"/>
      <c r="H120" s="198"/>
      <c r="I120" s="116"/>
      <c r="M120" s="116"/>
    </row>
    <row r="121">
      <c r="A121" s="214"/>
      <c r="B121" s="215" t="str">
        <f>Configuracion!E11</f>
        <v>Publicidad pagada</v>
      </c>
      <c r="C121" s="30"/>
      <c r="D121" s="216">
        <f>COUNTIFS(Data_Ventas!$A$2:$A1136,"&gt;="&amp;$C$5,Data_Ventas!$A$2:$A1136,"&lt;="&amp;$E$5,Data_Ventas!$F$2:$F1136,B121)+COUNTIFS(Data_Cotiz!$A$2:$A1136,"&gt;="&amp;$C$5,Data_Cotiz!$A$2:$A1136,"&lt;="&amp;$E$5,Data_Cotiz!$F$2:$F1136,B121)+COUNTIFS(Data_Leads!$A$2:$A1136,"&gt;="&amp;$C$5,Data_Leads!$A$2:$A1136,"&lt;="&amp;$E$5,Data_Leads!$J$2:$J1136,B121)</f>
        <v>598</v>
      </c>
      <c r="E121" s="126"/>
      <c r="F121" s="198"/>
      <c r="G121" s="198"/>
      <c r="H121" s="198"/>
      <c r="I121" s="116"/>
      <c r="M121" s="116"/>
    </row>
    <row r="122">
      <c r="A122" s="214"/>
      <c r="B122" s="215" t="str">
        <f>Configuracion!E12</f>
        <v>Referido</v>
      </c>
      <c r="C122" s="30"/>
      <c r="D122" s="216">
        <f>COUNTIFS(Data_Ventas!$A$2:$A1136,"&gt;="&amp;$C$5,Data_Ventas!$A$2:$A1136,"&lt;="&amp;$E$5,Data_Ventas!$F$2:$F1136,B122)+COUNTIFS(Data_Cotiz!$A$2:$A1136,"&gt;="&amp;$C$5,Data_Cotiz!$A$2:$A1136,"&lt;="&amp;$E$5,Data_Cotiz!$F$2:$F1136,B122)+COUNTIFS(Data_Leads!$A$2:$A1136,"&gt;="&amp;$C$5,Data_Leads!$A$2:$A1136,"&lt;="&amp;$E$5,Data_Leads!$J$2:$J1136,B122)</f>
        <v>14</v>
      </c>
      <c r="E122" s="126"/>
      <c r="F122" s="198"/>
      <c r="G122" s="198"/>
      <c r="H122" s="198"/>
      <c r="I122" s="116"/>
      <c r="M122" s="116"/>
    </row>
    <row r="123">
      <c r="A123" s="214"/>
      <c r="B123" s="215" t="str">
        <f>Configuracion!E13</f>
        <v>Activación</v>
      </c>
      <c r="C123" s="30"/>
      <c r="D123" s="216">
        <f>COUNTIFS(Data_Ventas!$A$2:$A1136,"&gt;="&amp;$C$5,Data_Ventas!$A$2:$A1136,"&lt;="&amp;$E$5,Data_Ventas!$F$2:$F1136,B123)+COUNTIFS(Data_Cotiz!$A$2:$A1136,"&gt;="&amp;$C$5,Data_Cotiz!$A$2:$A1136,"&lt;="&amp;$E$5,Data_Cotiz!$F$2:$F1136,B123)+COUNTIFS(Data_Leads!$A$2:$A1136,"&gt;="&amp;$C$5,Data_Leads!$A$2:$A1136,"&lt;="&amp;$E$5,Data_Leads!$J$2:$J1136,B123)</f>
        <v>0</v>
      </c>
      <c r="E123" s="126"/>
      <c r="F123" s="198"/>
      <c r="G123" s="198"/>
      <c r="H123" s="198"/>
      <c r="I123" s="116"/>
      <c r="M123" s="116"/>
    </row>
    <row r="124">
      <c r="A124" s="214"/>
      <c r="B124" s="215" t="str">
        <f>Configuracion!E14</f>
        <v>Orgánico</v>
      </c>
      <c r="C124" s="30"/>
      <c r="D124" s="216">
        <f>COUNTIFS(Data_Ventas!$A$2:$A1136,"&gt;="&amp;$C$5,Data_Ventas!$A$2:$A1136,"&lt;="&amp;$E$5,Data_Ventas!$F$2:$F1136,B124)+COUNTIFS(Data_Cotiz!$A$2:$A1136,"&gt;="&amp;$C$5,Data_Cotiz!$A$2:$A1136,"&lt;="&amp;$E$5,Data_Cotiz!$F$2:$F1136,B124)+COUNTIFS(Data_Leads!$A$2:$A1136,"&gt;="&amp;$C$5,Data_Leads!$A$2:$A1136,"&lt;="&amp;$E$5,Data_Leads!$J$2:$J1136,B124)</f>
        <v>0</v>
      </c>
      <c r="E124" s="126"/>
      <c r="F124" s="217" t="s">
        <v>317</v>
      </c>
      <c r="G124" s="30"/>
      <c r="H124" s="198"/>
      <c r="I124" s="116"/>
      <c r="M124" s="116"/>
    </row>
    <row r="125">
      <c r="A125" s="214"/>
      <c r="B125" s="215" t="str">
        <f>Configuracion!E15</f>
        <v>Base de datos</v>
      </c>
      <c r="C125" s="30"/>
      <c r="D125" s="216">
        <f>COUNTIFS(Data_Ventas!$A$2:$A1136,"&gt;="&amp;$C$5,Data_Ventas!$A$2:$A1136,"&lt;="&amp;$E$5,Data_Ventas!$F$2:$F1136,B125)+COUNTIFS(Data_Cotiz!$A$2:$A1136,"&gt;="&amp;$C$5,Data_Cotiz!$A$2:$A1136,"&lt;="&amp;$E$5,Data_Cotiz!$F$2:$F1136,B125)+COUNTIFS(Data_Leads!$A$2:$A1136,"&gt;="&amp;$C$5,Data_Leads!$A$2:$A1136,"&lt;="&amp;$E$5,Data_Leads!$J$2:$J1136,B125)</f>
        <v>0</v>
      </c>
      <c r="E125" s="126"/>
      <c r="F125" s="218" t="str">
        <f>IF($D$138=0,"Aún no hay separaciones en el rango",IF($D$137/$D$138&gt;=3,"Buen volumen de visitas: sostener 3+ por separación","Aumentar visitas: objetivo mínimo 3 clientes por cada separación"))</f>
        <v>Aumentar visitas: objetivo mínimo 3 clientes por cada separación</v>
      </c>
      <c r="G125" s="219"/>
      <c r="H125" s="198"/>
      <c r="I125" s="116"/>
      <c r="M125" s="116"/>
    </row>
    <row r="126">
      <c r="A126" s="214"/>
      <c r="B126" s="215" t="str">
        <f>Configuracion!E16</f>
        <v>Redes Sociales</v>
      </c>
      <c r="C126" s="30"/>
      <c r="D126" s="216">
        <f>COUNTIFS(Data_Ventas!$A$2:$A1136,"&gt;="&amp;$C$5,Data_Ventas!$A$2:$A1136,"&lt;="&amp;$E$5,Data_Ventas!$F$2:$F1136,B126)+COUNTIFS(Data_Cotiz!$A$2:$A1136,"&gt;="&amp;$C$5,Data_Cotiz!$A$2:$A1136,"&lt;="&amp;$E$5,Data_Cotiz!$F$2:$F1136,B126)+COUNTIFS(Data_Leads!$A$2:$A1136,"&gt;="&amp;$C$5,Data_Leads!$A$2:$A1136,"&lt;="&amp;$E$5,Data_Leads!$J$2:$J1136,B126)</f>
        <v>0</v>
      </c>
      <c r="E126" s="126"/>
      <c r="F126" s="220"/>
      <c r="G126" s="221"/>
      <c r="H126" s="198"/>
      <c r="I126" s="116"/>
      <c r="M126" s="116"/>
    </row>
    <row r="127">
      <c r="A127" s="214"/>
      <c r="B127" s="215" t="str">
        <f>Configuracion!E17</f>
        <v>tiktok</v>
      </c>
      <c r="C127" s="30"/>
      <c r="D127" s="216">
        <f>COUNTIFS(Data_Ventas!$A$2:$A1136,"&gt;="&amp;$C$5,Data_Ventas!$A$2:$A1136,"&lt;="&amp;$E$5,Data_Ventas!$F$2:$F1136,B127)+COUNTIFS(Data_Cotiz!$A$2:$A1136,"&gt;="&amp;$C$5,Data_Cotiz!$A$2:$A1136,"&lt;="&amp;$E$5,Data_Cotiz!$F$2:$F1136,B127)+COUNTIFS(Data_Leads!$A$2:$A1136,"&gt;="&amp;$C$5,Data_Leads!$A$2:$A1136,"&lt;="&amp;$E$5,Data_Leads!$J$2:$J1136,B127)</f>
        <v>0</v>
      </c>
      <c r="E127" s="126"/>
      <c r="F127" s="222"/>
      <c r="G127" s="223"/>
      <c r="H127" s="198"/>
      <c r="I127" s="116"/>
      <c r="J127" s="224"/>
      <c r="K127" s="225"/>
      <c r="L127" s="225"/>
      <c r="M127" s="225"/>
      <c r="N127" s="225"/>
      <c r="O127" s="225"/>
      <c r="P127" s="225"/>
    </row>
    <row r="128" ht="9.75" customHeight="1">
      <c r="A128" s="116"/>
      <c r="D128" s="198"/>
      <c r="E128" s="126"/>
      <c r="F128" s="198"/>
      <c r="G128" s="198"/>
      <c r="H128" s="198"/>
      <c r="I128" s="116"/>
      <c r="M128" s="116"/>
    </row>
    <row r="129">
      <c r="A129" s="226"/>
      <c r="B129" s="227"/>
      <c r="C129" s="227"/>
      <c r="D129" s="228" t="s">
        <v>318</v>
      </c>
      <c r="E129" s="228" t="s">
        <v>319</v>
      </c>
      <c r="F129" s="228" t="s">
        <v>224</v>
      </c>
      <c r="G129" s="228" t="s">
        <v>233</v>
      </c>
      <c r="H129" s="228" t="s">
        <v>52</v>
      </c>
      <c r="I129" s="116"/>
      <c r="J129" s="229" t="s">
        <v>320</v>
      </c>
    </row>
    <row r="130">
      <c r="A130" s="230"/>
      <c r="B130" s="231" t="s">
        <v>6</v>
      </c>
      <c r="C130" s="30"/>
      <c r="D130" s="232">
        <f>COUNTIFS(Data_Leads!$A$2:$A1136,"&gt;="&amp;$C$5,Data_Leads!$A$2:$A1136,"&lt;="&amp;$E$5)+D138</f>
        <v>611</v>
      </c>
      <c r="E130" s="233"/>
      <c r="F130" s="232">
        <f>SUMPRODUCT(Meta!$N$5:$N1136*IF(EOMONTH(Meta!$A$5:$A1136,0)&lt;$C$5,0,IF(Meta!$A$5:$A1136&gt;$E$5,0,(IF(EOMONTH(Meta!$A$5:$A1136,0)&lt;$E$5,EOMONTH(Meta!$A$5:$A1136,0),$E$5)-IF(Meta!$A$5:$A1136&gt;$C$5,Meta!$A$5:$A1136,$C$5)+1)/DAY(EOMONTH(Meta!$A$5:$A1136,0)))))</f>
        <v>2925</v>
      </c>
      <c r="G130" s="234"/>
      <c r="H130" s="232"/>
      <c r="I130" s="116"/>
      <c r="M130" s="116"/>
      <c r="Q130" s="116"/>
    </row>
    <row r="131">
      <c r="A131" s="235"/>
      <c r="B131" s="236" t="s">
        <v>321</v>
      </c>
      <c r="C131" s="30"/>
      <c r="D131" s="237">
        <f>COUNTIFS(Data_Leads!$A$2:$A1136,"&gt;="&amp;$C$5,Data_Leads!$A$2:$A1136,"&lt;="&amp;$E$5,Data_Leads!$F$2:$F1136,"Respondieron")+D133</f>
        <v>14</v>
      </c>
      <c r="E131" s="238"/>
      <c r="F131" s="239"/>
      <c r="G131" s="240">
        <f>IFERROR(E131-F131,"-")</f>
        <v>0</v>
      </c>
      <c r="H131" s="241" t="str">
        <f>IF(E131&gt;=F131,"🟢",IF(E131&gt;=F131*0.8,"🟡","🔴"))</f>
        <v>🟢</v>
      </c>
      <c r="I131" s="116"/>
      <c r="M131" s="116"/>
      <c r="Q131" s="116"/>
    </row>
    <row r="132">
      <c r="A132" s="242"/>
      <c r="B132" s="243" t="s">
        <v>322</v>
      </c>
      <c r="C132" s="30"/>
      <c r="D132" s="129">
        <f>D130-D131</f>
        <v>597</v>
      </c>
      <c r="E132" s="238"/>
      <c r="F132" s="244"/>
      <c r="G132" s="240"/>
      <c r="H132" s="245"/>
      <c r="I132" s="116"/>
      <c r="M132" s="116"/>
      <c r="Q132" s="116"/>
    </row>
    <row r="133">
      <c r="A133" s="235"/>
      <c r="B133" s="236" t="s">
        <v>323</v>
      </c>
      <c r="C133" s="30"/>
      <c r="D133" s="237">
        <f>COUNTIFS(Data_Leads!$A$2:$A1136,"&gt;="&amp;$C$5,Data_Leads!$A$2:$A1136,"&lt;="&amp;$E$5,Data_Leads!$F$2:$F1136,"interesados")+D135</f>
        <v>14</v>
      </c>
      <c r="E133" s="238"/>
      <c r="F133" s="246"/>
      <c r="G133" s="240">
        <f t="shared" ref="G133:G138" si="7">IFERROR(E133-F133,"-")</f>
        <v>0</v>
      </c>
      <c r="H133" s="241" t="str">
        <f t="shared" ref="H133:H138" si="8">IF(E133&gt;=F133,"🟢",IF(E133&gt;=F133*0.8,"🟡","🔴"))</f>
        <v>🟢</v>
      </c>
      <c r="I133" s="116"/>
      <c r="M133" s="116"/>
      <c r="Q133" s="116"/>
    </row>
    <row r="134">
      <c r="A134" s="235"/>
      <c r="B134" s="236" t="s">
        <v>324</v>
      </c>
      <c r="C134" s="30"/>
      <c r="D134" s="232">
        <f>COUNTIFS(Data_Leads!$A$2:$A1136,"&gt;="&amp;$C$5,Data_Leads!$A$2:$A1136,"&lt;="&amp;$E$5,Data_Leads!$F$2:$F1136,"Presentación Zoom")</f>
        <v>0</v>
      </c>
      <c r="E134" s="238"/>
      <c r="F134" s="246"/>
      <c r="G134" s="240">
        <f t="shared" si="7"/>
        <v>0</v>
      </c>
      <c r="H134" s="241" t="str">
        <f t="shared" si="8"/>
        <v>🟢</v>
      </c>
      <c r="I134" s="116"/>
      <c r="M134" s="116"/>
      <c r="Q134" s="116"/>
    </row>
    <row r="135">
      <c r="A135" s="242"/>
      <c r="B135" s="243" t="s">
        <v>325</v>
      </c>
      <c r="C135" s="30"/>
      <c r="D135" s="132">
        <f>D136+D137</f>
        <v>14</v>
      </c>
      <c r="E135" s="238">
        <f>D135/D130</f>
        <v>0.02291325696</v>
      </c>
      <c r="F135" s="247">
        <f>SUMPRODUCT(Meta!$O$5:$O1136*IF(EOMONTH(Meta!$A$5:$A1136,0)&lt;$C$5,0,IF(Meta!$A$5:$A1136&gt;$E$5,0,(IF(EOMONTH(Meta!$A$5:$A1136,0)&lt;$E$5,EOMONTH(Meta!$A$5:$A1136,0),$E$5)-IF(Meta!$A$5:$A1136&gt;$C$5,Meta!$A$5:$A1136,$C$5)+1)/DAY(EOMONTH(Meta!$A$5:$A1136,0)))))</f>
        <v>585</v>
      </c>
      <c r="G135" s="240">
        <f t="shared" si="7"/>
        <v>-584.9770867</v>
      </c>
      <c r="H135" s="245" t="str">
        <f t="shared" si="8"/>
        <v>🔴</v>
      </c>
      <c r="I135" s="116"/>
      <c r="M135" s="116"/>
      <c r="Q135" s="116"/>
    </row>
    <row r="136">
      <c r="A136" s="126"/>
      <c r="B136" s="130" t="s">
        <v>326</v>
      </c>
      <c r="C136" s="30"/>
      <c r="D136" s="132">
        <f>COUNTIFS(Data_Leads!$A$2:$A1136,"&gt;="&amp;$C$5,Data_Leads!$A$2:$A1136,"&lt;="&amp;$E$5,Data_Leads!$F$2:$F1136,"No asistio")</f>
        <v>0</v>
      </c>
      <c r="E136" s="238"/>
      <c r="F136" s="248"/>
      <c r="G136" s="240">
        <f t="shared" si="7"/>
        <v>0</v>
      </c>
      <c r="H136" s="245" t="str">
        <f t="shared" si="8"/>
        <v>🟢</v>
      </c>
      <c r="I136" s="116"/>
      <c r="M136" s="116"/>
      <c r="Q136" s="116"/>
    </row>
    <row r="137">
      <c r="A137" s="235"/>
      <c r="B137" s="236" t="s">
        <v>327</v>
      </c>
      <c r="C137" s="30"/>
      <c r="D137" s="232">
        <f>COUNTIFS(Data_Leads!$A$2:$A1136,"&gt;="&amp;$C$5,Data_Leads!$A$2:$A1136,"&lt;="&amp;$E$5,Data_Leads!$F$2:$F1136,"Visitó proyecto")+D138</f>
        <v>14</v>
      </c>
      <c r="E137" s="238">
        <f>IFERROR(D137/D135,"-")</f>
        <v>1</v>
      </c>
      <c r="F137" s="249">
        <f>SUMPRODUCT(Meta!$P$5:$P1136*IF(EOMONTH(Meta!$A$5:$A1136,0)&lt;$C$5,0,IF(Meta!$A$5:$A1136&gt;$E$5,0,(IF(EOMONTH(Meta!$A$5:$A1136,0)&lt;$E$5,EOMONTH(Meta!$A$5:$A1136,0),$E$5)-IF(Meta!$A$5:$A1136&gt;$C$5,Meta!$A$5:$A1136,$C$5)+1)/DAY(EOMONTH(Meta!$A$5:$A1136,0)))))</f>
        <v>351</v>
      </c>
      <c r="G137" s="240">
        <f t="shared" si="7"/>
        <v>-350</v>
      </c>
      <c r="H137" s="241" t="str">
        <f t="shared" si="8"/>
        <v>🔴</v>
      </c>
      <c r="I137" s="116"/>
      <c r="M137" s="116"/>
      <c r="Q137" s="116"/>
    </row>
    <row r="138">
      <c r="A138" s="230"/>
      <c r="B138" s="231" t="s">
        <v>8</v>
      </c>
      <c r="C138" s="30"/>
      <c r="D138" s="232">
        <f>COUNTIFS(Data_Ventas!$A$2:$A1136,"&gt;="&amp;$C$5,Data_Ventas!$A$2:$A1136,"&lt;="&amp;$E$5,Data_Ventas!$H$2:$H1136,"Separado")+D140</f>
        <v>14</v>
      </c>
      <c r="E138" s="238">
        <f>IFERROR(D138/D137,"-")</f>
        <v>1</v>
      </c>
      <c r="F138" s="249">
        <f>SUMPRODUCT(Meta!$Q$5:$Q1136*IF(EOMONTH(Meta!$A$5:$A1136,0)&lt;$C$5,0,IF(Meta!$A$5:$A1136&gt;$E$5,0,(IF(EOMONTH(Meta!$A$5:$A1136,0)&lt;$E$5,EOMONTH(Meta!$A$5:$A1136,0),$E$5)-IF(Meta!$A$5:$A1136&gt;$C$5,Meta!$A$5:$A1136,$C$5)+1)/DAY(EOMONTH(Meta!$A$5:$A1136,0)))))</f>
        <v>117</v>
      </c>
      <c r="G138" s="240">
        <f t="shared" si="7"/>
        <v>-116</v>
      </c>
      <c r="H138" s="241" t="str">
        <f t="shared" si="8"/>
        <v>🔴</v>
      </c>
      <c r="I138" s="116"/>
      <c r="M138" s="116"/>
      <c r="Q138" s="116"/>
    </row>
    <row r="139">
      <c r="A139" s="242"/>
      <c r="B139" s="243" t="s">
        <v>333</v>
      </c>
      <c r="C139" s="30"/>
      <c r="D139" s="232"/>
      <c r="E139" s="238"/>
      <c r="F139" s="239"/>
      <c r="G139" s="240"/>
      <c r="H139" s="241"/>
      <c r="I139" s="116"/>
      <c r="M139" s="116"/>
      <c r="Q139" s="116"/>
    </row>
    <row r="140">
      <c r="A140" s="230"/>
      <c r="B140" s="231" t="s">
        <v>9</v>
      </c>
      <c r="C140" s="30"/>
      <c r="D140" s="232">
        <f>COUNTIFS(Data_Ventas!$A$2:$A1136,"&gt;="&amp;$C$5,Data_Ventas!$A$2:$A1136,"&lt;="&amp;$E$5,Data_Ventas!$H$2:$H1136,"Venta")</f>
        <v>14</v>
      </c>
      <c r="E140" s="238">
        <f>IFERROR(D140/D138,"-")</f>
        <v>1</v>
      </c>
      <c r="F140" s="249">
        <f>SUMPRODUCT(Meta!$C$5:$C1136*IF(EOMONTH(Meta!$A$5:$A1136,0)&lt;$C$5,0,IF(Meta!$A$5:$A1136&gt;$E$5,0,(IF(EOMONTH(Meta!$A$5:$A1136,0)&lt;$E$5,EOMONTH(Meta!$A$5:$A1136,0),$E$5)-IF(Meta!$A$5:$A1136&gt;$C$5,Meta!$A$5:$A1136,$C$5)+1)/DAY(EOMONTH(Meta!$A$5:$A1136,0)))))</f>
        <v>90</v>
      </c>
      <c r="G140" s="240">
        <f>IFERROR(E140-F140,"-")</f>
        <v>-89</v>
      </c>
      <c r="H140" s="241" t="str">
        <f>IF(E140&gt;=F140,"🟢",IF(E140&gt;=F140*0.8,"🟡","🔴"))</f>
        <v>🔴</v>
      </c>
      <c r="I140" s="116"/>
      <c r="M140" s="116"/>
      <c r="Q140" s="116"/>
    </row>
    <row r="141">
      <c r="A141" s="116"/>
      <c r="E141" s="116"/>
      <c r="I141" s="116"/>
      <c r="M141" s="116"/>
      <c r="Q141" s="116"/>
    </row>
    <row r="142">
      <c r="B142" s="150" t="s">
        <v>339</v>
      </c>
    </row>
    <row r="144">
      <c r="B144" s="179" t="s">
        <v>340</v>
      </c>
      <c r="C144" s="30"/>
      <c r="D144" s="180"/>
      <c r="E144" s="30"/>
    </row>
    <row r="145">
      <c r="B145" s="179" t="s">
        <v>341</v>
      </c>
      <c r="C145" s="30"/>
      <c r="D145" s="180"/>
      <c r="E145" s="30"/>
    </row>
    <row r="146">
      <c r="B146" s="179" t="s">
        <v>342</v>
      </c>
      <c r="C146" s="30"/>
      <c r="D146" s="180"/>
      <c r="E146" s="30"/>
    </row>
    <row r="147">
      <c r="B147" s="179" t="s">
        <v>343</v>
      </c>
      <c r="C147" s="30"/>
      <c r="D147" s="180"/>
      <c r="E147" s="30"/>
    </row>
    <row r="148">
      <c r="B148" s="179" t="s">
        <v>346</v>
      </c>
      <c r="C148" s="30"/>
      <c r="D148" s="180"/>
      <c r="E148" s="30"/>
    </row>
    <row r="149">
      <c r="B149" s="179" t="s">
        <v>347</v>
      </c>
      <c r="C149" s="30"/>
      <c r="D149" s="180"/>
      <c r="E149" s="30"/>
    </row>
    <row r="151">
      <c r="B151" s="150" t="s">
        <v>348</v>
      </c>
    </row>
    <row r="153">
      <c r="B153" s="179" t="s">
        <v>349</v>
      </c>
      <c r="C153" s="30"/>
      <c r="D153" s="180"/>
      <c r="E153" s="30"/>
    </row>
    <row r="154">
      <c r="B154" s="179" t="s">
        <v>350</v>
      </c>
      <c r="C154" s="30"/>
      <c r="D154" s="139"/>
      <c r="E154" s="30"/>
    </row>
    <row r="155">
      <c r="B155" s="179" t="s">
        <v>351</v>
      </c>
      <c r="C155" s="30"/>
      <c r="D155" s="180"/>
      <c r="E155" s="30"/>
    </row>
    <row r="156">
      <c r="B156" s="179" t="s">
        <v>352</v>
      </c>
      <c r="C156" s="30"/>
      <c r="D156" s="180"/>
      <c r="E156" s="30"/>
    </row>
    <row r="157">
      <c r="B157" s="179" t="s">
        <v>353</v>
      </c>
      <c r="C157" s="30"/>
      <c r="D157" s="180"/>
      <c r="E157" s="30"/>
    </row>
    <row r="158">
      <c r="B158" s="179" t="s">
        <v>355</v>
      </c>
      <c r="C158" s="30"/>
      <c r="D158" s="180"/>
      <c r="E158" s="30"/>
    </row>
    <row r="159">
      <c r="B159" s="179" t="s">
        <v>357</v>
      </c>
      <c r="C159" s="30"/>
      <c r="D159" s="180"/>
      <c r="E159" s="30"/>
    </row>
    <row r="161">
      <c r="B161" s="150" t="s">
        <v>359</v>
      </c>
    </row>
    <row r="163">
      <c r="A163" s="258"/>
      <c r="B163" s="259" t="s">
        <v>365</v>
      </c>
      <c r="C163" s="30"/>
      <c r="D163" s="122" t="s">
        <v>366</v>
      </c>
      <c r="E163" s="30"/>
      <c r="F163" s="122" t="s">
        <v>367</v>
      </c>
      <c r="G163" s="30"/>
      <c r="H163" s="122" t="s">
        <v>368</v>
      </c>
      <c r="I163" s="30"/>
      <c r="J163" s="122" t="s">
        <v>28</v>
      </c>
      <c r="K163" s="30"/>
      <c r="L163" s="122" t="s">
        <v>162</v>
      </c>
      <c r="M163" s="30"/>
      <c r="N163" s="237" t="s">
        <v>371</v>
      </c>
      <c r="O163" s="258"/>
      <c r="P163" s="258"/>
      <c r="Q163" s="258"/>
    </row>
    <row r="164">
      <c r="B164" s="179" t="s">
        <v>372</v>
      </c>
      <c r="C164" s="30"/>
      <c r="D164" s="180"/>
      <c r="E164" s="30"/>
      <c r="F164" s="180"/>
      <c r="G164" s="30"/>
      <c r="H164" s="180"/>
      <c r="I164" s="30"/>
      <c r="J164" s="180"/>
      <c r="K164" s="30"/>
      <c r="L164" s="180"/>
      <c r="M164" s="30"/>
      <c r="N164" s="132"/>
    </row>
    <row r="165">
      <c r="B165" s="179" t="s">
        <v>373</v>
      </c>
      <c r="C165" s="30"/>
      <c r="D165" s="180"/>
      <c r="E165" s="30"/>
      <c r="F165" s="180"/>
      <c r="G165" s="30"/>
      <c r="H165" s="180"/>
      <c r="I165" s="30"/>
      <c r="J165" s="180"/>
      <c r="K165" s="30"/>
      <c r="L165" s="180"/>
      <c r="M165" s="30"/>
      <c r="N165" s="132"/>
    </row>
    <row r="166">
      <c r="B166" s="179" t="s">
        <v>376</v>
      </c>
      <c r="C166" s="30"/>
      <c r="D166" s="180"/>
      <c r="E166" s="30"/>
      <c r="F166" s="180"/>
      <c r="G166" s="30"/>
      <c r="H166" s="180"/>
      <c r="I166" s="30"/>
      <c r="J166" s="180"/>
      <c r="K166" s="30"/>
      <c r="L166" s="180"/>
      <c r="M166" s="30"/>
      <c r="N166" s="132"/>
    </row>
    <row r="167">
      <c r="B167" s="179" t="s">
        <v>377</v>
      </c>
      <c r="C167" s="30"/>
      <c r="D167" s="180"/>
      <c r="E167" s="30"/>
      <c r="F167" s="180"/>
      <c r="G167" s="30"/>
      <c r="H167" s="180"/>
      <c r="I167" s="30"/>
      <c r="J167" s="180"/>
      <c r="K167" s="30"/>
      <c r="L167" s="180"/>
      <c r="M167" s="30"/>
      <c r="N167" s="132"/>
    </row>
    <row r="168">
      <c r="B168" s="179" t="s">
        <v>380</v>
      </c>
      <c r="C168" s="30"/>
      <c r="D168" s="180"/>
      <c r="E168" s="30"/>
      <c r="F168" s="180"/>
      <c r="G168" s="30"/>
      <c r="H168" s="180"/>
      <c r="I168" s="30"/>
      <c r="J168" s="180"/>
      <c r="K168" s="30"/>
      <c r="L168" s="180"/>
      <c r="M168" s="30"/>
      <c r="N168" s="132"/>
    </row>
    <row r="169">
      <c r="B169" s="179" t="s">
        <v>381</v>
      </c>
      <c r="C169" s="30"/>
      <c r="D169" s="180"/>
      <c r="E169" s="30"/>
      <c r="F169" s="180"/>
      <c r="G169" s="30"/>
      <c r="H169" s="180"/>
      <c r="I169" s="30"/>
      <c r="J169" s="180"/>
      <c r="K169" s="30"/>
      <c r="L169" s="180"/>
      <c r="M169" s="30"/>
      <c r="N169" s="132"/>
    </row>
    <row r="171">
      <c r="B171" s="179" t="s">
        <v>382</v>
      </c>
      <c r="C171" s="30"/>
      <c r="D171" s="180"/>
      <c r="E171" s="29"/>
      <c r="F171" s="29"/>
      <c r="G171" s="29"/>
      <c r="H171" s="29"/>
      <c r="I171" s="29"/>
      <c r="J171" s="29"/>
      <c r="K171" s="29"/>
      <c r="L171" s="29"/>
      <c r="M171" s="29"/>
      <c r="N171" s="30"/>
    </row>
    <row r="173" ht="15.75" customHeight="1">
      <c r="A173" s="190"/>
      <c r="B173" s="150" t="s">
        <v>385</v>
      </c>
      <c r="Q173" s="260"/>
    </row>
    <row r="174" ht="15.75" customHeight="1">
      <c r="A174" s="151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</row>
    <row r="175" ht="15.75" customHeight="1">
      <c r="A175" s="151"/>
      <c r="B175" s="155" t="s">
        <v>386</v>
      </c>
      <c r="C175" s="29"/>
      <c r="D175" s="29"/>
      <c r="E175" s="30"/>
      <c r="F175" s="155" t="s">
        <v>389</v>
      </c>
      <c r="G175" s="29"/>
      <c r="H175" s="29"/>
      <c r="I175" s="29"/>
      <c r="J175" s="29"/>
      <c r="K175" s="30"/>
      <c r="L175" s="155" t="s">
        <v>390</v>
      </c>
      <c r="M175" s="29"/>
      <c r="N175" s="30"/>
      <c r="P175" s="260"/>
      <c r="Q175" s="260"/>
    </row>
    <row r="176" ht="15.75" customHeight="1">
      <c r="A176" s="156"/>
      <c r="B176" s="261" t="s">
        <v>391</v>
      </c>
      <c r="C176" s="29"/>
      <c r="D176" s="29"/>
      <c r="E176" s="30"/>
      <c r="F176" s="261" t="s">
        <v>392</v>
      </c>
      <c r="G176" s="29"/>
      <c r="H176" s="29"/>
      <c r="I176" s="29"/>
      <c r="J176" s="29"/>
      <c r="K176" s="30"/>
      <c r="L176" s="261" t="s">
        <v>393</v>
      </c>
      <c r="M176" s="29"/>
      <c r="N176" s="30"/>
      <c r="P176" s="260"/>
      <c r="Q176" s="260"/>
    </row>
    <row r="177" ht="15.75" customHeight="1">
      <c r="A177" s="156"/>
      <c r="B177" s="261" t="s">
        <v>394</v>
      </c>
      <c r="C177" s="29"/>
      <c r="D177" s="29"/>
      <c r="E177" s="30"/>
      <c r="F177" s="261" t="s">
        <v>396</v>
      </c>
      <c r="G177" s="29"/>
      <c r="H177" s="29"/>
      <c r="I177" s="29"/>
      <c r="J177" s="29"/>
      <c r="K177" s="30"/>
      <c r="L177" s="261" t="s">
        <v>398</v>
      </c>
      <c r="M177" s="29"/>
      <c r="N177" s="30"/>
      <c r="P177" s="260"/>
      <c r="Q177" s="260"/>
    </row>
    <row r="178" ht="15.75" customHeight="1">
      <c r="A178" s="156"/>
      <c r="B178" s="261" t="s">
        <v>399</v>
      </c>
      <c r="C178" s="29"/>
      <c r="D178" s="29"/>
      <c r="E178" s="30"/>
      <c r="F178" s="261" t="s">
        <v>400</v>
      </c>
      <c r="G178" s="29"/>
      <c r="H178" s="29"/>
      <c r="I178" s="29"/>
      <c r="J178" s="29"/>
      <c r="K178" s="30"/>
      <c r="L178" s="261" t="s">
        <v>259</v>
      </c>
      <c r="M178" s="29"/>
      <c r="N178" s="30"/>
      <c r="P178" s="260"/>
      <c r="Q178" s="260"/>
    </row>
    <row r="179" ht="15.75" customHeight="1">
      <c r="A179" s="156"/>
      <c r="B179" s="261" t="s">
        <v>401</v>
      </c>
      <c r="C179" s="29"/>
      <c r="D179" s="29"/>
      <c r="E179" s="30"/>
      <c r="F179" s="261" t="s">
        <v>402</v>
      </c>
      <c r="G179" s="29"/>
      <c r="H179" s="29"/>
      <c r="I179" s="29"/>
      <c r="J179" s="29"/>
      <c r="K179" s="30"/>
      <c r="L179" s="261" t="s">
        <v>403</v>
      </c>
      <c r="M179" s="29"/>
      <c r="N179" s="30"/>
      <c r="P179" s="260"/>
      <c r="Q179" s="260"/>
    </row>
    <row r="180" ht="15.75" customHeight="1">
      <c r="A180" s="156"/>
      <c r="B180" s="261" t="s">
        <v>404</v>
      </c>
      <c r="C180" s="29"/>
      <c r="D180" s="29"/>
      <c r="E180" s="30"/>
      <c r="F180" s="261" t="s">
        <v>405</v>
      </c>
      <c r="G180" s="29"/>
      <c r="H180" s="29"/>
      <c r="I180" s="29"/>
      <c r="J180" s="29"/>
      <c r="K180" s="30"/>
      <c r="L180" s="261" t="s">
        <v>407</v>
      </c>
      <c r="M180" s="29"/>
      <c r="N180" s="30"/>
      <c r="P180" s="260"/>
      <c r="Q180" s="260"/>
    </row>
    <row r="181" ht="15.75" customHeight="1">
      <c r="A181" s="156"/>
      <c r="B181" s="261" t="s">
        <v>409</v>
      </c>
      <c r="C181" s="29"/>
      <c r="D181" s="29"/>
      <c r="E181" s="30"/>
      <c r="F181" s="261" t="s">
        <v>411</v>
      </c>
      <c r="G181" s="29"/>
      <c r="H181" s="29"/>
      <c r="I181" s="29"/>
      <c r="J181" s="29"/>
      <c r="K181" s="30"/>
      <c r="L181" s="261" t="s">
        <v>412</v>
      </c>
      <c r="M181" s="29"/>
      <c r="N181" s="30"/>
      <c r="P181" s="260"/>
      <c r="Q181" s="260"/>
    </row>
    <row r="182" ht="15.75" customHeight="1">
      <c r="A182" s="116"/>
    </row>
    <row r="183" ht="15.75" customHeight="1">
      <c r="A183" s="116"/>
    </row>
    <row r="184" ht="15.75" customHeight="1">
      <c r="A184" s="116"/>
    </row>
    <row r="185" ht="15.75" customHeight="1">
      <c r="A185" s="116"/>
    </row>
    <row r="186" ht="15.75" customHeight="1">
      <c r="A186" s="116"/>
    </row>
    <row r="187" ht="15.75" customHeight="1">
      <c r="A187" s="116"/>
    </row>
    <row r="188" ht="15.75" customHeight="1">
      <c r="A188" s="116"/>
    </row>
    <row r="189" ht="15.75" customHeight="1">
      <c r="A189" s="116"/>
    </row>
    <row r="190" ht="15.75" customHeight="1">
      <c r="A190" s="116"/>
    </row>
    <row r="191" ht="15.75" customHeight="1">
      <c r="A191" s="116"/>
    </row>
    <row r="192" ht="15.75" customHeight="1">
      <c r="A192" s="116"/>
    </row>
    <row r="193" ht="15.75" customHeight="1">
      <c r="A193" s="116"/>
    </row>
    <row r="194" ht="15.75" customHeight="1">
      <c r="A194" s="116"/>
    </row>
    <row r="195" ht="15.75" customHeight="1">
      <c r="A195" s="116"/>
    </row>
    <row r="196" ht="15.75" customHeight="1">
      <c r="A196" s="116"/>
    </row>
    <row r="197" ht="15.75" customHeight="1">
      <c r="A197" s="116"/>
    </row>
    <row r="198" ht="15.75" customHeight="1">
      <c r="A198" s="116"/>
    </row>
    <row r="199" ht="15.75" customHeight="1">
      <c r="A199" s="116"/>
    </row>
    <row r="200" ht="15.75" customHeight="1">
      <c r="A200" s="116"/>
    </row>
    <row r="201" ht="15.75" customHeight="1">
      <c r="A201" s="116"/>
    </row>
    <row r="202" ht="15.75" customHeight="1">
      <c r="A202" s="116"/>
    </row>
    <row r="203" ht="15.75" customHeight="1">
      <c r="A203" s="116"/>
    </row>
    <row r="204" ht="15.75" customHeight="1">
      <c r="A204" s="116"/>
    </row>
    <row r="205" ht="15.75" customHeight="1">
      <c r="A205" s="116"/>
    </row>
    <row r="206" ht="15.75" customHeight="1">
      <c r="A206" s="116"/>
    </row>
    <row r="207" ht="15.75" customHeight="1">
      <c r="A207" s="116"/>
    </row>
    <row r="208" ht="15.75" customHeight="1">
      <c r="A208" s="116"/>
    </row>
    <row r="209" ht="15.75" customHeight="1">
      <c r="A209" s="116"/>
    </row>
    <row r="210" ht="15.75" customHeight="1">
      <c r="A210" s="116"/>
    </row>
    <row r="211" ht="15.75" customHeight="1">
      <c r="A211" s="116"/>
    </row>
    <row r="212" ht="15.75" customHeight="1">
      <c r="A212" s="116"/>
    </row>
    <row r="213" ht="15.75" customHeight="1">
      <c r="A213" s="116"/>
    </row>
    <row r="214" ht="15.75" customHeight="1">
      <c r="A214" s="116"/>
    </row>
    <row r="215" ht="15.75" customHeight="1">
      <c r="A215" s="116"/>
    </row>
    <row r="216" ht="15.75" customHeight="1">
      <c r="A216" s="116"/>
    </row>
    <row r="217" ht="15.75" customHeight="1">
      <c r="A217" s="116"/>
    </row>
    <row r="218" ht="15.75" customHeight="1">
      <c r="A218" s="116"/>
    </row>
    <row r="219" ht="15.75" customHeight="1">
      <c r="A219" s="116"/>
    </row>
    <row r="220" ht="15.75" customHeight="1">
      <c r="A220" s="116"/>
    </row>
    <row r="221" ht="15.75" customHeight="1">
      <c r="A221" s="116"/>
    </row>
    <row r="222" ht="15.75" customHeight="1">
      <c r="A222" s="116"/>
    </row>
    <row r="223" ht="15.75" customHeight="1">
      <c r="A223" s="116"/>
    </row>
    <row r="224" ht="15.75" customHeight="1">
      <c r="A224" s="116"/>
    </row>
    <row r="225" ht="15.75" customHeight="1">
      <c r="A225" s="116"/>
    </row>
    <row r="226" ht="15.75" customHeight="1">
      <c r="A226" s="116"/>
    </row>
    <row r="227" ht="15.75" customHeight="1">
      <c r="A227" s="116"/>
    </row>
    <row r="228" ht="15.75" customHeight="1">
      <c r="A228" s="116"/>
    </row>
    <row r="229" ht="15.75" customHeight="1">
      <c r="A229" s="116"/>
    </row>
    <row r="230" ht="15.75" customHeight="1">
      <c r="A230" s="116"/>
    </row>
    <row r="231" ht="15.75" customHeight="1">
      <c r="A231" s="116"/>
    </row>
    <row r="232" ht="15.75" customHeight="1">
      <c r="A232" s="116"/>
    </row>
    <row r="233" ht="15.75" customHeight="1">
      <c r="A233" s="116"/>
    </row>
    <row r="234" ht="15.75" customHeight="1">
      <c r="A234" s="116"/>
    </row>
    <row r="235" ht="15.75" customHeight="1">
      <c r="A235" s="116"/>
    </row>
    <row r="236" ht="15.75" customHeight="1">
      <c r="A236" s="116"/>
    </row>
    <row r="237" ht="15.75" customHeight="1">
      <c r="A237" s="116"/>
    </row>
    <row r="238" ht="15.75" customHeight="1">
      <c r="A238" s="116"/>
    </row>
    <row r="239" ht="15.75" customHeight="1">
      <c r="A239" s="116"/>
    </row>
    <row r="240" ht="15.75" customHeight="1">
      <c r="A240" s="116"/>
    </row>
    <row r="241" ht="15.75" customHeight="1">
      <c r="A241" s="116"/>
    </row>
    <row r="242" ht="15.75" customHeight="1">
      <c r="A242" s="116"/>
    </row>
    <row r="243" ht="15.75" customHeight="1">
      <c r="A243" s="116"/>
    </row>
    <row r="244" ht="15.75" customHeight="1">
      <c r="A244" s="116"/>
    </row>
    <row r="245" ht="15.75" customHeight="1">
      <c r="A245" s="116"/>
    </row>
    <row r="246" ht="15.75" customHeight="1">
      <c r="A246" s="116"/>
    </row>
    <row r="247" ht="15.75" customHeight="1">
      <c r="A247" s="116"/>
    </row>
    <row r="248" ht="15.75" customHeight="1">
      <c r="A248" s="116"/>
    </row>
    <row r="249" ht="15.75" customHeight="1">
      <c r="A249" s="116"/>
    </row>
    <row r="250" ht="15.75" customHeight="1">
      <c r="A250" s="116"/>
    </row>
    <row r="251" ht="15.75" customHeight="1">
      <c r="A251" s="116"/>
    </row>
    <row r="252" ht="15.75" customHeight="1">
      <c r="A252" s="116"/>
    </row>
    <row r="253" ht="15.75" customHeight="1">
      <c r="A253" s="116"/>
    </row>
    <row r="254" ht="15.75" customHeight="1">
      <c r="A254" s="116"/>
    </row>
    <row r="255" ht="15.75" customHeight="1">
      <c r="A255" s="116"/>
    </row>
    <row r="256" ht="15.75" customHeight="1">
      <c r="A256" s="116"/>
    </row>
    <row r="257" ht="15.75" customHeight="1">
      <c r="A257" s="116"/>
    </row>
    <row r="258" ht="15.75" customHeight="1">
      <c r="A258" s="116"/>
    </row>
    <row r="259" ht="15.75" customHeight="1">
      <c r="A259" s="116"/>
    </row>
    <row r="260" ht="15.75" customHeight="1">
      <c r="A260" s="116"/>
    </row>
    <row r="261" ht="15.75" customHeight="1">
      <c r="A261" s="116"/>
    </row>
    <row r="262" ht="15.75" customHeight="1">
      <c r="A262" s="116"/>
    </row>
    <row r="263" ht="15.75" customHeight="1">
      <c r="A263" s="116"/>
    </row>
    <row r="264" ht="15.75" customHeight="1">
      <c r="A264" s="116"/>
    </row>
    <row r="265" ht="15.75" customHeight="1">
      <c r="A265" s="116"/>
    </row>
    <row r="266" ht="15.75" customHeight="1">
      <c r="A266" s="116"/>
    </row>
    <row r="267" ht="15.75" customHeight="1">
      <c r="A267" s="116"/>
    </row>
    <row r="268" ht="15.75" customHeight="1">
      <c r="A268" s="116"/>
    </row>
    <row r="269" ht="15.75" customHeight="1">
      <c r="A269" s="116"/>
    </row>
    <row r="270" ht="15.75" customHeight="1">
      <c r="A270" s="116"/>
    </row>
    <row r="271" ht="15.75" customHeight="1">
      <c r="A271" s="116"/>
    </row>
    <row r="272" ht="15.75" customHeight="1">
      <c r="A272" s="116"/>
    </row>
    <row r="273" ht="15.75" customHeight="1">
      <c r="A273" s="116"/>
    </row>
    <row r="274" ht="15.75" customHeight="1">
      <c r="A274" s="116"/>
    </row>
    <row r="275" ht="15.75" customHeight="1">
      <c r="A275" s="116"/>
    </row>
    <row r="276" ht="15.75" customHeight="1">
      <c r="A276" s="116"/>
    </row>
    <row r="277" ht="15.75" customHeight="1">
      <c r="A277" s="116"/>
    </row>
    <row r="278" ht="15.75" customHeight="1">
      <c r="A278" s="116"/>
    </row>
    <row r="279" ht="15.75" customHeight="1">
      <c r="A279" s="116"/>
    </row>
    <row r="280" ht="15.75" customHeight="1">
      <c r="A280" s="116"/>
    </row>
    <row r="281" ht="15.75" customHeight="1">
      <c r="A281" s="116"/>
    </row>
    <row r="282" ht="15.75" customHeight="1">
      <c r="A282" s="116"/>
    </row>
    <row r="283" ht="15.75" customHeight="1">
      <c r="A283" s="116"/>
    </row>
    <row r="284" ht="15.75" customHeight="1">
      <c r="A284" s="116"/>
    </row>
    <row r="285" ht="15.75" customHeight="1">
      <c r="A285" s="116"/>
    </row>
    <row r="286" ht="15.75" customHeight="1">
      <c r="A286" s="116"/>
    </row>
    <row r="287" ht="15.75" customHeight="1">
      <c r="A287" s="116"/>
    </row>
    <row r="288" ht="15.75" customHeight="1">
      <c r="A288" s="116"/>
    </row>
    <row r="289" ht="15.75" customHeight="1">
      <c r="A289" s="116"/>
    </row>
    <row r="290" ht="15.75" customHeight="1">
      <c r="A290" s="116"/>
    </row>
    <row r="291" ht="15.75" customHeight="1">
      <c r="A291" s="116"/>
    </row>
    <row r="292" ht="15.75" customHeight="1">
      <c r="A292" s="116"/>
    </row>
    <row r="293" ht="15.75" customHeight="1">
      <c r="A293" s="116"/>
    </row>
    <row r="294" ht="15.75" customHeight="1">
      <c r="A294" s="116"/>
    </row>
    <row r="295" ht="15.75" customHeight="1">
      <c r="A295" s="116"/>
    </row>
    <row r="296" ht="15.75" customHeight="1">
      <c r="A296" s="116"/>
    </row>
    <row r="297" ht="15.75" customHeight="1">
      <c r="A297" s="116"/>
    </row>
    <row r="298" ht="15.75" customHeight="1">
      <c r="A298" s="116"/>
    </row>
    <row r="299" ht="15.75" customHeight="1">
      <c r="A299" s="116"/>
    </row>
    <row r="300" ht="15.75" customHeight="1">
      <c r="A300" s="116"/>
    </row>
    <row r="301" ht="15.75" customHeight="1">
      <c r="A301" s="116"/>
    </row>
    <row r="302" ht="15.75" customHeight="1">
      <c r="A302" s="116"/>
    </row>
    <row r="303" ht="15.75" customHeight="1">
      <c r="A303" s="116"/>
    </row>
    <row r="304" ht="15.75" customHeight="1">
      <c r="A304" s="116"/>
    </row>
    <row r="305" ht="15.75" customHeight="1">
      <c r="A305" s="116"/>
    </row>
    <row r="306" ht="15.75" customHeight="1">
      <c r="A306" s="116"/>
    </row>
    <row r="307" ht="15.75" customHeight="1">
      <c r="A307" s="116"/>
    </row>
    <row r="308" ht="15.75" customHeight="1">
      <c r="A308" s="116"/>
    </row>
    <row r="309" ht="15.75" customHeight="1">
      <c r="A309" s="116"/>
    </row>
    <row r="310" ht="15.75" customHeight="1">
      <c r="A310" s="116"/>
    </row>
    <row r="311" ht="15.75" customHeight="1">
      <c r="A311" s="116"/>
    </row>
    <row r="312" ht="15.75" customHeight="1">
      <c r="A312" s="116"/>
    </row>
    <row r="313" ht="15.75" customHeight="1">
      <c r="A313" s="116"/>
    </row>
    <row r="314" ht="15.75" customHeight="1">
      <c r="A314" s="116"/>
    </row>
    <row r="315" ht="15.75" customHeight="1">
      <c r="A315" s="116"/>
    </row>
    <row r="316" ht="15.75" customHeight="1">
      <c r="A316" s="116"/>
    </row>
    <row r="317" ht="15.75" customHeight="1">
      <c r="A317" s="116"/>
    </row>
    <row r="318" ht="15.75" customHeight="1">
      <c r="A318" s="116"/>
    </row>
    <row r="319" ht="15.75" customHeight="1">
      <c r="A319" s="116"/>
    </row>
    <row r="320" ht="15.75" customHeight="1">
      <c r="A320" s="116"/>
    </row>
    <row r="321" ht="15.75" customHeight="1">
      <c r="A321" s="116"/>
    </row>
    <row r="322" ht="15.75" customHeight="1">
      <c r="A322" s="116"/>
    </row>
    <row r="323" ht="15.75" customHeight="1">
      <c r="A323" s="116"/>
    </row>
    <row r="324" ht="15.75" customHeight="1">
      <c r="A324" s="116"/>
    </row>
    <row r="325" ht="15.75" customHeight="1">
      <c r="A325" s="116"/>
    </row>
    <row r="326" ht="15.75" customHeight="1">
      <c r="A326" s="116"/>
    </row>
    <row r="327" ht="15.75" customHeight="1">
      <c r="A327" s="116"/>
    </row>
    <row r="328" ht="15.75" customHeight="1">
      <c r="A328" s="116"/>
    </row>
    <row r="329" ht="15.75" customHeight="1">
      <c r="A329" s="116"/>
    </row>
    <row r="330" ht="15.75" customHeight="1">
      <c r="A330" s="116"/>
    </row>
    <row r="331" ht="15.75" customHeight="1">
      <c r="A331" s="116"/>
    </row>
    <row r="332" ht="15.75" customHeight="1">
      <c r="A332" s="116"/>
    </row>
    <row r="333" ht="15.75" customHeight="1">
      <c r="A333" s="116"/>
    </row>
    <row r="334" ht="15.75" customHeight="1">
      <c r="A334" s="116"/>
    </row>
    <row r="335" ht="15.75" customHeight="1">
      <c r="A335" s="116"/>
    </row>
    <row r="336" ht="15.75" customHeight="1">
      <c r="A336" s="116"/>
    </row>
    <row r="337" ht="15.75" customHeight="1">
      <c r="A337" s="116"/>
    </row>
    <row r="338" ht="15.75" customHeight="1">
      <c r="A338" s="116"/>
    </row>
    <row r="339" ht="15.75" customHeight="1">
      <c r="A339" s="116"/>
    </row>
    <row r="340" ht="15.75" customHeight="1">
      <c r="A340" s="116"/>
    </row>
    <row r="341" ht="15.75" customHeight="1">
      <c r="A341" s="116"/>
    </row>
    <row r="342" ht="15.75" customHeight="1">
      <c r="A342" s="116"/>
    </row>
    <row r="343" ht="15.75" customHeight="1">
      <c r="A343" s="116"/>
    </row>
    <row r="344" ht="15.75" customHeight="1">
      <c r="A344" s="116"/>
    </row>
    <row r="345" ht="15.75" customHeight="1">
      <c r="A345" s="116"/>
    </row>
    <row r="346" ht="15.75" customHeight="1">
      <c r="A346" s="116"/>
    </row>
    <row r="347" ht="15.75" customHeight="1">
      <c r="A347" s="116"/>
    </row>
    <row r="348" ht="15.75" customHeight="1">
      <c r="A348" s="116"/>
    </row>
    <row r="349" ht="15.75" customHeight="1">
      <c r="A349" s="116"/>
    </row>
    <row r="350" ht="15.75" customHeight="1">
      <c r="A350" s="116"/>
    </row>
    <row r="351" ht="15.75" customHeight="1">
      <c r="A351" s="116"/>
    </row>
    <row r="352" ht="15.75" customHeight="1">
      <c r="A352" s="116"/>
    </row>
    <row r="353" ht="15.75" customHeight="1">
      <c r="A353" s="116"/>
    </row>
    <row r="354" ht="15.75" customHeight="1">
      <c r="A354" s="116"/>
    </row>
    <row r="355" ht="15.75" customHeight="1">
      <c r="A355" s="116"/>
    </row>
    <row r="356" ht="15.75" customHeight="1">
      <c r="A356" s="116"/>
    </row>
    <row r="357" ht="15.75" customHeight="1">
      <c r="A357" s="116"/>
    </row>
    <row r="358" ht="15.75" customHeight="1">
      <c r="A358" s="116"/>
    </row>
    <row r="359" ht="15.75" customHeight="1">
      <c r="A359" s="116"/>
    </row>
    <row r="360" ht="15.75" customHeight="1">
      <c r="A360" s="116"/>
    </row>
    <row r="361" ht="15.75" customHeight="1">
      <c r="A361" s="116"/>
    </row>
    <row r="362" ht="15.75" customHeight="1">
      <c r="A362" s="116"/>
    </row>
    <row r="363" ht="15.75" customHeight="1">
      <c r="A363" s="116"/>
    </row>
    <row r="364" ht="15.75" customHeight="1">
      <c r="A364" s="116"/>
    </row>
    <row r="365" ht="15.75" customHeight="1">
      <c r="A365" s="116"/>
    </row>
    <row r="366" ht="15.75" customHeight="1">
      <c r="A366" s="116"/>
    </row>
    <row r="367" ht="15.75" customHeight="1">
      <c r="A367" s="116"/>
    </row>
    <row r="368" ht="15.75" customHeight="1">
      <c r="A368" s="116"/>
    </row>
    <row r="369" ht="15.75" customHeight="1">
      <c r="A369" s="116"/>
    </row>
    <row r="370" ht="15.75" customHeight="1">
      <c r="A370" s="116"/>
    </row>
    <row r="371" ht="15.75" customHeight="1">
      <c r="A371" s="116"/>
    </row>
    <row r="372" ht="15.75" customHeight="1">
      <c r="A372" s="116"/>
    </row>
    <row r="373" ht="15.75" customHeight="1">
      <c r="A373" s="116"/>
    </row>
    <row r="374" ht="15.75" customHeight="1">
      <c r="A374" s="116"/>
    </row>
    <row r="375" ht="15.75" customHeight="1">
      <c r="A375" s="116"/>
    </row>
    <row r="376" ht="15.75" customHeight="1">
      <c r="A376" s="116"/>
    </row>
    <row r="377" ht="15.75" customHeight="1">
      <c r="A377" s="116"/>
    </row>
    <row r="378" ht="15.75" customHeight="1">
      <c r="A378" s="116"/>
    </row>
    <row r="379" ht="15.75" customHeight="1">
      <c r="A379" s="116"/>
    </row>
    <row r="380" ht="15.75" customHeight="1">
      <c r="A380" s="116"/>
    </row>
    <row r="381" ht="15.75" customHeight="1">
      <c r="A381" s="116"/>
    </row>
    <row r="382" ht="15.75" customHeight="1">
      <c r="A382" s="116"/>
    </row>
    <row r="383" ht="15.75" customHeight="1">
      <c r="A383" s="116"/>
    </row>
    <row r="384" ht="15.75" customHeight="1">
      <c r="A384" s="116"/>
    </row>
    <row r="385" ht="15.75" customHeight="1">
      <c r="A385" s="116"/>
    </row>
    <row r="386" ht="15.75" customHeight="1">
      <c r="A386" s="116"/>
    </row>
    <row r="387" ht="15.75" customHeight="1">
      <c r="A387" s="116"/>
    </row>
    <row r="388" ht="15.75" customHeight="1">
      <c r="A388" s="116"/>
    </row>
    <row r="389" ht="15.75" customHeight="1">
      <c r="A389" s="116"/>
    </row>
    <row r="390" ht="15.75" customHeight="1">
      <c r="A390" s="116"/>
    </row>
    <row r="391" ht="15.75" customHeight="1">
      <c r="A391" s="116"/>
    </row>
    <row r="392" ht="15.75" customHeight="1">
      <c r="A392" s="116"/>
    </row>
    <row r="393" ht="15.75" customHeight="1">
      <c r="A393" s="116"/>
    </row>
    <row r="394" ht="15.75" customHeight="1">
      <c r="A394" s="116"/>
    </row>
    <row r="395" ht="15.75" customHeight="1">
      <c r="A395" s="116"/>
    </row>
    <row r="396" ht="15.75" customHeight="1">
      <c r="A396" s="116"/>
    </row>
    <row r="397" ht="15.75" customHeight="1">
      <c r="A397" s="116"/>
    </row>
    <row r="398" ht="15.75" customHeight="1">
      <c r="A398" s="116"/>
    </row>
    <row r="399" ht="15.75" customHeight="1">
      <c r="A399" s="116"/>
    </row>
    <row r="400" ht="15.75" customHeight="1">
      <c r="A400" s="116"/>
    </row>
    <row r="401" ht="15.75" customHeight="1">
      <c r="A401" s="116"/>
    </row>
    <row r="402" ht="15.75" customHeight="1">
      <c r="A402" s="116"/>
    </row>
    <row r="403" ht="15.75" customHeight="1">
      <c r="A403" s="116"/>
    </row>
    <row r="404" ht="15.75" customHeight="1">
      <c r="A404" s="116"/>
    </row>
    <row r="405" ht="15.75" customHeight="1">
      <c r="A405" s="116"/>
    </row>
    <row r="406" ht="15.75" customHeight="1">
      <c r="A406" s="116"/>
    </row>
    <row r="407" ht="15.75" customHeight="1">
      <c r="A407" s="116"/>
    </row>
    <row r="408" ht="15.75" customHeight="1">
      <c r="A408" s="116"/>
    </row>
    <row r="409" ht="15.75" customHeight="1">
      <c r="A409" s="116"/>
    </row>
    <row r="410" ht="15.75" customHeight="1">
      <c r="A410" s="116"/>
    </row>
    <row r="411" ht="15.75" customHeight="1">
      <c r="A411" s="116"/>
    </row>
    <row r="412" ht="15.75" customHeight="1">
      <c r="A412" s="116"/>
    </row>
    <row r="413" ht="15.75" customHeight="1">
      <c r="A413" s="116"/>
    </row>
    <row r="414" ht="15.75" customHeight="1">
      <c r="A414" s="116"/>
    </row>
    <row r="415" ht="15.75" customHeight="1">
      <c r="A415" s="116"/>
    </row>
    <row r="416" ht="15.75" customHeight="1">
      <c r="A416" s="116"/>
    </row>
    <row r="417" ht="15.75" customHeight="1">
      <c r="A417" s="116"/>
    </row>
    <row r="418" ht="15.75" customHeight="1">
      <c r="A418" s="116"/>
    </row>
    <row r="419" ht="15.75" customHeight="1">
      <c r="A419" s="116"/>
    </row>
    <row r="420" ht="15.75" customHeight="1">
      <c r="A420" s="116"/>
    </row>
    <row r="421" ht="15.75" customHeight="1">
      <c r="A421" s="116"/>
    </row>
    <row r="422" ht="15.75" customHeight="1">
      <c r="A422" s="116"/>
    </row>
    <row r="423" ht="15.75" customHeight="1">
      <c r="A423" s="116"/>
    </row>
    <row r="424" ht="15.75" customHeight="1">
      <c r="A424" s="116"/>
    </row>
    <row r="425" ht="15.75" customHeight="1">
      <c r="A425" s="116"/>
    </row>
    <row r="426" ht="15.75" customHeight="1">
      <c r="A426" s="116"/>
    </row>
    <row r="427" ht="15.75" customHeight="1">
      <c r="A427" s="116"/>
    </row>
    <row r="428" ht="15.75" customHeight="1">
      <c r="A428" s="116"/>
    </row>
    <row r="429" ht="15.75" customHeight="1">
      <c r="A429" s="116"/>
    </row>
    <row r="430" ht="15.75" customHeight="1">
      <c r="A430" s="116"/>
    </row>
    <row r="431" ht="15.75" customHeight="1">
      <c r="A431" s="116"/>
    </row>
    <row r="432" ht="15.75" customHeight="1">
      <c r="A432" s="116"/>
    </row>
    <row r="433" ht="15.75" customHeight="1">
      <c r="A433" s="116"/>
    </row>
    <row r="434" ht="15.75" customHeight="1">
      <c r="A434" s="116"/>
    </row>
    <row r="435" ht="15.75" customHeight="1">
      <c r="A435" s="116"/>
    </row>
    <row r="436" ht="15.75" customHeight="1">
      <c r="A436" s="116"/>
    </row>
    <row r="437" ht="15.75" customHeight="1">
      <c r="A437" s="116"/>
    </row>
    <row r="438" ht="15.75" customHeight="1">
      <c r="A438" s="116"/>
    </row>
    <row r="439" ht="15.75" customHeight="1">
      <c r="A439" s="116"/>
    </row>
    <row r="440" ht="15.75" customHeight="1">
      <c r="A440" s="116"/>
    </row>
    <row r="441" ht="15.75" customHeight="1">
      <c r="A441" s="116"/>
    </row>
    <row r="442" ht="15.75" customHeight="1">
      <c r="A442" s="116"/>
    </row>
    <row r="443" ht="15.75" customHeight="1">
      <c r="A443" s="116"/>
    </row>
    <row r="444" ht="15.75" customHeight="1">
      <c r="A444" s="116"/>
    </row>
    <row r="445" ht="15.75" customHeight="1">
      <c r="A445" s="116"/>
    </row>
    <row r="446" ht="15.75" customHeight="1">
      <c r="A446" s="116"/>
    </row>
    <row r="447" ht="15.75" customHeight="1">
      <c r="A447" s="116"/>
    </row>
    <row r="448" ht="15.75" customHeight="1">
      <c r="A448" s="116"/>
    </row>
    <row r="449" ht="15.75" customHeight="1">
      <c r="A449" s="116"/>
    </row>
    <row r="450" ht="15.75" customHeight="1">
      <c r="A450" s="116"/>
    </row>
    <row r="451" ht="15.75" customHeight="1">
      <c r="A451" s="116"/>
    </row>
    <row r="452" ht="15.75" customHeight="1">
      <c r="A452" s="116"/>
    </row>
    <row r="453" ht="15.75" customHeight="1">
      <c r="A453" s="116"/>
    </row>
    <row r="454" ht="15.75" customHeight="1">
      <c r="A454" s="116"/>
    </row>
    <row r="455" ht="15.75" customHeight="1">
      <c r="A455" s="116"/>
    </row>
    <row r="456" ht="15.75" customHeight="1">
      <c r="A456" s="116"/>
    </row>
    <row r="457" ht="15.75" customHeight="1">
      <c r="A457" s="116"/>
    </row>
    <row r="458" ht="15.75" customHeight="1">
      <c r="A458" s="116"/>
    </row>
    <row r="459" ht="15.75" customHeight="1">
      <c r="A459" s="116"/>
    </row>
    <row r="460" ht="15.75" customHeight="1">
      <c r="A460" s="116"/>
    </row>
    <row r="461" ht="15.75" customHeight="1">
      <c r="A461" s="116"/>
    </row>
    <row r="462" ht="15.75" customHeight="1">
      <c r="A462" s="116"/>
    </row>
    <row r="463" ht="15.75" customHeight="1">
      <c r="A463" s="116"/>
    </row>
    <row r="464" ht="15.75" customHeight="1">
      <c r="A464" s="116"/>
    </row>
    <row r="465" ht="15.75" customHeight="1">
      <c r="A465" s="116"/>
    </row>
    <row r="466" ht="15.75" customHeight="1">
      <c r="A466" s="116"/>
    </row>
    <row r="467" ht="15.75" customHeight="1">
      <c r="A467" s="116"/>
    </row>
    <row r="468" ht="15.75" customHeight="1">
      <c r="A468" s="116"/>
    </row>
    <row r="469" ht="15.75" customHeight="1">
      <c r="A469" s="116"/>
    </row>
    <row r="470" ht="15.75" customHeight="1">
      <c r="A470" s="116"/>
    </row>
    <row r="471" ht="15.75" customHeight="1">
      <c r="A471" s="116"/>
    </row>
    <row r="472" ht="15.75" customHeight="1">
      <c r="A472" s="116"/>
    </row>
    <row r="473" ht="15.75" customHeight="1">
      <c r="A473" s="116"/>
    </row>
    <row r="474" ht="15.75" customHeight="1">
      <c r="A474" s="116"/>
    </row>
    <row r="475" ht="15.75" customHeight="1">
      <c r="A475" s="116"/>
    </row>
    <row r="476" ht="15.75" customHeight="1">
      <c r="A476" s="116"/>
    </row>
    <row r="477" ht="15.75" customHeight="1">
      <c r="A477" s="116"/>
    </row>
    <row r="478" ht="15.75" customHeight="1">
      <c r="A478" s="116"/>
    </row>
    <row r="479" ht="15.75" customHeight="1">
      <c r="A479" s="116"/>
    </row>
    <row r="480" ht="15.75" customHeight="1">
      <c r="A480" s="116"/>
    </row>
    <row r="481" ht="15.75" customHeight="1">
      <c r="A481" s="116"/>
    </row>
    <row r="482" ht="15.75" customHeight="1">
      <c r="A482" s="116"/>
    </row>
    <row r="483" ht="15.75" customHeight="1">
      <c r="A483" s="116"/>
    </row>
    <row r="484" ht="15.75" customHeight="1">
      <c r="A484" s="116"/>
    </row>
    <row r="485" ht="15.75" customHeight="1">
      <c r="A485" s="116"/>
    </row>
    <row r="486" ht="15.75" customHeight="1">
      <c r="A486" s="116"/>
    </row>
    <row r="487" ht="15.75" customHeight="1">
      <c r="A487" s="116"/>
    </row>
    <row r="488" ht="15.75" customHeight="1">
      <c r="A488" s="116"/>
    </row>
    <row r="489" ht="15.75" customHeight="1">
      <c r="A489" s="116"/>
    </row>
    <row r="490" ht="15.75" customHeight="1">
      <c r="A490" s="116"/>
    </row>
    <row r="491" ht="15.75" customHeight="1">
      <c r="A491" s="116"/>
    </row>
    <row r="492" ht="15.75" customHeight="1">
      <c r="A492" s="116"/>
    </row>
    <row r="493" ht="15.75" customHeight="1">
      <c r="A493" s="116"/>
    </row>
    <row r="494" ht="15.75" customHeight="1">
      <c r="A494" s="116"/>
    </row>
    <row r="495" ht="15.75" customHeight="1">
      <c r="A495" s="116"/>
    </row>
    <row r="496" ht="15.75" customHeight="1">
      <c r="A496" s="116"/>
    </row>
    <row r="497" ht="15.75" customHeight="1">
      <c r="A497" s="116"/>
    </row>
    <row r="498" ht="15.75" customHeight="1">
      <c r="A498" s="116"/>
    </row>
    <row r="499" ht="15.75" customHeight="1">
      <c r="A499" s="116"/>
    </row>
    <row r="500" ht="15.75" customHeight="1">
      <c r="A500" s="116"/>
    </row>
    <row r="501" ht="15.75" customHeight="1">
      <c r="A501" s="116"/>
    </row>
    <row r="502" ht="15.75" customHeight="1">
      <c r="A502" s="116"/>
    </row>
    <row r="503" ht="15.75" customHeight="1">
      <c r="A503" s="116"/>
    </row>
    <row r="504" ht="15.75" customHeight="1">
      <c r="A504" s="116"/>
    </row>
    <row r="505" ht="15.75" customHeight="1">
      <c r="A505" s="116"/>
    </row>
    <row r="506" ht="15.75" customHeight="1">
      <c r="A506" s="116"/>
    </row>
    <row r="507" ht="15.75" customHeight="1">
      <c r="A507" s="116"/>
    </row>
    <row r="508" ht="15.75" customHeight="1">
      <c r="A508" s="116"/>
    </row>
    <row r="509" ht="15.75" customHeight="1">
      <c r="A509" s="116"/>
    </row>
    <row r="510" ht="15.75" customHeight="1">
      <c r="A510" s="116"/>
    </row>
    <row r="511" ht="15.75" customHeight="1">
      <c r="A511" s="116"/>
    </row>
    <row r="512" ht="15.75" customHeight="1">
      <c r="A512" s="116"/>
    </row>
    <row r="513" ht="15.75" customHeight="1">
      <c r="A513" s="116"/>
    </row>
    <row r="514" ht="15.75" customHeight="1">
      <c r="A514" s="116"/>
    </row>
    <row r="515" ht="15.75" customHeight="1">
      <c r="A515" s="116"/>
    </row>
    <row r="516" ht="15.75" customHeight="1">
      <c r="A516" s="116"/>
    </row>
    <row r="517" ht="15.75" customHeight="1">
      <c r="A517" s="116"/>
    </row>
    <row r="518" ht="15.75" customHeight="1">
      <c r="A518" s="116"/>
    </row>
    <row r="519" ht="15.75" customHeight="1">
      <c r="A519" s="116"/>
    </row>
    <row r="520" ht="15.75" customHeight="1">
      <c r="A520" s="116"/>
    </row>
    <row r="521" ht="15.75" customHeight="1">
      <c r="A521" s="116"/>
    </row>
    <row r="522" ht="15.75" customHeight="1">
      <c r="A522" s="116"/>
    </row>
    <row r="523" ht="15.75" customHeight="1">
      <c r="A523" s="116"/>
    </row>
    <row r="524" ht="15.75" customHeight="1">
      <c r="A524" s="116"/>
    </row>
    <row r="525" ht="15.75" customHeight="1">
      <c r="A525" s="116"/>
    </row>
    <row r="526" ht="15.75" customHeight="1">
      <c r="A526" s="116"/>
    </row>
    <row r="527" ht="15.75" customHeight="1">
      <c r="A527" s="116"/>
    </row>
    <row r="528" ht="15.75" customHeight="1">
      <c r="A528" s="116"/>
    </row>
    <row r="529" ht="15.75" customHeight="1">
      <c r="A529" s="116"/>
    </row>
    <row r="530" ht="15.75" customHeight="1">
      <c r="A530" s="116"/>
    </row>
    <row r="531" ht="15.75" customHeight="1">
      <c r="A531" s="116"/>
    </row>
    <row r="532" ht="15.75" customHeight="1">
      <c r="A532" s="116"/>
    </row>
    <row r="533" ht="15.75" customHeight="1">
      <c r="A533" s="116"/>
    </row>
    <row r="534" ht="15.75" customHeight="1">
      <c r="A534" s="116"/>
    </row>
    <row r="535" ht="15.75" customHeight="1">
      <c r="A535" s="116"/>
    </row>
    <row r="536" ht="15.75" customHeight="1">
      <c r="A536" s="116"/>
    </row>
    <row r="537" ht="15.75" customHeight="1">
      <c r="A537" s="116"/>
    </row>
    <row r="538" ht="15.75" customHeight="1">
      <c r="A538" s="116"/>
    </row>
    <row r="539" ht="15.75" customHeight="1">
      <c r="A539" s="116"/>
    </row>
    <row r="540" ht="15.75" customHeight="1">
      <c r="A540" s="116"/>
    </row>
    <row r="541" ht="15.75" customHeight="1">
      <c r="A541" s="116"/>
    </row>
    <row r="542" ht="15.75" customHeight="1">
      <c r="A542" s="116"/>
    </row>
    <row r="543" ht="15.75" customHeight="1">
      <c r="A543" s="116"/>
    </row>
    <row r="544" ht="15.75" customHeight="1">
      <c r="A544" s="116"/>
    </row>
    <row r="545" ht="15.75" customHeight="1">
      <c r="A545" s="116"/>
    </row>
    <row r="546" ht="15.75" customHeight="1">
      <c r="A546" s="116"/>
    </row>
    <row r="547" ht="15.75" customHeight="1">
      <c r="A547" s="116"/>
    </row>
    <row r="548" ht="15.75" customHeight="1">
      <c r="A548" s="116"/>
    </row>
    <row r="549" ht="15.75" customHeight="1">
      <c r="A549" s="116"/>
    </row>
    <row r="550" ht="15.75" customHeight="1">
      <c r="A550" s="116"/>
    </row>
    <row r="551" ht="15.75" customHeight="1">
      <c r="A551" s="116"/>
    </row>
    <row r="552" ht="15.75" customHeight="1">
      <c r="A552" s="116"/>
    </row>
    <row r="553" ht="15.75" customHeight="1">
      <c r="A553" s="116"/>
    </row>
    <row r="554" ht="15.75" customHeight="1">
      <c r="A554" s="116"/>
    </row>
    <row r="555" ht="15.75" customHeight="1">
      <c r="A555" s="116"/>
    </row>
    <row r="556" ht="15.75" customHeight="1">
      <c r="A556" s="116"/>
    </row>
    <row r="557" ht="15.75" customHeight="1">
      <c r="A557" s="116"/>
    </row>
    <row r="558" ht="15.75" customHeight="1">
      <c r="A558" s="116"/>
    </row>
    <row r="559" ht="15.75" customHeight="1">
      <c r="A559" s="116"/>
    </row>
    <row r="560" ht="15.75" customHeight="1">
      <c r="A560" s="116"/>
    </row>
    <row r="561" ht="15.75" customHeight="1">
      <c r="A561" s="116"/>
    </row>
    <row r="562" ht="15.75" customHeight="1">
      <c r="A562" s="116"/>
    </row>
    <row r="563" ht="15.75" customHeight="1">
      <c r="A563" s="116"/>
    </row>
    <row r="564" ht="15.75" customHeight="1">
      <c r="A564" s="116"/>
    </row>
    <row r="565" ht="15.75" customHeight="1">
      <c r="A565" s="116"/>
    </row>
    <row r="566" ht="15.75" customHeight="1">
      <c r="A566" s="116"/>
    </row>
    <row r="567" ht="15.75" customHeight="1">
      <c r="A567" s="116"/>
    </row>
    <row r="568" ht="15.75" customHeight="1">
      <c r="A568" s="116"/>
    </row>
    <row r="569" ht="15.75" customHeight="1">
      <c r="A569" s="116"/>
    </row>
    <row r="570" ht="15.75" customHeight="1">
      <c r="A570" s="116"/>
    </row>
    <row r="571" ht="15.75" customHeight="1">
      <c r="A571" s="116"/>
    </row>
    <row r="572" ht="15.75" customHeight="1">
      <c r="A572" s="116"/>
    </row>
    <row r="573" ht="15.75" customHeight="1">
      <c r="A573" s="116"/>
    </row>
    <row r="574" ht="15.75" customHeight="1">
      <c r="A574" s="116"/>
    </row>
    <row r="575" ht="15.75" customHeight="1">
      <c r="A575" s="116"/>
    </row>
    <row r="576" ht="15.75" customHeight="1">
      <c r="A576" s="116"/>
    </row>
    <row r="577" ht="15.75" customHeight="1">
      <c r="A577" s="116"/>
    </row>
    <row r="578" ht="15.75" customHeight="1">
      <c r="A578" s="116"/>
    </row>
    <row r="579" ht="15.75" customHeight="1">
      <c r="A579" s="116"/>
    </row>
    <row r="580" ht="15.75" customHeight="1">
      <c r="A580" s="116"/>
    </row>
    <row r="581" ht="15.75" customHeight="1">
      <c r="A581" s="116"/>
    </row>
    <row r="582" ht="15.75" customHeight="1">
      <c r="A582" s="116"/>
    </row>
    <row r="583" ht="15.75" customHeight="1">
      <c r="A583" s="116"/>
    </row>
    <row r="584" ht="15.75" customHeight="1">
      <c r="A584" s="116"/>
    </row>
    <row r="585" ht="15.75" customHeight="1">
      <c r="A585" s="116"/>
    </row>
    <row r="586" ht="15.75" customHeight="1">
      <c r="A586" s="116"/>
    </row>
    <row r="587" ht="15.75" customHeight="1">
      <c r="A587" s="116"/>
    </row>
    <row r="588" ht="15.75" customHeight="1">
      <c r="A588" s="116"/>
    </row>
    <row r="589" ht="15.75" customHeight="1">
      <c r="A589" s="116"/>
    </row>
    <row r="590" ht="15.75" customHeight="1">
      <c r="A590" s="116"/>
    </row>
    <row r="591" ht="15.75" customHeight="1">
      <c r="A591" s="116"/>
    </row>
    <row r="592" ht="15.75" customHeight="1">
      <c r="A592" s="116"/>
    </row>
    <row r="593" ht="15.75" customHeight="1">
      <c r="A593" s="116"/>
    </row>
    <row r="594" ht="15.75" customHeight="1">
      <c r="A594" s="116"/>
    </row>
    <row r="595" ht="15.75" customHeight="1">
      <c r="A595" s="116"/>
    </row>
    <row r="596" ht="15.75" customHeight="1">
      <c r="A596" s="116"/>
    </row>
    <row r="597" ht="15.75" customHeight="1">
      <c r="A597" s="116"/>
    </row>
    <row r="598" ht="15.75" customHeight="1">
      <c r="A598" s="116"/>
    </row>
    <row r="599" ht="15.75" customHeight="1">
      <c r="A599" s="116"/>
    </row>
    <row r="600" ht="15.75" customHeight="1">
      <c r="A600" s="116"/>
    </row>
    <row r="601" ht="15.75" customHeight="1">
      <c r="A601" s="116"/>
    </row>
    <row r="602" ht="15.75" customHeight="1">
      <c r="A602" s="116"/>
    </row>
    <row r="603" ht="15.75" customHeight="1">
      <c r="A603" s="116"/>
    </row>
    <row r="604" ht="15.75" customHeight="1">
      <c r="A604" s="116"/>
    </row>
    <row r="605" ht="15.75" customHeight="1">
      <c r="A605" s="116"/>
    </row>
    <row r="606" ht="15.75" customHeight="1">
      <c r="A606" s="116"/>
    </row>
    <row r="607" ht="15.75" customHeight="1">
      <c r="A607" s="116"/>
    </row>
    <row r="608" ht="15.75" customHeight="1">
      <c r="A608" s="116"/>
    </row>
    <row r="609" ht="15.75" customHeight="1">
      <c r="A609" s="116"/>
    </row>
    <row r="610" ht="15.75" customHeight="1">
      <c r="A610" s="116"/>
    </row>
    <row r="611" ht="15.75" customHeight="1">
      <c r="A611" s="116"/>
    </row>
    <row r="612" ht="15.75" customHeight="1">
      <c r="A612" s="116"/>
    </row>
    <row r="613" ht="15.75" customHeight="1">
      <c r="A613" s="116"/>
    </row>
    <row r="614" ht="15.75" customHeight="1">
      <c r="A614" s="116"/>
    </row>
    <row r="615" ht="15.75" customHeight="1">
      <c r="A615" s="116"/>
    </row>
    <row r="616" ht="15.75" customHeight="1">
      <c r="A616" s="116"/>
    </row>
    <row r="617" ht="15.75" customHeight="1">
      <c r="A617" s="116"/>
    </row>
    <row r="618" ht="15.75" customHeight="1">
      <c r="A618" s="116"/>
    </row>
    <row r="619" ht="15.75" customHeight="1">
      <c r="A619" s="116"/>
    </row>
    <row r="620" ht="15.75" customHeight="1">
      <c r="A620" s="116"/>
    </row>
    <row r="621" ht="15.75" customHeight="1">
      <c r="A621" s="116"/>
    </row>
    <row r="622" ht="15.75" customHeight="1">
      <c r="A622" s="116"/>
    </row>
    <row r="623" ht="15.75" customHeight="1">
      <c r="A623" s="116"/>
    </row>
    <row r="624" ht="15.75" customHeight="1">
      <c r="A624" s="116"/>
    </row>
    <row r="625" ht="15.75" customHeight="1">
      <c r="A625" s="116"/>
    </row>
    <row r="626" ht="15.75" customHeight="1">
      <c r="A626" s="116"/>
    </row>
    <row r="627" ht="15.75" customHeight="1">
      <c r="A627" s="116"/>
    </row>
    <row r="628" ht="15.75" customHeight="1">
      <c r="A628" s="116"/>
    </row>
    <row r="629" ht="15.75" customHeight="1">
      <c r="A629" s="116"/>
    </row>
    <row r="630" ht="15.75" customHeight="1">
      <c r="A630" s="116"/>
    </row>
    <row r="631" ht="15.75" customHeight="1">
      <c r="A631" s="116"/>
    </row>
    <row r="632" ht="15.75" customHeight="1">
      <c r="A632" s="116"/>
    </row>
    <row r="633" ht="15.75" customHeight="1">
      <c r="A633" s="116"/>
    </row>
    <row r="634" ht="15.75" customHeight="1">
      <c r="A634" s="116"/>
    </row>
    <row r="635" ht="15.75" customHeight="1">
      <c r="A635" s="116"/>
    </row>
    <row r="636" ht="15.75" customHeight="1">
      <c r="A636" s="116"/>
    </row>
    <row r="637" ht="15.75" customHeight="1">
      <c r="A637" s="116"/>
    </row>
    <row r="638" ht="15.75" customHeight="1">
      <c r="A638" s="116"/>
    </row>
    <row r="639" ht="15.75" customHeight="1">
      <c r="A639" s="116"/>
    </row>
    <row r="640" ht="15.75" customHeight="1">
      <c r="A640" s="116"/>
    </row>
    <row r="641" ht="15.75" customHeight="1">
      <c r="A641" s="116"/>
    </row>
    <row r="642" ht="15.75" customHeight="1">
      <c r="A642" s="116"/>
    </row>
    <row r="643" ht="15.75" customHeight="1">
      <c r="A643" s="116"/>
    </row>
    <row r="644" ht="15.75" customHeight="1">
      <c r="A644" s="116"/>
    </row>
    <row r="645" ht="15.75" customHeight="1">
      <c r="A645" s="116"/>
    </row>
    <row r="646" ht="15.75" customHeight="1">
      <c r="A646" s="116"/>
    </row>
    <row r="647" ht="15.75" customHeight="1">
      <c r="A647" s="116"/>
    </row>
    <row r="648" ht="15.75" customHeight="1">
      <c r="A648" s="116"/>
    </row>
    <row r="649" ht="15.75" customHeight="1">
      <c r="A649" s="116"/>
    </row>
    <row r="650" ht="15.75" customHeight="1">
      <c r="A650" s="116"/>
    </row>
    <row r="651" ht="15.75" customHeight="1">
      <c r="A651" s="116"/>
    </row>
    <row r="652" ht="15.75" customHeight="1">
      <c r="A652" s="116"/>
    </row>
    <row r="653" ht="15.75" customHeight="1">
      <c r="A653" s="116"/>
    </row>
    <row r="654" ht="15.75" customHeight="1">
      <c r="A654" s="116"/>
    </row>
    <row r="655" ht="15.75" customHeight="1">
      <c r="A655" s="116"/>
    </row>
    <row r="656" ht="15.75" customHeight="1">
      <c r="A656" s="116"/>
    </row>
    <row r="657" ht="15.75" customHeight="1">
      <c r="A657" s="116"/>
    </row>
    <row r="658" ht="15.75" customHeight="1">
      <c r="A658" s="116"/>
    </row>
    <row r="659" ht="15.75" customHeight="1">
      <c r="A659" s="116"/>
    </row>
    <row r="660" ht="15.75" customHeight="1">
      <c r="A660" s="116"/>
    </row>
    <row r="661" ht="15.75" customHeight="1">
      <c r="A661" s="116"/>
    </row>
    <row r="662" ht="15.75" customHeight="1">
      <c r="A662" s="116"/>
    </row>
    <row r="663" ht="15.75" customHeight="1">
      <c r="A663" s="116"/>
    </row>
    <row r="664" ht="15.75" customHeight="1">
      <c r="A664" s="116"/>
    </row>
    <row r="665" ht="15.75" customHeight="1">
      <c r="A665" s="116"/>
    </row>
    <row r="666" ht="15.75" customHeight="1">
      <c r="A666" s="116"/>
    </row>
    <row r="667" ht="15.75" customHeight="1">
      <c r="A667" s="116"/>
    </row>
    <row r="668" ht="15.75" customHeight="1">
      <c r="A668" s="116"/>
    </row>
    <row r="669" ht="15.75" customHeight="1">
      <c r="A669" s="116"/>
    </row>
    <row r="670" ht="15.75" customHeight="1">
      <c r="A670" s="116"/>
    </row>
    <row r="671" ht="15.75" customHeight="1">
      <c r="A671" s="116"/>
    </row>
    <row r="672" ht="15.75" customHeight="1">
      <c r="A672" s="116"/>
    </row>
    <row r="673" ht="15.75" customHeight="1">
      <c r="A673" s="116"/>
    </row>
    <row r="674" ht="15.75" customHeight="1">
      <c r="A674" s="116"/>
    </row>
    <row r="675" ht="15.75" customHeight="1">
      <c r="A675" s="116"/>
    </row>
    <row r="676" ht="15.75" customHeight="1">
      <c r="A676" s="116"/>
    </row>
    <row r="677" ht="15.75" customHeight="1">
      <c r="A677" s="116"/>
    </row>
    <row r="678" ht="15.75" customHeight="1">
      <c r="A678" s="116"/>
    </row>
    <row r="679" ht="15.75" customHeight="1">
      <c r="A679" s="116"/>
    </row>
    <row r="680" ht="15.75" customHeight="1">
      <c r="A680" s="116"/>
    </row>
    <row r="681" ht="15.75" customHeight="1">
      <c r="A681" s="116"/>
    </row>
    <row r="682" ht="15.75" customHeight="1">
      <c r="A682" s="116"/>
    </row>
    <row r="683" ht="15.75" customHeight="1">
      <c r="A683" s="116"/>
    </row>
    <row r="684" ht="15.75" customHeight="1">
      <c r="A684" s="116"/>
    </row>
    <row r="685" ht="15.75" customHeight="1">
      <c r="A685" s="116"/>
    </row>
    <row r="686" ht="15.75" customHeight="1">
      <c r="A686" s="116"/>
    </row>
    <row r="687" ht="15.75" customHeight="1">
      <c r="A687" s="116"/>
    </row>
    <row r="688" ht="15.75" customHeight="1">
      <c r="A688" s="116"/>
    </row>
    <row r="689" ht="15.75" customHeight="1">
      <c r="A689" s="116"/>
    </row>
    <row r="690" ht="15.75" customHeight="1">
      <c r="A690" s="116"/>
    </row>
    <row r="691" ht="15.75" customHeight="1">
      <c r="A691" s="116"/>
    </row>
    <row r="692" ht="15.75" customHeight="1">
      <c r="A692" s="116"/>
    </row>
    <row r="693" ht="15.75" customHeight="1">
      <c r="A693" s="116"/>
    </row>
    <row r="694" ht="15.75" customHeight="1">
      <c r="A694" s="116"/>
    </row>
    <row r="695" ht="15.75" customHeight="1">
      <c r="A695" s="116"/>
    </row>
    <row r="696" ht="15.75" customHeight="1">
      <c r="A696" s="116"/>
    </row>
    <row r="697" ht="15.75" customHeight="1">
      <c r="A697" s="116"/>
    </row>
    <row r="698" ht="15.75" customHeight="1">
      <c r="A698" s="116"/>
    </row>
    <row r="699" ht="15.75" customHeight="1">
      <c r="A699" s="116"/>
    </row>
    <row r="700" ht="15.75" customHeight="1">
      <c r="A700" s="116"/>
    </row>
    <row r="701" ht="15.75" customHeight="1">
      <c r="A701" s="116"/>
    </row>
    <row r="702" ht="15.75" customHeight="1">
      <c r="A702" s="116"/>
    </row>
    <row r="703" ht="15.75" customHeight="1">
      <c r="A703" s="116"/>
    </row>
    <row r="704" ht="15.75" customHeight="1">
      <c r="A704" s="116"/>
    </row>
    <row r="705" ht="15.75" customHeight="1">
      <c r="A705" s="116"/>
    </row>
    <row r="706" ht="15.75" customHeight="1">
      <c r="A706" s="116"/>
    </row>
    <row r="707" ht="15.75" customHeight="1">
      <c r="A707" s="116"/>
    </row>
    <row r="708" ht="15.75" customHeight="1">
      <c r="A708" s="116"/>
    </row>
    <row r="709" ht="15.75" customHeight="1">
      <c r="A709" s="116"/>
    </row>
    <row r="710" ht="15.75" customHeight="1">
      <c r="A710" s="116"/>
    </row>
    <row r="711" ht="15.75" customHeight="1">
      <c r="A711" s="116"/>
    </row>
    <row r="712" ht="15.75" customHeight="1">
      <c r="A712" s="116"/>
    </row>
    <row r="713" ht="15.75" customHeight="1">
      <c r="A713" s="116"/>
    </row>
    <row r="714" ht="15.75" customHeight="1">
      <c r="A714" s="116"/>
    </row>
    <row r="715" ht="15.75" customHeight="1">
      <c r="A715" s="116"/>
    </row>
    <row r="716" ht="15.75" customHeight="1">
      <c r="A716" s="116"/>
    </row>
    <row r="717" ht="15.75" customHeight="1">
      <c r="A717" s="116"/>
    </row>
    <row r="718" ht="15.75" customHeight="1">
      <c r="A718" s="116"/>
    </row>
    <row r="719" ht="15.75" customHeight="1">
      <c r="A719" s="116"/>
    </row>
    <row r="720" ht="15.75" customHeight="1">
      <c r="A720" s="116"/>
    </row>
    <row r="721" ht="15.75" customHeight="1">
      <c r="A721" s="116"/>
    </row>
    <row r="722" ht="15.75" customHeight="1">
      <c r="A722" s="116"/>
    </row>
    <row r="723" ht="15.75" customHeight="1">
      <c r="A723" s="116"/>
    </row>
    <row r="724" ht="15.75" customHeight="1">
      <c r="A724" s="116"/>
    </row>
    <row r="725" ht="15.75" customHeight="1">
      <c r="A725" s="116"/>
    </row>
    <row r="726" ht="15.75" customHeight="1">
      <c r="A726" s="116"/>
    </row>
    <row r="727" ht="15.75" customHeight="1">
      <c r="A727" s="116"/>
    </row>
    <row r="728" ht="15.75" customHeight="1">
      <c r="A728" s="116"/>
    </row>
    <row r="729" ht="15.75" customHeight="1">
      <c r="A729" s="116"/>
    </row>
    <row r="730" ht="15.75" customHeight="1">
      <c r="A730" s="116"/>
    </row>
    <row r="731" ht="15.75" customHeight="1">
      <c r="A731" s="116"/>
    </row>
    <row r="732" ht="15.75" customHeight="1">
      <c r="A732" s="116"/>
    </row>
    <row r="733" ht="15.75" customHeight="1">
      <c r="A733" s="116"/>
    </row>
    <row r="734" ht="15.75" customHeight="1">
      <c r="A734" s="116"/>
    </row>
    <row r="735" ht="15.75" customHeight="1">
      <c r="A735" s="116"/>
    </row>
    <row r="736" ht="15.75" customHeight="1">
      <c r="A736" s="116"/>
    </row>
    <row r="737" ht="15.75" customHeight="1">
      <c r="A737" s="116"/>
    </row>
    <row r="738" ht="15.75" customHeight="1">
      <c r="A738" s="116"/>
    </row>
    <row r="739" ht="15.75" customHeight="1">
      <c r="A739" s="116"/>
    </row>
    <row r="740" ht="15.75" customHeight="1">
      <c r="A740" s="116"/>
    </row>
    <row r="741" ht="15.75" customHeight="1">
      <c r="A741" s="116"/>
    </row>
    <row r="742" ht="15.75" customHeight="1">
      <c r="A742" s="116"/>
    </row>
    <row r="743" ht="15.75" customHeight="1">
      <c r="A743" s="116"/>
    </row>
    <row r="744" ht="15.75" customHeight="1">
      <c r="A744" s="116"/>
    </row>
    <row r="745" ht="15.75" customHeight="1">
      <c r="A745" s="116"/>
    </row>
    <row r="746" ht="15.75" customHeight="1">
      <c r="A746" s="116"/>
    </row>
    <row r="747" ht="15.75" customHeight="1">
      <c r="A747" s="116"/>
    </row>
    <row r="748" ht="15.75" customHeight="1">
      <c r="A748" s="116"/>
    </row>
    <row r="749" ht="15.75" customHeight="1">
      <c r="A749" s="116"/>
    </row>
    <row r="750" ht="15.75" customHeight="1">
      <c r="A750" s="116"/>
    </row>
    <row r="751" ht="15.75" customHeight="1">
      <c r="A751" s="116"/>
    </row>
    <row r="752" ht="15.75" customHeight="1">
      <c r="A752" s="116"/>
    </row>
    <row r="753" ht="15.75" customHeight="1">
      <c r="A753" s="116"/>
    </row>
    <row r="754" ht="15.75" customHeight="1">
      <c r="A754" s="116"/>
    </row>
    <row r="755" ht="15.75" customHeight="1">
      <c r="A755" s="116"/>
    </row>
    <row r="756" ht="15.75" customHeight="1">
      <c r="A756" s="116"/>
    </row>
    <row r="757" ht="15.75" customHeight="1">
      <c r="A757" s="116"/>
    </row>
    <row r="758" ht="15.75" customHeight="1">
      <c r="A758" s="116"/>
    </row>
    <row r="759" ht="15.75" customHeight="1">
      <c r="A759" s="116"/>
    </row>
    <row r="760" ht="15.75" customHeight="1">
      <c r="A760" s="116"/>
    </row>
    <row r="761" ht="15.75" customHeight="1">
      <c r="A761" s="116"/>
    </row>
    <row r="762" ht="15.75" customHeight="1">
      <c r="A762" s="116"/>
    </row>
    <row r="763" ht="15.75" customHeight="1">
      <c r="A763" s="116"/>
    </row>
    <row r="764" ht="15.75" customHeight="1">
      <c r="A764" s="116"/>
    </row>
    <row r="765" ht="15.75" customHeight="1">
      <c r="A765" s="116"/>
    </row>
    <row r="766" ht="15.75" customHeight="1">
      <c r="A766" s="116"/>
    </row>
    <row r="767" ht="15.75" customHeight="1">
      <c r="A767" s="116"/>
    </row>
    <row r="768" ht="15.75" customHeight="1">
      <c r="A768" s="116"/>
    </row>
    <row r="769" ht="15.75" customHeight="1">
      <c r="A769" s="116"/>
    </row>
    <row r="770" ht="15.75" customHeight="1">
      <c r="A770" s="116"/>
    </row>
    <row r="771" ht="15.75" customHeight="1">
      <c r="A771" s="116"/>
    </row>
    <row r="772" ht="15.75" customHeight="1">
      <c r="A772" s="116"/>
    </row>
    <row r="773" ht="15.75" customHeight="1">
      <c r="A773" s="116"/>
    </row>
    <row r="774" ht="15.75" customHeight="1">
      <c r="A774" s="116"/>
    </row>
    <row r="775" ht="15.75" customHeight="1">
      <c r="A775" s="116"/>
    </row>
    <row r="776" ht="15.75" customHeight="1">
      <c r="A776" s="116"/>
    </row>
    <row r="777" ht="15.75" customHeight="1">
      <c r="A777" s="116"/>
    </row>
    <row r="778" ht="15.75" customHeight="1">
      <c r="A778" s="116"/>
    </row>
    <row r="779" ht="15.75" customHeight="1">
      <c r="A779" s="116"/>
    </row>
    <row r="780" ht="15.75" customHeight="1">
      <c r="A780" s="116"/>
    </row>
    <row r="781" ht="15.75" customHeight="1">
      <c r="A781" s="116"/>
    </row>
    <row r="782" ht="15.75" customHeight="1">
      <c r="A782" s="116"/>
    </row>
    <row r="783" ht="15.75" customHeight="1">
      <c r="A783" s="116"/>
    </row>
    <row r="784" ht="15.75" customHeight="1">
      <c r="A784" s="116"/>
    </row>
    <row r="785" ht="15.75" customHeight="1">
      <c r="A785" s="116"/>
    </row>
    <row r="786" ht="15.75" customHeight="1">
      <c r="A786" s="116"/>
    </row>
    <row r="787" ht="15.75" customHeight="1">
      <c r="A787" s="116"/>
    </row>
    <row r="788" ht="15.75" customHeight="1">
      <c r="A788" s="116"/>
    </row>
    <row r="789" ht="15.75" customHeight="1">
      <c r="A789" s="116"/>
    </row>
    <row r="790" ht="15.75" customHeight="1">
      <c r="A790" s="116"/>
    </row>
    <row r="791" ht="15.75" customHeight="1">
      <c r="A791" s="116"/>
    </row>
    <row r="792" ht="15.75" customHeight="1">
      <c r="A792" s="116"/>
    </row>
    <row r="793" ht="15.75" customHeight="1">
      <c r="A793" s="116"/>
    </row>
    <row r="794" ht="15.75" customHeight="1">
      <c r="A794" s="116"/>
    </row>
    <row r="795" ht="15.75" customHeight="1">
      <c r="A795" s="116"/>
    </row>
    <row r="796" ht="15.75" customHeight="1">
      <c r="A796" s="116"/>
    </row>
    <row r="797" ht="15.75" customHeight="1">
      <c r="A797" s="116"/>
    </row>
    <row r="798" ht="15.75" customHeight="1">
      <c r="A798" s="116"/>
    </row>
    <row r="799" ht="15.75" customHeight="1">
      <c r="A799" s="116"/>
    </row>
    <row r="800" ht="15.75" customHeight="1">
      <c r="A800" s="116"/>
    </row>
    <row r="801" ht="15.75" customHeight="1">
      <c r="A801" s="116"/>
    </row>
    <row r="802" ht="15.75" customHeight="1">
      <c r="A802" s="116"/>
    </row>
    <row r="803" ht="15.75" customHeight="1">
      <c r="A803" s="116"/>
    </row>
    <row r="804" ht="15.75" customHeight="1">
      <c r="A804" s="116"/>
    </row>
    <row r="805" ht="15.75" customHeight="1">
      <c r="A805" s="116"/>
    </row>
    <row r="806" ht="15.75" customHeight="1">
      <c r="A806" s="116"/>
    </row>
    <row r="807" ht="15.75" customHeight="1">
      <c r="A807" s="116"/>
    </row>
    <row r="808" ht="15.75" customHeight="1">
      <c r="A808" s="116"/>
    </row>
    <row r="809" ht="15.75" customHeight="1">
      <c r="A809" s="116"/>
    </row>
    <row r="810" ht="15.75" customHeight="1">
      <c r="A810" s="116"/>
    </row>
    <row r="811" ht="15.75" customHeight="1">
      <c r="A811" s="116"/>
    </row>
    <row r="812" ht="15.75" customHeight="1">
      <c r="A812" s="116"/>
    </row>
    <row r="813" ht="15.75" customHeight="1">
      <c r="A813" s="116"/>
    </row>
    <row r="814" ht="15.75" customHeight="1">
      <c r="A814" s="116"/>
    </row>
    <row r="815" ht="15.75" customHeight="1">
      <c r="A815" s="116"/>
    </row>
    <row r="816" ht="15.75" customHeight="1">
      <c r="A816" s="116"/>
    </row>
    <row r="817" ht="15.75" customHeight="1">
      <c r="A817" s="116"/>
    </row>
    <row r="818" ht="15.75" customHeight="1">
      <c r="A818" s="116"/>
    </row>
    <row r="819" ht="15.75" customHeight="1">
      <c r="A819" s="116"/>
    </row>
    <row r="820" ht="15.75" customHeight="1">
      <c r="A820" s="116"/>
    </row>
    <row r="821" ht="15.75" customHeight="1">
      <c r="A821" s="116"/>
    </row>
    <row r="822" ht="15.75" customHeight="1">
      <c r="A822" s="116"/>
    </row>
    <row r="823" ht="15.75" customHeight="1">
      <c r="A823" s="116"/>
    </row>
    <row r="824" ht="15.75" customHeight="1">
      <c r="A824" s="116"/>
    </row>
    <row r="825" ht="15.75" customHeight="1">
      <c r="A825" s="116"/>
    </row>
    <row r="826" ht="15.75" customHeight="1">
      <c r="A826" s="116"/>
    </row>
    <row r="827" ht="15.75" customHeight="1">
      <c r="A827" s="116"/>
    </row>
    <row r="828" ht="15.75" customHeight="1">
      <c r="A828" s="116"/>
    </row>
    <row r="829" ht="15.75" customHeight="1">
      <c r="A829" s="116"/>
    </row>
    <row r="830" ht="15.75" customHeight="1">
      <c r="A830" s="116"/>
    </row>
    <row r="831" ht="15.75" customHeight="1">
      <c r="A831" s="116"/>
    </row>
    <row r="832" ht="15.75" customHeight="1">
      <c r="A832" s="116"/>
    </row>
    <row r="833" ht="15.75" customHeight="1">
      <c r="A833" s="116"/>
    </row>
    <row r="834" ht="15.75" customHeight="1">
      <c r="A834" s="116"/>
    </row>
    <row r="835" ht="15.75" customHeight="1">
      <c r="A835" s="116"/>
    </row>
    <row r="836" ht="15.75" customHeight="1">
      <c r="A836" s="116"/>
    </row>
    <row r="837" ht="15.75" customHeight="1">
      <c r="A837" s="116"/>
    </row>
    <row r="838" ht="15.75" customHeight="1">
      <c r="A838" s="116"/>
    </row>
    <row r="839" ht="15.75" customHeight="1">
      <c r="A839" s="116"/>
    </row>
    <row r="840" ht="15.75" customHeight="1">
      <c r="A840" s="116"/>
    </row>
    <row r="841" ht="15.75" customHeight="1">
      <c r="A841" s="116"/>
    </row>
    <row r="842" ht="15.75" customHeight="1">
      <c r="A842" s="116"/>
    </row>
    <row r="843" ht="15.75" customHeight="1">
      <c r="A843" s="116"/>
    </row>
    <row r="844" ht="15.75" customHeight="1">
      <c r="A844" s="116"/>
    </row>
    <row r="845" ht="15.75" customHeight="1">
      <c r="A845" s="116"/>
    </row>
    <row r="846" ht="15.75" customHeight="1">
      <c r="A846" s="116"/>
    </row>
    <row r="847" ht="15.75" customHeight="1">
      <c r="A847" s="116"/>
    </row>
    <row r="848" ht="15.75" customHeight="1">
      <c r="A848" s="116"/>
    </row>
    <row r="849" ht="15.75" customHeight="1">
      <c r="A849" s="116"/>
    </row>
    <row r="850" ht="15.75" customHeight="1">
      <c r="A850" s="116"/>
    </row>
    <row r="851" ht="15.75" customHeight="1">
      <c r="A851" s="116"/>
    </row>
    <row r="852" ht="15.75" customHeight="1">
      <c r="A852" s="116"/>
    </row>
    <row r="853" ht="15.75" customHeight="1">
      <c r="A853" s="116"/>
    </row>
    <row r="854" ht="15.75" customHeight="1">
      <c r="A854" s="116"/>
    </row>
    <row r="855" ht="15.75" customHeight="1">
      <c r="A855" s="116"/>
    </row>
    <row r="856" ht="15.75" customHeight="1">
      <c r="A856" s="116"/>
    </row>
    <row r="857" ht="15.75" customHeight="1">
      <c r="A857" s="116"/>
    </row>
    <row r="858" ht="15.75" customHeight="1">
      <c r="A858" s="116"/>
    </row>
    <row r="859" ht="15.75" customHeight="1">
      <c r="A859" s="116"/>
    </row>
    <row r="860" ht="15.75" customHeight="1">
      <c r="A860" s="116"/>
    </row>
    <row r="861" ht="15.75" customHeight="1">
      <c r="A861" s="116"/>
    </row>
    <row r="862" ht="15.75" customHeight="1">
      <c r="A862" s="116"/>
    </row>
    <row r="863" ht="15.75" customHeight="1">
      <c r="A863" s="116"/>
    </row>
    <row r="864" ht="15.75" customHeight="1">
      <c r="A864" s="116"/>
    </row>
    <row r="865" ht="15.75" customHeight="1">
      <c r="A865" s="116"/>
    </row>
    <row r="866" ht="15.75" customHeight="1">
      <c r="A866" s="116"/>
    </row>
    <row r="867" ht="15.75" customHeight="1">
      <c r="A867" s="116"/>
    </row>
    <row r="868" ht="15.75" customHeight="1">
      <c r="A868" s="116"/>
    </row>
    <row r="869" ht="15.75" customHeight="1">
      <c r="A869" s="116"/>
    </row>
    <row r="870" ht="15.75" customHeight="1">
      <c r="A870" s="116"/>
    </row>
    <row r="871" ht="15.75" customHeight="1">
      <c r="A871" s="116"/>
    </row>
    <row r="872" ht="15.75" customHeight="1">
      <c r="A872" s="116"/>
    </row>
    <row r="873" ht="15.75" customHeight="1">
      <c r="A873" s="116"/>
    </row>
    <row r="874" ht="15.75" customHeight="1">
      <c r="A874" s="116"/>
    </row>
    <row r="875" ht="15.75" customHeight="1">
      <c r="A875" s="116"/>
    </row>
    <row r="876" ht="15.75" customHeight="1">
      <c r="A876" s="116"/>
    </row>
    <row r="877" ht="15.75" customHeight="1">
      <c r="A877" s="116"/>
    </row>
    <row r="878" ht="15.75" customHeight="1">
      <c r="A878" s="116"/>
    </row>
    <row r="879" ht="15.75" customHeight="1">
      <c r="A879" s="116"/>
    </row>
    <row r="880" ht="15.75" customHeight="1">
      <c r="A880" s="116"/>
    </row>
    <row r="881" ht="15.75" customHeight="1">
      <c r="A881" s="116"/>
    </row>
    <row r="882" ht="15.75" customHeight="1">
      <c r="A882" s="116"/>
    </row>
    <row r="883" ht="15.75" customHeight="1">
      <c r="A883" s="116"/>
    </row>
    <row r="884" ht="15.75" customHeight="1">
      <c r="A884" s="116"/>
    </row>
    <row r="885" ht="15.75" customHeight="1">
      <c r="A885" s="116"/>
    </row>
    <row r="886" ht="15.75" customHeight="1">
      <c r="A886" s="116"/>
    </row>
    <row r="887" ht="15.75" customHeight="1">
      <c r="A887" s="116"/>
    </row>
    <row r="888" ht="15.75" customHeight="1">
      <c r="A888" s="116"/>
    </row>
    <row r="889" ht="15.75" customHeight="1">
      <c r="A889" s="116"/>
    </row>
    <row r="890" ht="15.75" customHeight="1">
      <c r="A890" s="116"/>
    </row>
    <row r="891" ht="15.75" customHeight="1">
      <c r="A891" s="116"/>
    </row>
    <row r="892" ht="15.75" customHeight="1">
      <c r="A892" s="116"/>
    </row>
    <row r="893" ht="15.75" customHeight="1">
      <c r="A893" s="116"/>
    </row>
    <row r="894" ht="15.75" customHeight="1">
      <c r="A894" s="116"/>
    </row>
    <row r="895" ht="15.75" customHeight="1">
      <c r="A895" s="116"/>
    </row>
    <row r="896" ht="15.75" customHeight="1">
      <c r="A896" s="116"/>
    </row>
    <row r="897" ht="15.75" customHeight="1">
      <c r="A897" s="116"/>
    </row>
    <row r="898" ht="15.75" customHeight="1">
      <c r="A898" s="116"/>
    </row>
    <row r="899" ht="15.75" customHeight="1">
      <c r="A899" s="116"/>
    </row>
    <row r="900" ht="15.75" customHeight="1">
      <c r="A900" s="116"/>
    </row>
    <row r="901" ht="15.75" customHeight="1">
      <c r="A901" s="116"/>
    </row>
    <row r="902" ht="15.75" customHeight="1">
      <c r="A902" s="116"/>
    </row>
    <row r="903" ht="15.75" customHeight="1">
      <c r="A903" s="116"/>
    </row>
    <row r="904" ht="15.75" customHeight="1">
      <c r="A904" s="116"/>
    </row>
    <row r="905" ht="15.75" customHeight="1">
      <c r="A905" s="116"/>
    </row>
    <row r="906" ht="15.75" customHeight="1">
      <c r="A906" s="116"/>
    </row>
    <row r="907" ht="15.75" customHeight="1">
      <c r="A907" s="116"/>
    </row>
    <row r="908" ht="15.75" customHeight="1">
      <c r="A908" s="116"/>
    </row>
    <row r="909" ht="15.75" customHeight="1">
      <c r="A909" s="116"/>
    </row>
    <row r="910" ht="15.75" customHeight="1">
      <c r="A910" s="116"/>
    </row>
    <row r="911" ht="15.75" customHeight="1">
      <c r="A911" s="116"/>
    </row>
    <row r="912" ht="15.75" customHeight="1">
      <c r="A912" s="116"/>
    </row>
    <row r="913" ht="15.75" customHeight="1">
      <c r="A913" s="116"/>
    </row>
    <row r="914" ht="15.75" customHeight="1">
      <c r="A914" s="116"/>
    </row>
    <row r="915" ht="15.75" customHeight="1">
      <c r="A915" s="116"/>
    </row>
    <row r="916" ht="15.75" customHeight="1">
      <c r="A916" s="116"/>
    </row>
    <row r="917" ht="15.75" customHeight="1">
      <c r="A917" s="116"/>
    </row>
    <row r="918" ht="15.75" customHeight="1">
      <c r="A918" s="116"/>
    </row>
    <row r="919" ht="15.75" customHeight="1">
      <c r="A919" s="116"/>
    </row>
    <row r="920" ht="15.75" customHeight="1">
      <c r="A920" s="116"/>
    </row>
    <row r="921" ht="15.75" customHeight="1">
      <c r="A921" s="116"/>
    </row>
    <row r="922" ht="15.75" customHeight="1">
      <c r="A922" s="116"/>
    </row>
    <row r="923" ht="15.75" customHeight="1">
      <c r="A923" s="116"/>
    </row>
    <row r="924" ht="15.75" customHeight="1">
      <c r="A924" s="116"/>
    </row>
    <row r="925" ht="15.75" customHeight="1">
      <c r="A925" s="116"/>
    </row>
    <row r="926" ht="15.75" customHeight="1">
      <c r="A926" s="116"/>
    </row>
    <row r="927" ht="15.75" customHeight="1">
      <c r="A927" s="116"/>
    </row>
    <row r="928" ht="15.75" customHeight="1">
      <c r="A928" s="116"/>
    </row>
    <row r="929" ht="15.75" customHeight="1">
      <c r="A929" s="116"/>
    </row>
    <row r="930" ht="15.75" customHeight="1">
      <c r="A930" s="116"/>
    </row>
    <row r="931" ht="15.75" customHeight="1">
      <c r="A931" s="116"/>
    </row>
    <row r="932" ht="15.75" customHeight="1">
      <c r="A932" s="116"/>
    </row>
    <row r="933" ht="15.75" customHeight="1">
      <c r="A933" s="116"/>
    </row>
    <row r="934" ht="15.75" customHeight="1">
      <c r="A934" s="116"/>
    </row>
    <row r="935" ht="15.75" customHeight="1">
      <c r="A935" s="116"/>
    </row>
    <row r="936" ht="15.75" customHeight="1">
      <c r="A936" s="116"/>
    </row>
    <row r="937" ht="15.75" customHeight="1">
      <c r="A937" s="116"/>
    </row>
    <row r="938" ht="15.75" customHeight="1">
      <c r="A938" s="116"/>
    </row>
    <row r="939" ht="15.75" customHeight="1">
      <c r="A939" s="116"/>
    </row>
    <row r="940" ht="15.75" customHeight="1">
      <c r="A940" s="116"/>
    </row>
    <row r="941" ht="15.75" customHeight="1">
      <c r="A941" s="116"/>
    </row>
    <row r="942" ht="15.75" customHeight="1">
      <c r="A942" s="116"/>
    </row>
    <row r="943" ht="15.75" customHeight="1">
      <c r="A943" s="116"/>
    </row>
    <row r="944" ht="15.75" customHeight="1">
      <c r="A944" s="116"/>
    </row>
    <row r="945" ht="15.75" customHeight="1">
      <c r="A945" s="116"/>
    </row>
    <row r="946" ht="15.75" customHeight="1">
      <c r="A946" s="116"/>
    </row>
    <row r="947" ht="15.75" customHeight="1">
      <c r="A947" s="116"/>
    </row>
    <row r="948" ht="15.75" customHeight="1">
      <c r="A948" s="116"/>
    </row>
    <row r="949" ht="15.75" customHeight="1">
      <c r="A949" s="116"/>
    </row>
    <row r="950" ht="15.75" customHeight="1">
      <c r="A950" s="116"/>
    </row>
    <row r="951" ht="15.75" customHeight="1">
      <c r="A951" s="116"/>
    </row>
    <row r="952" ht="15.75" customHeight="1">
      <c r="A952" s="116"/>
    </row>
    <row r="953" ht="15.75" customHeight="1">
      <c r="A953" s="116"/>
    </row>
    <row r="954" ht="15.75" customHeight="1">
      <c r="A954" s="116"/>
    </row>
    <row r="955" ht="15.75" customHeight="1">
      <c r="A955" s="116"/>
    </row>
    <row r="956" ht="15.75" customHeight="1">
      <c r="A956" s="116"/>
    </row>
    <row r="957" ht="15.75" customHeight="1">
      <c r="A957" s="116"/>
    </row>
    <row r="958" ht="15.75" customHeight="1">
      <c r="A958" s="116"/>
    </row>
    <row r="959" ht="15.75" customHeight="1">
      <c r="A959" s="116"/>
    </row>
    <row r="960" ht="15.75" customHeight="1">
      <c r="A960" s="116"/>
    </row>
    <row r="961" ht="15.75" customHeight="1">
      <c r="A961" s="116"/>
    </row>
    <row r="962" ht="15.75" customHeight="1">
      <c r="A962" s="116"/>
    </row>
    <row r="963" ht="15.75" customHeight="1">
      <c r="A963" s="116"/>
    </row>
    <row r="964" ht="15.75" customHeight="1">
      <c r="A964" s="116"/>
    </row>
    <row r="965" ht="15.75" customHeight="1">
      <c r="A965" s="116"/>
    </row>
    <row r="966" ht="15.75" customHeight="1">
      <c r="A966" s="116"/>
    </row>
    <row r="967" ht="15.75" customHeight="1">
      <c r="A967" s="116"/>
    </row>
    <row r="968" ht="15.75" customHeight="1">
      <c r="A968" s="116"/>
    </row>
    <row r="969" ht="15.75" customHeight="1">
      <c r="A969" s="116"/>
    </row>
    <row r="970" ht="15.75" customHeight="1">
      <c r="A970" s="116"/>
    </row>
    <row r="971" ht="15.75" customHeight="1">
      <c r="A971" s="116"/>
    </row>
    <row r="972" ht="15.75" customHeight="1">
      <c r="A972" s="116"/>
    </row>
    <row r="973" ht="15.75" customHeight="1">
      <c r="A973" s="116"/>
    </row>
    <row r="974" ht="15.75" customHeight="1">
      <c r="A974" s="116"/>
    </row>
    <row r="975" ht="15.75" customHeight="1">
      <c r="A975" s="116"/>
    </row>
    <row r="976" ht="15.75" customHeight="1">
      <c r="A976" s="116"/>
    </row>
    <row r="977" ht="15.75" customHeight="1">
      <c r="A977" s="116"/>
    </row>
    <row r="978" ht="15.75" customHeight="1">
      <c r="A978" s="116"/>
    </row>
    <row r="979" ht="15.75" customHeight="1">
      <c r="A979" s="116"/>
    </row>
    <row r="980" ht="15.75" customHeight="1">
      <c r="A980" s="116"/>
    </row>
    <row r="981" ht="15.75" customHeight="1">
      <c r="A981" s="116"/>
    </row>
    <row r="982" ht="15.75" customHeight="1">
      <c r="A982" s="116"/>
    </row>
    <row r="983" ht="15.75" customHeight="1">
      <c r="A983" s="116"/>
    </row>
    <row r="984" ht="15.75" customHeight="1">
      <c r="A984" s="116"/>
    </row>
    <row r="985" ht="15.75" customHeight="1">
      <c r="A985" s="116"/>
    </row>
    <row r="986" ht="15.75" customHeight="1">
      <c r="A986" s="116"/>
    </row>
    <row r="987" ht="15.75" customHeight="1">
      <c r="A987" s="116"/>
    </row>
    <row r="988" ht="15.75" customHeight="1">
      <c r="A988" s="116"/>
    </row>
    <row r="989" ht="15.75" customHeight="1">
      <c r="A989" s="116"/>
    </row>
    <row r="990" ht="15.75" customHeight="1">
      <c r="A990" s="116"/>
    </row>
    <row r="991" ht="15.75" customHeight="1">
      <c r="A991" s="116"/>
    </row>
    <row r="992" ht="15.75" customHeight="1">
      <c r="A992" s="116"/>
    </row>
    <row r="993" ht="15.75" customHeight="1">
      <c r="A993" s="116"/>
    </row>
    <row r="994" ht="15.75" customHeight="1">
      <c r="A994" s="116"/>
    </row>
    <row r="995" ht="15.75" customHeight="1">
      <c r="A995" s="116"/>
    </row>
    <row r="996" ht="15.75" customHeight="1">
      <c r="A996" s="116"/>
    </row>
    <row r="997" ht="15.75" customHeight="1">
      <c r="A997" s="116"/>
    </row>
    <row r="998" ht="15.75" customHeight="1">
      <c r="A998" s="116"/>
    </row>
    <row r="999" ht="15.75" customHeight="1">
      <c r="A999" s="116"/>
    </row>
    <row r="1000" ht="15.75" customHeight="1">
      <c r="A1000" s="116"/>
    </row>
    <row r="1001" ht="15.75" customHeight="1">
      <c r="A1001" s="116"/>
    </row>
    <row r="1002" ht="15.75" customHeight="1">
      <c r="A1002" s="116"/>
    </row>
    <row r="1003" ht="15.75" customHeight="1">
      <c r="A1003" s="116"/>
    </row>
    <row r="1004" ht="15.75" customHeight="1">
      <c r="A1004" s="116"/>
    </row>
    <row r="1005" ht="15.75" customHeight="1">
      <c r="A1005" s="116"/>
    </row>
    <row r="1006" ht="15.75" customHeight="1">
      <c r="A1006" s="116"/>
    </row>
    <row r="1007" ht="15.75" customHeight="1">
      <c r="A1007" s="116"/>
    </row>
    <row r="1008" ht="15.75" customHeight="1">
      <c r="A1008" s="116"/>
    </row>
    <row r="1009" ht="15.75" customHeight="1">
      <c r="A1009" s="116"/>
    </row>
    <row r="1010" ht="15.75" customHeight="1">
      <c r="A1010" s="116"/>
    </row>
    <row r="1011" ht="15.75" customHeight="1">
      <c r="A1011" s="116"/>
    </row>
    <row r="1012" ht="15.75" customHeight="1">
      <c r="A1012" s="116"/>
    </row>
    <row r="1013" ht="15.75" customHeight="1">
      <c r="A1013" s="116"/>
    </row>
    <row r="1014" ht="15.75" customHeight="1">
      <c r="A1014" s="116"/>
    </row>
    <row r="1015" ht="15.75" customHeight="1">
      <c r="A1015" s="116"/>
    </row>
    <row r="1016" ht="15.75" customHeight="1">
      <c r="A1016" s="116"/>
    </row>
    <row r="1017" ht="15.75" customHeight="1">
      <c r="A1017" s="116"/>
    </row>
    <row r="1018" ht="15.75" customHeight="1">
      <c r="A1018" s="116"/>
    </row>
    <row r="1019" ht="15.75" customHeight="1">
      <c r="A1019" s="116"/>
    </row>
    <row r="1020" ht="15.75" customHeight="1">
      <c r="A1020" s="116"/>
    </row>
    <row r="1021" ht="15.75" customHeight="1">
      <c r="A1021" s="116"/>
    </row>
    <row r="1022" ht="15.75" customHeight="1">
      <c r="A1022" s="116"/>
    </row>
    <row r="1023" ht="15.75" customHeight="1">
      <c r="A1023" s="116"/>
    </row>
    <row r="1024" ht="15.75" customHeight="1">
      <c r="A1024" s="116"/>
    </row>
    <row r="1025" ht="15.75" customHeight="1">
      <c r="A1025" s="116"/>
    </row>
    <row r="1026" ht="15.75" customHeight="1">
      <c r="A1026" s="116"/>
    </row>
    <row r="1027" ht="15.75" customHeight="1">
      <c r="A1027" s="116"/>
    </row>
    <row r="1028" ht="15.75" customHeight="1">
      <c r="A1028" s="116"/>
    </row>
    <row r="1029" ht="15.75" customHeight="1">
      <c r="A1029" s="116"/>
    </row>
    <row r="1030" ht="15.75" customHeight="1">
      <c r="A1030" s="116"/>
    </row>
    <row r="1031" ht="15.75" customHeight="1">
      <c r="A1031" s="116"/>
    </row>
    <row r="1032" ht="15.75" customHeight="1">
      <c r="A1032" s="116"/>
    </row>
    <row r="1033" ht="15.75" customHeight="1">
      <c r="A1033" s="116"/>
    </row>
    <row r="1034" ht="15.75" customHeight="1">
      <c r="A1034" s="116"/>
    </row>
    <row r="1035" ht="15.75" customHeight="1">
      <c r="A1035" s="116"/>
    </row>
    <row r="1036" ht="15.75" customHeight="1">
      <c r="A1036" s="116"/>
    </row>
    <row r="1037" ht="15.75" customHeight="1">
      <c r="A1037" s="116"/>
    </row>
    <row r="1038" ht="15.75" customHeight="1">
      <c r="A1038" s="116"/>
    </row>
    <row r="1039" ht="15.75" customHeight="1">
      <c r="A1039" s="116"/>
    </row>
    <row r="1040" ht="15.75" customHeight="1">
      <c r="A1040" s="116"/>
    </row>
    <row r="1041" ht="15.75" customHeight="1">
      <c r="A1041" s="116"/>
    </row>
    <row r="1042" ht="15.75" customHeight="1">
      <c r="A1042" s="116"/>
    </row>
    <row r="1043" ht="15.75" customHeight="1">
      <c r="A1043" s="116"/>
    </row>
    <row r="1044" ht="15.75" customHeight="1">
      <c r="A1044" s="116"/>
    </row>
    <row r="1045" ht="15.75" customHeight="1">
      <c r="A1045" s="116"/>
    </row>
    <row r="1046" ht="15.75" customHeight="1">
      <c r="A1046" s="116"/>
    </row>
    <row r="1047" ht="15.75" customHeight="1">
      <c r="A1047" s="116"/>
    </row>
    <row r="1048" ht="15.75" customHeight="1">
      <c r="A1048" s="116"/>
    </row>
    <row r="1049" ht="15.75" customHeight="1">
      <c r="A1049" s="116"/>
    </row>
    <row r="1050" ht="15.75" customHeight="1">
      <c r="A1050" s="116"/>
    </row>
    <row r="1051" ht="15.75" customHeight="1">
      <c r="A1051" s="116"/>
    </row>
    <row r="1052" ht="15.75" customHeight="1">
      <c r="A1052" s="116"/>
    </row>
    <row r="1053" ht="15.75" customHeight="1">
      <c r="A1053" s="116"/>
    </row>
    <row r="1054" ht="15.75" customHeight="1">
      <c r="A1054" s="116"/>
    </row>
    <row r="1055" ht="15.75" customHeight="1">
      <c r="A1055" s="116"/>
    </row>
    <row r="1056" ht="15.75" customHeight="1">
      <c r="A1056" s="116"/>
    </row>
    <row r="1057" ht="15.75" customHeight="1">
      <c r="A1057" s="116"/>
    </row>
    <row r="1058" ht="15.75" customHeight="1">
      <c r="A1058" s="116"/>
    </row>
    <row r="1059" ht="15.75" customHeight="1">
      <c r="A1059" s="116"/>
    </row>
    <row r="1060" ht="15.75" customHeight="1">
      <c r="A1060" s="116"/>
    </row>
    <row r="1061" ht="15.75" customHeight="1">
      <c r="A1061" s="116"/>
    </row>
    <row r="1062" ht="15.75" customHeight="1">
      <c r="A1062" s="116"/>
    </row>
    <row r="1063" ht="15.75" customHeight="1">
      <c r="A1063" s="116"/>
    </row>
    <row r="1064" ht="15.75" customHeight="1">
      <c r="A1064" s="116"/>
    </row>
    <row r="1065" ht="15.75" customHeight="1">
      <c r="A1065" s="116"/>
    </row>
    <row r="1066" ht="15.75" customHeight="1">
      <c r="A1066" s="116"/>
    </row>
    <row r="1067" ht="15.75" customHeight="1">
      <c r="A1067" s="116"/>
    </row>
    <row r="1068" ht="15.75" customHeight="1">
      <c r="A1068" s="116"/>
    </row>
    <row r="1069" ht="15.75" customHeight="1">
      <c r="A1069" s="116"/>
    </row>
    <row r="1070" ht="15.75" customHeight="1">
      <c r="A1070" s="116"/>
    </row>
    <row r="1071" ht="15.75" customHeight="1">
      <c r="A1071" s="116"/>
    </row>
    <row r="1072" ht="15.75" customHeight="1">
      <c r="A1072" s="116"/>
    </row>
    <row r="1073" ht="15.75" customHeight="1">
      <c r="A1073" s="116"/>
    </row>
    <row r="1074" ht="15.75" customHeight="1">
      <c r="A1074" s="116"/>
    </row>
    <row r="1075" ht="15.75" customHeight="1">
      <c r="A1075" s="116"/>
    </row>
    <row r="1076" ht="15.75" customHeight="1">
      <c r="A1076" s="116"/>
    </row>
    <row r="1077" ht="15.75" customHeight="1">
      <c r="A1077" s="116"/>
    </row>
    <row r="1078" ht="15.75" customHeight="1">
      <c r="A1078" s="116"/>
    </row>
    <row r="1079" ht="15.75" customHeight="1">
      <c r="A1079" s="116"/>
    </row>
    <row r="1080" ht="15.75" customHeight="1">
      <c r="A1080" s="116"/>
    </row>
    <row r="1081" ht="15.75" customHeight="1">
      <c r="A1081" s="116"/>
    </row>
    <row r="1082" ht="15.75" customHeight="1">
      <c r="A1082" s="116"/>
    </row>
    <row r="1083" ht="15.75" customHeight="1">
      <c r="A1083" s="116"/>
    </row>
    <row r="1084" ht="15.75" customHeight="1">
      <c r="A1084" s="116"/>
    </row>
    <row r="1085" ht="15.75" customHeight="1">
      <c r="A1085" s="116"/>
    </row>
    <row r="1086" ht="15.75" customHeight="1">
      <c r="A1086" s="116"/>
    </row>
    <row r="1087" ht="15.75" customHeight="1">
      <c r="A1087" s="116"/>
    </row>
    <row r="1088" ht="15.75" customHeight="1">
      <c r="A1088" s="116"/>
    </row>
    <row r="1089" ht="15.75" customHeight="1">
      <c r="A1089" s="116"/>
    </row>
    <row r="1090" ht="15.75" customHeight="1">
      <c r="A1090" s="116"/>
    </row>
    <row r="1091" ht="15.75" customHeight="1">
      <c r="A1091" s="116"/>
    </row>
    <row r="1092" ht="15.75" customHeight="1">
      <c r="A1092" s="116"/>
    </row>
    <row r="1093" ht="15.75" customHeight="1">
      <c r="A1093" s="116"/>
    </row>
    <row r="1094" ht="15.75" customHeight="1">
      <c r="A1094" s="116"/>
    </row>
    <row r="1095" ht="15.75" customHeight="1">
      <c r="A1095" s="116"/>
    </row>
    <row r="1096" ht="15.75" customHeight="1">
      <c r="A1096" s="116"/>
    </row>
    <row r="1097" ht="15.75" customHeight="1">
      <c r="A1097" s="116"/>
    </row>
    <row r="1098" ht="15.75" customHeight="1">
      <c r="A1098" s="116"/>
    </row>
    <row r="1099" ht="15.75" customHeight="1">
      <c r="A1099" s="116"/>
    </row>
    <row r="1100" ht="15.75" customHeight="1">
      <c r="A1100" s="116"/>
    </row>
    <row r="1101" ht="15.75" customHeight="1">
      <c r="A1101" s="116"/>
    </row>
    <row r="1102" ht="15.75" customHeight="1">
      <c r="A1102" s="116"/>
    </row>
    <row r="1103" ht="15.75" customHeight="1">
      <c r="A1103" s="116"/>
    </row>
    <row r="1104" ht="15.75" customHeight="1">
      <c r="A1104" s="116"/>
    </row>
    <row r="1105" ht="15.75" customHeight="1">
      <c r="A1105" s="116"/>
    </row>
    <row r="1106" ht="15.75" customHeight="1">
      <c r="A1106" s="116"/>
    </row>
    <row r="1107" ht="15.75" customHeight="1">
      <c r="A1107" s="116"/>
    </row>
    <row r="1108" ht="15.75" customHeight="1">
      <c r="A1108" s="116"/>
    </row>
    <row r="1109" ht="15.75" customHeight="1">
      <c r="A1109" s="116"/>
    </row>
    <row r="1110" ht="15.75" customHeight="1">
      <c r="A1110" s="116"/>
    </row>
    <row r="1111" ht="15.75" customHeight="1">
      <c r="A1111" s="116"/>
    </row>
    <row r="1112" ht="15.75" customHeight="1">
      <c r="A1112" s="116"/>
    </row>
    <row r="1113" ht="15.75" customHeight="1">
      <c r="A1113" s="116"/>
    </row>
    <row r="1114" ht="15.75" customHeight="1">
      <c r="A1114" s="116"/>
    </row>
    <row r="1115" ht="15.75" customHeight="1">
      <c r="A1115" s="116"/>
    </row>
    <row r="1116" ht="15.75" customHeight="1">
      <c r="A1116" s="116"/>
    </row>
    <row r="1117" ht="15.75" customHeight="1">
      <c r="A1117" s="116"/>
    </row>
    <row r="1118" ht="15.75" customHeight="1">
      <c r="A1118" s="116"/>
    </row>
    <row r="1119" ht="15.75" customHeight="1">
      <c r="A1119" s="116"/>
    </row>
    <row r="1120" ht="15.75" customHeight="1">
      <c r="A1120" s="116"/>
    </row>
    <row r="1121" ht="15.75" customHeight="1">
      <c r="A1121" s="116"/>
    </row>
    <row r="1122" ht="15.75" customHeight="1">
      <c r="A1122" s="116"/>
    </row>
    <row r="1123" ht="15.75" customHeight="1">
      <c r="A1123" s="116"/>
    </row>
    <row r="1124" ht="15.75" customHeight="1">
      <c r="A1124" s="116"/>
    </row>
    <row r="1125" ht="15.75" customHeight="1">
      <c r="A1125" s="116"/>
    </row>
    <row r="1126" ht="15.75" customHeight="1">
      <c r="A1126" s="116"/>
    </row>
    <row r="1127" ht="15.75" customHeight="1">
      <c r="A1127" s="116"/>
    </row>
    <row r="1128" ht="15.75" customHeight="1">
      <c r="A1128" s="116"/>
    </row>
    <row r="1129" ht="15.75" customHeight="1">
      <c r="A1129" s="116"/>
    </row>
    <row r="1130" ht="15.75" customHeight="1">
      <c r="A1130" s="116"/>
    </row>
    <row r="1131" ht="15.75" customHeight="1">
      <c r="A1131" s="116"/>
    </row>
    <row r="1132" ht="15.75" customHeight="1">
      <c r="A1132" s="116"/>
    </row>
    <row r="1133" ht="15.75" customHeight="1">
      <c r="A1133" s="116"/>
    </row>
    <row r="1134" ht="15.75" customHeight="1">
      <c r="A1134" s="116"/>
    </row>
    <row r="1135" ht="15.75" customHeight="1">
      <c r="A1135" s="116"/>
    </row>
    <row r="1136" ht="15.75" customHeight="1">
      <c r="A1136" s="116"/>
    </row>
  </sheetData>
  <mergeCells count="257">
    <mergeCell ref="B2:P2"/>
    <mergeCell ref="B3:Q3"/>
    <mergeCell ref="E5:F5"/>
    <mergeCell ref="L5:N5"/>
    <mergeCell ref="O5:P5"/>
    <mergeCell ref="B7:P7"/>
    <mergeCell ref="B9:C9"/>
    <mergeCell ref="B10:C10"/>
    <mergeCell ref="D10:E10"/>
    <mergeCell ref="B11:C11"/>
    <mergeCell ref="D11:E11"/>
    <mergeCell ref="B12:C12"/>
    <mergeCell ref="D12:E12"/>
    <mergeCell ref="D13:E13"/>
    <mergeCell ref="B13:C13"/>
    <mergeCell ref="B14:C14"/>
    <mergeCell ref="B15:C15"/>
    <mergeCell ref="B16:C16"/>
    <mergeCell ref="B18:C18"/>
    <mergeCell ref="B19:C19"/>
    <mergeCell ref="B21:C21"/>
    <mergeCell ref="D24:E24"/>
    <mergeCell ref="D25:E25"/>
    <mergeCell ref="D26:E26"/>
    <mergeCell ref="D27:E27"/>
    <mergeCell ref="B29:P29"/>
    <mergeCell ref="D14:E14"/>
    <mergeCell ref="D15:E15"/>
    <mergeCell ref="D16:E16"/>
    <mergeCell ref="D18:E18"/>
    <mergeCell ref="D19:E19"/>
    <mergeCell ref="D22:E22"/>
    <mergeCell ref="D23:E23"/>
    <mergeCell ref="E32:F32"/>
    <mergeCell ref="E33:F33"/>
    <mergeCell ref="E34:F34"/>
    <mergeCell ref="E35:F35"/>
    <mergeCell ref="D37:E37"/>
    <mergeCell ref="B22:C22"/>
    <mergeCell ref="B23:C23"/>
    <mergeCell ref="B24:C24"/>
    <mergeCell ref="B25:C25"/>
    <mergeCell ref="B26:C26"/>
    <mergeCell ref="B27:C27"/>
    <mergeCell ref="B31:C31"/>
    <mergeCell ref="B51:C51"/>
    <mergeCell ref="B52:C52"/>
    <mergeCell ref="B54:C54"/>
    <mergeCell ref="B56:C56"/>
    <mergeCell ref="B60:C60"/>
    <mergeCell ref="D60:E60"/>
    <mergeCell ref="D61:E61"/>
    <mergeCell ref="B61:C61"/>
    <mergeCell ref="B62:C62"/>
    <mergeCell ref="B63:C63"/>
    <mergeCell ref="B64:C64"/>
    <mergeCell ref="B65:C65"/>
    <mergeCell ref="B66:C66"/>
    <mergeCell ref="B67:C67"/>
    <mergeCell ref="B75:C75"/>
    <mergeCell ref="B76:C76"/>
    <mergeCell ref="D76:E76"/>
    <mergeCell ref="B77:C77"/>
    <mergeCell ref="D77:E77"/>
    <mergeCell ref="B79:C79"/>
    <mergeCell ref="D79:E79"/>
    <mergeCell ref="B80:C80"/>
    <mergeCell ref="D80:E80"/>
    <mergeCell ref="B82:C82"/>
    <mergeCell ref="D82:E82"/>
    <mergeCell ref="B83:C83"/>
    <mergeCell ref="D83:E83"/>
    <mergeCell ref="D84:E84"/>
    <mergeCell ref="B87:C87"/>
    <mergeCell ref="D87:E87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E112:F112"/>
    <mergeCell ref="E113:F113"/>
    <mergeCell ref="B124:C124"/>
    <mergeCell ref="F124:G124"/>
    <mergeCell ref="B125:C125"/>
    <mergeCell ref="F125:G127"/>
    <mergeCell ref="B126:C126"/>
    <mergeCell ref="B127:C127"/>
    <mergeCell ref="E114:F114"/>
    <mergeCell ref="E115:F115"/>
    <mergeCell ref="E116:F116"/>
    <mergeCell ref="B120:D120"/>
    <mergeCell ref="B121:C121"/>
    <mergeCell ref="B122:C122"/>
    <mergeCell ref="B123:C123"/>
    <mergeCell ref="B37:C37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5:C45"/>
    <mergeCell ref="D45:E45"/>
    <mergeCell ref="D46:E46"/>
    <mergeCell ref="D52:E52"/>
    <mergeCell ref="D55:E55"/>
    <mergeCell ref="D56:E56"/>
    <mergeCell ref="B58:P58"/>
    <mergeCell ref="B46:C46"/>
    <mergeCell ref="B48:C48"/>
    <mergeCell ref="B49:C49"/>
    <mergeCell ref="D49:E49"/>
    <mergeCell ref="B50:C50"/>
    <mergeCell ref="D50:E50"/>
    <mergeCell ref="D51:E51"/>
    <mergeCell ref="D62:E62"/>
    <mergeCell ref="D63:E63"/>
    <mergeCell ref="D64:E64"/>
    <mergeCell ref="D65:E65"/>
    <mergeCell ref="D66:E66"/>
    <mergeCell ref="D67:E67"/>
    <mergeCell ref="D69:G69"/>
    <mergeCell ref="D75:E75"/>
    <mergeCell ref="B69:C69"/>
    <mergeCell ref="B71:C71"/>
    <mergeCell ref="D71:E71"/>
    <mergeCell ref="B73:P73"/>
    <mergeCell ref="B84:C84"/>
    <mergeCell ref="B86:C86"/>
    <mergeCell ref="D86:E86"/>
    <mergeCell ref="B89:P89"/>
    <mergeCell ref="B101:P101"/>
    <mergeCell ref="B118:P118"/>
    <mergeCell ref="J129:P129"/>
    <mergeCell ref="B158:C158"/>
    <mergeCell ref="B159:C159"/>
    <mergeCell ref="B161:P161"/>
    <mergeCell ref="B157:C157"/>
    <mergeCell ref="B163:C163"/>
    <mergeCell ref="D163:E163"/>
    <mergeCell ref="F163:G163"/>
    <mergeCell ref="H163:I163"/>
    <mergeCell ref="J163:K163"/>
    <mergeCell ref="L163:M163"/>
    <mergeCell ref="B137:C137"/>
    <mergeCell ref="B138:C138"/>
    <mergeCell ref="B139:C139"/>
    <mergeCell ref="B140:C140"/>
    <mergeCell ref="B142:P142"/>
    <mergeCell ref="B130:C130"/>
    <mergeCell ref="B131:C131"/>
    <mergeCell ref="B132:C132"/>
    <mergeCell ref="B133:C133"/>
    <mergeCell ref="B134:C134"/>
    <mergeCell ref="B135:C135"/>
    <mergeCell ref="B136:C136"/>
    <mergeCell ref="D148:E148"/>
    <mergeCell ref="D149:E149"/>
    <mergeCell ref="B151:P151"/>
    <mergeCell ref="B144:C144"/>
    <mergeCell ref="D144:E144"/>
    <mergeCell ref="B145:C145"/>
    <mergeCell ref="D145:E145"/>
    <mergeCell ref="B146:C146"/>
    <mergeCell ref="D146:E146"/>
    <mergeCell ref="D147:E147"/>
    <mergeCell ref="B147:C147"/>
    <mergeCell ref="B148:C148"/>
    <mergeCell ref="B149:C149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D157:E157"/>
    <mergeCell ref="D158:E158"/>
    <mergeCell ref="D159:E159"/>
    <mergeCell ref="D165:E165"/>
    <mergeCell ref="F165:G165"/>
    <mergeCell ref="F178:K178"/>
    <mergeCell ref="F179:K179"/>
    <mergeCell ref="L179:N179"/>
    <mergeCell ref="F175:K175"/>
    <mergeCell ref="L175:N175"/>
    <mergeCell ref="F176:K176"/>
    <mergeCell ref="L176:N176"/>
    <mergeCell ref="F177:K177"/>
    <mergeCell ref="L177:N177"/>
    <mergeCell ref="L178:N178"/>
    <mergeCell ref="H165:I165"/>
    <mergeCell ref="J165:K165"/>
    <mergeCell ref="B164:C164"/>
    <mergeCell ref="D164:E164"/>
    <mergeCell ref="F164:G164"/>
    <mergeCell ref="H164:I164"/>
    <mergeCell ref="J164:K164"/>
    <mergeCell ref="L164:M164"/>
    <mergeCell ref="L165:M165"/>
    <mergeCell ref="B165:C165"/>
    <mergeCell ref="B166:C166"/>
    <mergeCell ref="D166:E166"/>
    <mergeCell ref="F166:G166"/>
    <mergeCell ref="H166:I166"/>
    <mergeCell ref="J166:K166"/>
    <mergeCell ref="L166:M166"/>
    <mergeCell ref="H168:I168"/>
    <mergeCell ref="J168:K168"/>
    <mergeCell ref="H169:I169"/>
    <mergeCell ref="J169:K169"/>
    <mergeCell ref="L169:M169"/>
    <mergeCell ref="B167:C167"/>
    <mergeCell ref="D167:E167"/>
    <mergeCell ref="F167:G167"/>
    <mergeCell ref="H167:I167"/>
    <mergeCell ref="J167:K167"/>
    <mergeCell ref="L167:M167"/>
    <mergeCell ref="B168:C168"/>
    <mergeCell ref="L168:M168"/>
    <mergeCell ref="D168:E168"/>
    <mergeCell ref="F168:G168"/>
    <mergeCell ref="B169:C169"/>
    <mergeCell ref="D169:E169"/>
    <mergeCell ref="F169:G169"/>
    <mergeCell ref="D171:N171"/>
    <mergeCell ref="B173:P173"/>
    <mergeCell ref="F180:K180"/>
    <mergeCell ref="L180:N180"/>
    <mergeCell ref="F181:K181"/>
    <mergeCell ref="L181:N181"/>
    <mergeCell ref="B171:C171"/>
    <mergeCell ref="B175:E175"/>
    <mergeCell ref="B176:E176"/>
    <mergeCell ref="B177:E177"/>
    <mergeCell ref="B178:E178"/>
    <mergeCell ref="B179:E179"/>
    <mergeCell ref="B180:E180"/>
    <mergeCell ref="B181:E18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4.13"/>
    <col customWidth="1" min="3" max="3" width="14.0"/>
    <col customWidth="1" min="4" max="4" width="14.13"/>
    <col customWidth="1" min="5" max="5" width="13.75"/>
    <col customWidth="1" min="6" max="6" width="16.0"/>
    <col customWidth="1" min="12" max="12" width="15.38"/>
    <col customWidth="1" min="13" max="13" width="13.88"/>
    <col customWidth="1" min="14" max="15" width="8.63"/>
    <col customWidth="1" min="16" max="16" width="10.0"/>
    <col customWidth="1" min="17" max="17" width="12.75"/>
  </cols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9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8" t="s">
        <v>24</v>
      </c>
      <c r="O3" s="29"/>
      <c r="P3" s="29"/>
      <c r="Q3" s="30"/>
      <c r="R3" s="23"/>
    </row>
    <row r="4">
      <c r="A4" s="32" t="s">
        <v>36</v>
      </c>
      <c r="B4" s="35" t="s">
        <v>38</v>
      </c>
      <c r="C4" s="35" t="s">
        <v>39</v>
      </c>
      <c r="D4" s="35" t="s">
        <v>40</v>
      </c>
      <c r="E4" s="35" t="s">
        <v>41</v>
      </c>
      <c r="F4" s="35" t="s">
        <v>42</v>
      </c>
      <c r="G4" s="35" t="s">
        <v>43</v>
      </c>
      <c r="H4" s="37" t="s">
        <v>45</v>
      </c>
      <c r="I4" s="37" t="s">
        <v>27</v>
      </c>
      <c r="J4" s="37" t="s">
        <v>46</v>
      </c>
      <c r="K4" s="37" t="s">
        <v>31</v>
      </c>
      <c r="L4" s="35" t="s">
        <v>47</v>
      </c>
      <c r="M4" s="35" t="s">
        <v>48</v>
      </c>
      <c r="N4" s="35" t="s">
        <v>49</v>
      </c>
      <c r="O4" s="35" t="s">
        <v>50</v>
      </c>
      <c r="P4" s="35" t="s">
        <v>7</v>
      </c>
      <c r="Q4" s="35" t="s">
        <v>51</v>
      </c>
      <c r="R4" s="35" t="s">
        <v>52</v>
      </c>
    </row>
    <row r="5">
      <c r="A5" s="38">
        <v>46023.0</v>
      </c>
      <c r="B5" s="39">
        <v>400000.0</v>
      </c>
      <c r="C5" s="40">
        <v>10.0</v>
      </c>
      <c r="D5" s="39">
        <v>175000.0</v>
      </c>
      <c r="E5" s="39">
        <v>65000.0</v>
      </c>
      <c r="F5" s="39">
        <v>43000.0</v>
      </c>
      <c r="G5" s="40">
        <v>4.0</v>
      </c>
      <c r="H5" s="45">
        <f>SUMIFS(Data_Ventas!$N:$N,Data_Ventas!$A:$A,"&gt;="&amp;$A5,Data_Ventas!$A:$A,"&lt;="&amp;EOMONTH($A5,0),Data_Ventas!$H:$H,"Separado")+I5+SUMIFS(Data_Cotiz!$N:$N,Data_Cotiz!$A:$A,"&gt;="&amp;$A5,Data_Cotiz!$A:$A,"&lt;="&amp;EOMONTH($A5,0),Data_Cotiz!$H:$H,"Listo para comprar")</f>
        <v>244800</v>
      </c>
      <c r="I5" s="45">
        <f>SUMIFS(Data_Ventas!$N:$N,Data_Ventas!$A:$A,"&gt;="&amp;$A5,Data_Ventas!$A:$A,"&lt;="&amp;EOMONTH($A5,0),Data_Ventas!$H:$H,"Venta")</f>
        <v>244800</v>
      </c>
      <c r="J5" s="46">
        <f>COUNTIFS(Data_Ventas!$A:$A,"&gt;="&amp;$A5,Data_Ventas!$A:$A,"&lt;="&amp;EOMONTH($A5,0),Data_Ventas!$H:$H,"Venta")</f>
        <v>4</v>
      </c>
      <c r="K5" s="45">
        <f>SUMIFS(Data_Ventas!$R:$R,Data_Ventas!$A:$A,"&gt;="&amp;$A5,Data_Ventas!$A:$A,"&lt;="&amp;EOMONTH($A5,0),Data_Ventas!$H:$H,"Venta")</f>
        <v>27200</v>
      </c>
      <c r="L5" s="47">
        <f t="shared" ref="L5:L13" si="1">IF(OR(H5="",I5="",I5=0),"",MAX(1-ABS(H5-I5)/I5))</f>
        <v>1</v>
      </c>
      <c r="M5" s="48">
        <f t="shared" ref="M5:M16" si="2">IF(H5="","",H5-B5)</f>
        <v>-155200</v>
      </c>
      <c r="N5" s="49">
        <f>ROUNDUP(O5/Configuracion!$B$11,0)</f>
        <v>325</v>
      </c>
      <c r="O5" s="49">
        <f>ROUNDUP(P5/Configuracion!$B$12,0)</f>
        <v>65</v>
      </c>
      <c r="P5" s="49">
        <f>ROUNDUP(Q5/Configuracion!$B$13,0)</f>
        <v>39</v>
      </c>
      <c r="Q5" s="49">
        <f>ROUNDUP(C5/Configuracion!$B$14,0)</f>
        <v>13</v>
      </c>
      <c r="R5" s="49"/>
    </row>
    <row r="6">
      <c r="A6" s="38">
        <v>46054.0</v>
      </c>
      <c r="B6" s="39">
        <v>400000.0</v>
      </c>
      <c r="C6" s="40">
        <v>10.0</v>
      </c>
      <c r="D6" s="39">
        <v>175000.0</v>
      </c>
      <c r="E6" s="39">
        <v>65000.0</v>
      </c>
      <c r="F6" s="39">
        <v>43000.0</v>
      </c>
      <c r="G6" s="40">
        <v>4.0</v>
      </c>
      <c r="H6" s="45">
        <f>SUMIFS(Data_Ventas!$N:$N,Data_Ventas!$A:$A,"&gt;="&amp;$A6,Data_Ventas!$A:$A,"&lt;="&amp;EOMONTH($A6,0),Data_Ventas!$H:$H,"Separado")+I6+SUMIFS(Data_Cotiz!$N:$N,Data_Cotiz!$A:$A,"&gt;="&amp;$A6,Data_Cotiz!$A:$A,"&lt;="&amp;EOMONTH($A6,0),Data_Cotiz!$H:$H,"Listo para comprar")</f>
        <v>52360</v>
      </c>
      <c r="I6" s="45">
        <f>SUMIFS(Data_Ventas!$N:$N,Data_Ventas!$A:$A,"&gt;="&amp;$A6,Data_Ventas!$A:$A,"&lt;="&amp;EOMONTH($A6,0),Data_Ventas!$H:$H,"Venta")</f>
        <v>52360</v>
      </c>
      <c r="J6" s="46">
        <f>COUNTIFS(Data_Ventas!$A:$A,"&gt;="&amp;$A6,Data_Ventas!$A:$A,"&lt;="&amp;EOMONTH($A6,0),Data_Ventas!$H:$H,"Venta")</f>
        <v>1</v>
      </c>
      <c r="K6" s="45">
        <f>SUMIFS(Data_Ventas!$R:$R,Data_Ventas!$A:$A,"&gt;="&amp;$A6,Data_Ventas!$A:$A,"&lt;="&amp;EOMONTH($A6,0),Data_Ventas!$H:$H,"Venta")</f>
        <v>52360</v>
      </c>
      <c r="L6" s="47">
        <f t="shared" si="1"/>
        <v>1</v>
      </c>
      <c r="M6" s="48">
        <f t="shared" si="2"/>
        <v>-347640</v>
      </c>
      <c r="N6" s="49">
        <f>ROUNDUP(O6/Configuracion!$B$11,0)</f>
        <v>325</v>
      </c>
      <c r="O6" s="49">
        <f>ROUNDUP(P6/Configuracion!$B$12,0)</f>
        <v>65</v>
      </c>
      <c r="P6" s="49">
        <f>ROUNDUP(Q6/Configuracion!$B$13,0)</f>
        <v>39</v>
      </c>
      <c r="Q6" s="49">
        <f>ROUNDUP(C6/Configuracion!$B$14,0)</f>
        <v>13</v>
      </c>
      <c r="R6" s="53"/>
    </row>
    <row r="7">
      <c r="A7" s="38">
        <v>46082.0</v>
      </c>
      <c r="B7" s="39">
        <v>400000.0</v>
      </c>
      <c r="C7" s="40">
        <v>10.0</v>
      </c>
      <c r="D7" s="39">
        <v>175000.0</v>
      </c>
      <c r="E7" s="39">
        <v>65000.0</v>
      </c>
      <c r="F7" s="39">
        <v>43000.0</v>
      </c>
      <c r="G7" s="40">
        <v>4.0</v>
      </c>
      <c r="H7" s="45">
        <f>SUMIFS(Data_Ventas!$N:$N,Data_Ventas!$A:$A,"&gt;="&amp;$A7,Data_Ventas!$A:$A,"&lt;="&amp;EOMONTH($A7,0),Data_Ventas!$H:$H,"Separado")+I7+SUMIFS(Data_Cotiz!$N:$N,Data_Cotiz!$A:$A,"&gt;="&amp;$A7,Data_Cotiz!$A:$A,"&lt;="&amp;EOMONTH($A7,0),Data_Cotiz!$H:$H,"Listo para comprar")</f>
        <v>51000</v>
      </c>
      <c r="I7" s="45">
        <f>SUMIFS(Data_Ventas!$N:$N,Data_Ventas!$A:$A,"&gt;="&amp;$A7,Data_Ventas!$A:$A,"&lt;="&amp;EOMONTH($A7,0),Data_Ventas!$H:$H,"Venta")</f>
        <v>51000</v>
      </c>
      <c r="J7" s="46">
        <f>COUNTIFS(Data_Ventas!$A:$A,"&gt;="&amp;$A7,Data_Ventas!$A:$A,"&lt;="&amp;EOMONTH($A7,0),Data_Ventas!$H:$H,"Venta")</f>
        <v>1</v>
      </c>
      <c r="K7" s="45">
        <f>SUMIFS(Data_Ventas!$R:$R,Data_Ventas!$A:$A,"&gt;="&amp;$A7,Data_Ventas!$A:$A,"&lt;="&amp;EOMONTH($A7,0),Data_Ventas!$H:$H,"Venta")</f>
        <v>51000</v>
      </c>
      <c r="L7" s="47">
        <f t="shared" si="1"/>
        <v>1</v>
      </c>
      <c r="M7" s="48">
        <f t="shared" si="2"/>
        <v>-349000</v>
      </c>
      <c r="N7" s="49">
        <f>ROUNDUP(O7/Configuracion!$B$11,0)</f>
        <v>325</v>
      </c>
      <c r="O7" s="49">
        <f>ROUNDUP(P7/Configuracion!$B$12,0)</f>
        <v>65</v>
      </c>
      <c r="P7" s="49">
        <f>ROUNDUP(Q7/Configuracion!$B$13,0)</f>
        <v>39</v>
      </c>
      <c r="Q7" s="49">
        <f>ROUNDUP(C7/Configuracion!$B$14,0)</f>
        <v>13</v>
      </c>
      <c r="R7" s="53"/>
    </row>
    <row r="8">
      <c r="A8" s="38">
        <v>46113.0</v>
      </c>
      <c r="B8" s="39">
        <v>400000.0</v>
      </c>
      <c r="C8" s="40">
        <v>10.0</v>
      </c>
      <c r="D8" s="39">
        <v>175000.0</v>
      </c>
      <c r="E8" s="39">
        <v>65000.0</v>
      </c>
      <c r="F8" s="39">
        <v>43000.0</v>
      </c>
      <c r="G8" s="40">
        <v>4.0</v>
      </c>
      <c r="H8" s="45">
        <f>SUMIFS(Data_Ventas!$N:$N,Data_Ventas!$A:$A,"&gt;="&amp;$A8,Data_Ventas!$A:$A,"&lt;="&amp;EOMONTH($A8,0),Data_Ventas!$H:$H,"Separado")+I8+SUMIFS(Data_Cotiz!$N:$N,Data_Cotiz!$A:$A,"&gt;="&amp;$A8,Data_Cotiz!$A:$A,"&lt;="&amp;EOMONTH($A8,0),Data_Cotiz!$H:$H,"Listo para comprar")</f>
        <v>0</v>
      </c>
      <c r="I8" s="45">
        <f>SUMIFS(Data_Ventas!$N:$N,Data_Ventas!$A:$A,"&gt;="&amp;$A8,Data_Ventas!$A:$A,"&lt;="&amp;EOMONTH($A8,0),Data_Ventas!$H:$H,"Venta")</f>
        <v>0</v>
      </c>
      <c r="J8" s="46">
        <f>COUNTIFS(Data_Ventas!$A:$A,"&gt;="&amp;$A8,Data_Ventas!$A:$A,"&lt;="&amp;EOMONTH($A8,0),Data_Ventas!$H:$H,"Venta")</f>
        <v>0</v>
      </c>
      <c r="K8" s="45">
        <f>SUMIFS(Data_Ventas!$R:$R,Data_Ventas!$A:$A,"&gt;="&amp;$A8,Data_Ventas!$A:$A,"&lt;="&amp;EOMONTH($A8,0),Data_Ventas!$H:$H,"Venta")</f>
        <v>0</v>
      </c>
      <c r="L8" s="47" t="str">
        <f t="shared" si="1"/>
        <v/>
      </c>
      <c r="M8" s="48">
        <f t="shared" si="2"/>
        <v>-400000</v>
      </c>
      <c r="N8" s="49">
        <f>ROUNDUP(O8/Configuracion!$B$11,0)</f>
        <v>325</v>
      </c>
      <c r="O8" s="49">
        <f>ROUNDUP(P8/Configuracion!$B$12,0)</f>
        <v>65</v>
      </c>
      <c r="P8" s="49">
        <f>ROUNDUP(Q8/Configuracion!$B$13,0)</f>
        <v>39</v>
      </c>
      <c r="Q8" s="49">
        <f>ROUNDUP(C8/Configuracion!$B$14,0)</f>
        <v>13</v>
      </c>
      <c r="R8" s="53"/>
    </row>
    <row r="9">
      <c r="A9" s="38">
        <v>46143.0</v>
      </c>
      <c r="B9" s="39">
        <v>400000.0</v>
      </c>
      <c r="C9" s="40">
        <v>10.0</v>
      </c>
      <c r="D9" s="39">
        <v>175000.0</v>
      </c>
      <c r="E9" s="39">
        <v>65000.0</v>
      </c>
      <c r="F9" s="39">
        <v>43000.0</v>
      </c>
      <c r="G9" s="40">
        <v>4.0</v>
      </c>
      <c r="H9" s="45">
        <f>SUMIFS(Data_Ventas!$N:$N,Data_Ventas!$A:$A,"&gt;="&amp;$A9,Data_Ventas!$A:$A,"&lt;="&amp;EOMONTH($A9,0),Data_Ventas!$H:$H,"Separado")+I9+SUMIFS(Data_Cotiz!$N:$N,Data_Cotiz!$A:$A,"&gt;="&amp;$A9,Data_Cotiz!$A:$A,"&lt;="&amp;EOMONTH($A9,0),Data_Cotiz!$H:$H,"Listo para comprar")</f>
        <v>0</v>
      </c>
      <c r="I9" s="45">
        <f>SUMIFS(Data_Ventas!$N:$N,Data_Ventas!$A:$A,"&gt;="&amp;$A9,Data_Ventas!$A:$A,"&lt;="&amp;EOMONTH($A9,0),Data_Ventas!$H:$H,"Venta")</f>
        <v>0</v>
      </c>
      <c r="J9" s="46">
        <f>COUNTIFS(Data_Ventas!$A:$A,"&gt;="&amp;$A9,Data_Ventas!$A:$A,"&lt;="&amp;EOMONTH($A9,0),Data_Ventas!$H:$H,"Venta")</f>
        <v>0</v>
      </c>
      <c r="K9" s="45">
        <f>SUMIFS(Data_Ventas!$R:$R,Data_Ventas!$A:$A,"&gt;="&amp;$A9,Data_Ventas!$A:$A,"&lt;="&amp;EOMONTH($A9,0),Data_Ventas!$H:$H,"Venta")</f>
        <v>0</v>
      </c>
      <c r="L9" s="47" t="str">
        <f t="shared" si="1"/>
        <v/>
      </c>
      <c r="M9" s="48">
        <f t="shared" si="2"/>
        <v>-400000</v>
      </c>
      <c r="N9" s="49">
        <f>ROUNDUP(O9/Configuracion!$B$11,0)</f>
        <v>325</v>
      </c>
      <c r="O9" s="49">
        <f>ROUNDUP(P9/Configuracion!$B$12,0)</f>
        <v>65</v>
      </c>
      <c r="P9" s="49">
        <f>ROUNDUP(Q9/Configuracion!$B$13,0)</f>
        <v>39</v>
      </c>
      <c r="Q9" s="49">
        <f>ROUNDUP(C9/Configuracion!$B$14,0)</f>
        <v>13</v>
      </c>
      <c r="R9" s="53"/>
    </row>
    <row r="10">
      <c r="A10" s="38">
        <v>46174.0</v>
      </c>
      <c r="B10" s="39">
        <v>400000.0</v>
      </c>
      <c r="C10" s="40">
        <v>10.0</v>
      </c>
      <c r="D10" s="39">
        <v>175000.0</v>
      </c>
      <c r="E10" s="39">
        <v>65000.0</v>
      </c>
      <c r="F10" s="39">
        <v>43000.0</v>
      </c>
      <c r="G10" s="40">
        <v>4.0</v>
      </c>
      <c r="H10" s="45">
        <f>SUMIFS(Data_Ventas!$N:$N,Data_Ventas!$A:$A,"&gt;="&amp;$A10,Data_Ventas!$A:$A,"&lt;="&amp;EOMONTH($A10,0),Data_Ventas!$H:$H,"Separado")+I10+SUMIFS(Data_Cotiz!$N:$N,Data_Cotiz!$A:$A,"&gt;="&amp;$A10,Data_Cotiz!$A:$A,"&lt;="&amp;EOMONTH($A10,0),Data_Cotiz!$H:$H,"Listo para comprar")</f>
        <v>0</v>
      </c>
      <c r="I10" s="45">
        <f>SUMIFS(Data_Ventas!$N:$N,Data_Ventas!$A:$A,"&gt;="&amp;$A10,Data_Ventas!$A:$A,"&lt;="&amp;EOMONTH($A10,0),Data_Ventas!$H:$H,"Venta")</f>
        <v>0</v>
      </c>
      <c r="J10" s="46">
        <f>COUNTIFS(Data_Ventas!$A:$A,"&gt;="&amp;$A10,Data_Ventas!$A:$A,"&lt;="&amp;EOMONTH($A10,0),Data_Ventas!$H:$H,"Venta")</f>
        <v>0</v>
      </c>
      <c r="K10" s="45">
        <f>SUMIFS(Data_Ventas!$R:$R,Data_Ventas!$A:$A,"&gt;="&amp;$A10,Data_Ventas!$A:$A,"&lt;="&amp;EOMONTH($A10,0),Data_Ventas!$H:$H,"Venta")</f>
        <v>0</v>
      </c>
      <c r="L10" s="47" t="str">
        <f t="shared" si="1"/>
        <v/>
      </c>
      <c r="M10" s="48">
        <f t="shared" si="2"/>
        <v>-400000</v>
      </c>
      <c r="N10" s="49">
        <f>ROUNDUP(O10/Configuracion!$B$11,0)</f>
        <v>325</v>
      </c>
      <c r="O10" s="49">
        <f>ROUNDUP(P10/Configuracion!$B$12,0)</f>
        <v>65</v>
      </c>
      <c r="P10" s="49">
        <f>ROUNDUP(Q10/Configuracion!$B$13,0)</f>
        <v>39</v>
      </c>
      <c r="Q10" s="49">
        <f>ROUNDUP(C10/Configuracion!$B$14,0)</f>
        <v>13</v>
      </c>
      <c r="R10" s="53"/>
    </row>
    <row r="11">
      <c r="A11" s="38">
        <v>46204.0</v>
      </c>
      <c r="B11" s="39">
        <v>400000.0</v>
      </c>
      <c r="C11" s="40">
        <v>10.0</v>
      </c>
      <c r="D11" s="39">
        <v>175000.0</v>
      </c>
      <c r="E11" s="39">
        <v>65000.0</v>
      </c>
      <c r="F11" s="39">
        <v>43000.0</v>
      </c>
      <c r="G11" s="40">
        <v>4.0</v>
      </c>
      <c r="H11" s="45">
        <f>SUMIFS(Data_Ventas!$N:$N,Data_Ventas!$A:$A,"&gt;="&amp;$A11,Data_Ventas!$A:$A,"&lt;="&amp;EOMONTH($A11,0),Data_Ventas!$H:$H,"Separado")+I11+SUMIFS(Data_Cotiz!$N:$N,Data_Cotiz!$A:$A,"&gt;="&amp;$A11,Data_Cotiz!$A:$A,"&lt;="&amp;EOMONTH($A11,0),Data_Cotiz!$H:$H,"Listo para comprar")</f>
        <v>42000</v>
      </c>
      <c r="I11" s="45">
        <f>SUMIFS(Data_Ventas!$N:$N,Data_Ventas!$A:$A,"&gt;="&amp;$A11,Data_Ventas!$A:$A,"&lt;="&amp;EOMONTH($A11,0),Data_Ventas!$H:$H,"Venta")</f>
        <v>42000</v>
      </c>
      <c r="J11" s="46">
        <f>COUNTIFS(Data_Ventas!$A:$A,"&gt;="&amp;$A11,Data_Ventas!$A:$A,"&lt;="&amp;EOMONTH($A11,0),Data_Ventas!$H:$H,"Venta")</f>
        <v>1</v>
      </c>
      <c r="K11" s="45">
        <f>SUMIFS(Data_Ventas!$R:$R,Data_Ventas!$A:$A,"&gt;="&amp;$A11,Data_Ventas!$A:$A,"&lt;="&amp;EOMONTH($A11,0),Data_Ventas!$H:$H,"Venta")</f>
        <v>30000</v>
      </c>
      <c r="L11" s="47">
        <f t="shared" si="1"/>
        <v>1</v>
      </c>
      <c r="M11" s="48">
        <f t="shared" si="2"/>
        <v>-358000</v>
      </c>
      <c r="N11" s="49">
        <f>ROUNDUP(O11/Configuracion!$B$11,0)</f>
        <v>325</v>
      </c>
      <c r="O11" s="49">
        <f>ROUNDUP(P11/Configuracion!$B$12,0)</f>
        <v>65</v>
      </c>
      <c r="P11" s="49">
        <f>ROUNDUP(Q11/Configuracion!$B$13,0)</f>
        <v>39</v>
      </c>
      <c r="Q11" s="49">
        <f>ROUNDUP(C11/Configuracion!$B$14,0)</f>
        <v>13</v>
      </c>
      <c r="R11" s="53"/>
    </row>
    <row r="12">
      <c r="A12" s="38">
        <v>46235.0</v>
      </c>
      <c r="B12" s="39">
        <v>400000.0</v>
      </c>
      <c r="C12" s="40">
        <v>10.0</v>
      </c>
      <c r="D12" s="39">
        <v>175000.0</v>
      </c>
      <c r="E12" s="39">
        <v>65000.0</v>
      </c>
      <c r="F12" s="39">
        <v>43000.0</v>
      </c>
      <c r="G12" s="40">
        <v>4.0</v>
      </c>
      <c r="H12" s="45">
        <f>SUMIFS(Data_Ventas!$N:$N,Data_Ventas!$A:$A,"&gt;="&amp;$A12,Data_Ventas!$A:$A,"&lt;="&amp;EOMONTH($A12,0),Data_Ventas!$H:$H,"Separado")+I12+SUMIFS(Data_Cotiz!$N:$N,Data_Cotiz!$A:$A,"&gt;="&amp;$A12,Data_Cotiz!$A:$A,"&lt;="&amp;EOMONTH($A12,0),Data_Cotiz!$H:$H,"Listo para comprar")</f>
        <v>125000</v>
      </c>
      <c r="I12" s="45">
        <f>SUMIFS(Data_Ventas!$N:$N,Data_Ventas!$A:$A,"&gt;="&amp;$A12,Data_Ventas!$A:$A,"&lt;="&amp;EOMONTH($A12,0),Data_Ventas!$H:$H,"Venta")</f>
        <v>125000</v>
      </c>
      <c r="J12" s="46">
        <f>COUNTIFS(Data_Ventas!$A:$A,"&gt;="&amp;$A12,Data_Ventas!$A:$A,"&lt;="&amp;EOMONTH($A12,0),Data_Ventas!$H:$H,"Venta")</f>
        <v>3</v>
      </c>
      <c r="K12" s="45">
        <f>SUMIFS(Data_Ventas!$R:$R,Data_Ventas!$A:$A,"&gt;="&amp;$A12,Data_Ventas!$A:$A,"&lt;="&amp;EOMONTH($A12,0),Data_Ventas!$H:$H,"Venta")</f>
        <v>8250</v>
      </c>
      <c r="L12" s="47">
        <f t="shared" si="1"/>
        <v>1</v>
      </c>
      <c r="M12" s="48">
        <f t="shared" si="2"/>
        <v>-275000</v>
      </c>
      <c r="N12" s="49">
        <f>ROUNDUP(O12/Configuracion!$B$11,0)</f>
        <v>325</v>
      </c>
      <c r="O12" s="49">
        <f>ROUNDUP(P12/Configuracion!$B$12,0)</f>
        <v>65</v>
      </c>
      <c r="P12" s="49">
        <f>ROUNDUP(Q12/Configuracion!$B$13,0)</f>
        <v>39</v>
      </c>
      <c r="Q12" s="49">
        <f>ROUNDUP(C12/Configuracion!$B$14,0)</f>
        <v>13</v>
      </c>
      <c r="R12" s="53"/>
    </row>
    <row r="13">
      <c r="A13" s="38">
        <v>46266.0</v>
      </c>
      <c r="B13" s="39">
        <v>400000.0</v>
      </c>
      <c r="C13" s="40">
        <v>10.0</v>
      </c>
      <c r="D13" s="39">
        <v>175000.0</v>
      </c>
      <c r="E13" s="39">
        <v>65000.0</v>
      </c>
      <c r="F13" s="39">
        <v>43000.0</v>
      </c>
      <c r="G13" s="40">
        <v>4.0</v>
      </c>
      <c r="H13" s="45">
        <f>SUMIFS(Data_Ventas!$N:$N,Data_Ventas!$A:$A,"&gt;="&amp;$A13,Data_Ventas!$A:$A,"&lt;="&amp;EOMONTH($A13,0),Data_Ventas!$H:$H,"Separado")+I13+SUMIFS(Data_Cotiz!$N:$N,Data_Cotiz!$A:$A,"&gt;="&amp;$A13,Data_Cotiz!$A:$A,"&lt;="&amp;EOMONTH($A13,0),Data_Cotiz!$H:$H,"Listo para comprar")</f>
        <v>40000</v>
      </c>
      <c r="I13" s="45">
        <f>SUMIFS(Data_Ventas!$N:$N,Data_Ventas!$A:$A,"&gt;="&amp;$A13,Data_Ventas!$A:$A,"&lt;="&amp;EOMONTH($A13,0),Data_Ventas!$H:$H,"Venta")</f>
        <v>40000</v>
      </c>
      <c r="J13" s="46">
        <f>COUNTIFS(Data_Ventas!$A:$A,"&gt;="&amp;$A13,Data_Ventas!$A:$A,"&lt;="&amp;EOMONTH($A13,0),Data_Ventas!$H:$H,"Venta")</f>
        <v>1</v>
      </c>
      <c r="K13" s="45">
        <f>SUMIFS(Data_Ventas!$R:$R,Data_Ventas!$A:$A,"&gt;="&amp;$A13,Data_Ventas!$A:$A,"&lt;="&amp;EOMONTH($A13,0),Data_Ventas!$H:$H,"Venta")</f>
        <v>5000</v>
      </c>
      <c r="L13" s="47">
        <f t="shared" si="1"/>
        <v>1</v>
      </c>
      <c r="M13" s="48">
        <f t="shared" si="2"/>
        <v>-360000</v>
      </c>
      <c r="N13" s="49">
        <f>ROUNDUP(O13/Configuracion!$B$11,0)</f>
        <v>325</v>
      </c>
      <c r="O13" s="49">
        <f>ROUNDUP(P13/Configuracion!$B$12,0)</f>
        <v>65</v>
      </c>
      <c r="P13" s="49">
        <f>ROUNDUP(Q13/Configuracion!$B$13,0)</f>
        <v>39</v>
      </c>
      <c r="Q13" s="49">
        <f>ROUNDUP(C13/Configuracion!$B$14,0)</f>
        <v>13</v>
      </c>
      <c r="R13" s="53"/>
    </row>
    <row r="14">
      <c r="A14" s="38">
        <v>46296.0</v>
      </c>
      <c r="B14" s="39">
        <v>400000.0</v>
      </c>
      <c r="C14" s="40">
        <v>10.0</v>
      </c>
      <c r="D14" s="39">
        <v>175000.0</v>
      </c>
      <c r="E14" s="39">
        <v>65000.0</v>
      </c>
      <c r="F14" s="39">
        <v>43000.0</v>
      </c>
      <c r="G14" s="40">
        <v>4.0</v>
      </c>
      <c r="H14" s="45">
        <f>SUMIFS(Data_Ventas!$N:$N,Data_Ventas!$A:$A,"&gt;="&amp;$A14,Data_Ventas!$A:$A,"&lt;="&amp;EOMONTH($A14,0),Data_Ventas!$H:$H,"Separado")+I14+SUMIFS(Data_Cotiz!$N:$N,Data_Cotiz!$A:$A,"&gt;="&amp;$A14,Data_Cotiz!$A:$A,"&lt;="&amp;EOMONTH($A14,0),Data_Cotiz!$H:$H,"Listo para comprar")</f>
        <v>0</v>
      </c>
      <c r="I14" s="45">
        <f>SUMIFS(Data_Ventas!$N:$N,Data_Ventas!$A:$A,"&gt;="&amp;$A14,Data_Ventas!$A:$A,"&lt;="&amp;EOMONTH($A14,0),Data_Ventas!$H:$H,"Venta")</f>
        <v>0</v>
      </c>
      <c r="J14" s="46">
        <f>COUNTIFS(Data_Ventas!$A:$A,"&gt;="&amp;$A14,Data_Ventas!$A:$A,"&lt;="&amp;EOMONTH($A14,0),Data_Ventas!$H:$H,"Venta")</f>
        <v>0</v>
      </c>
      <c r="K14" s="45">
        <f>SUMIFS(Data_Ventas!$R:$R,Data_Ventas!$A:$A,"&gt;="&amp;$A14,Data_Ventas!$A:$A,"&lt;="&amp;EOMONTH($A14,0),Data_Ventas!$H:$H,"Venta")</f>
        <v>0</v>
      </c>
      <c r="L14" s="68"/>
      <c r="M14" s="48">
        <f t="shared" si="2"/>
        <v>-400000</v>
      </c>
      <c r="N14" s="49">
        <f>ROUNDUP(O14/Configuracion!$B$11,0)</f>
        <v>325</v>
      </c>
      <c r="O14" s="49">
        <f>ROUNDUP(P14/Configuracion!$B$12,0)</f>
        <v>65</v>
      </c>
      <c r="P14" s="49">
        <f>ROUNDUP(Q14/Configuracion!$B$13,0)</f>
        <v>39</v>
      </c>
      <c r="Q14" s="49">
        <f>ROUNDUP(C14/Configuracion!$B$14,0)</f>
        <v>13</v>
      </c>
      <c r="R14" s="53"/>
    </row>
    <row r="15">
      <c r="A15" s="38">
        <v>46327.0</v>
      </c>
      <c r="B15" s="39">
        <v>400000.0</v>
      </c>
      <c r="C15" s="40">
        <v>10.0</v>
      </c>
      <c r="D15" s="39">
        <v>175000.0</v>
      </c>
      <c r="E15" s="39">
        <v>65000.0</v>
      </c>
      <c r="F15" s="39">
        <v>43000.0</v>
      </c>
      <c r="G15" s="40">
        <v>4.0</v>
      </c>
      <c r="H15" s="45">
        <f>SUMIFS(Data_Ventas!$N:$N,Data_Ventas!$A:$A,"&gt;="&amp;$A15,Data_Ventas!$A:$A,"&lt;="&amp;EOMONTH($A15,0),Data_Ventas!$H:$H,"Separado")+I15+SUMIFS(Data_Cotiz!$N:$N,Data_Cotiz!$A:$A,"&gt;="&amp;$A15,Data_Cotiz!$A:$A,"&lt;="&amp;EOMONTH($A15,0),Data_Cotiz!$H:$H,"Listo para comprar")</f>
        <v>0</v>
      </c>
      <c r="I15" s="45">
        <f>SUMIFS(Data_Ventas!$N:$N,Data_Ventas!$A:$A,"&gt;="&amp;$A15,Data_Ventas!$A:$A,"&lt;="&amp;EOMONTH($A15,0),Data_Ventas!$H:$H,"Venta")</f>
        <v>0</v>
      </c>
      <c r="J15" s="46">
        <f>COUNTIFS(Data_Ventas!$A:$A,"&gt;="&amp;$A15,Data_Ventas!$A:$A,"&lt;="&amp;EOMONTH($A15,0),Data_Ventas!$H:$H,"Venta")</f>
        <v>0</v>
      </c>
      <c r="K15" s="45">
        <f>SUMIFS(Data_Ventas!$R:$R,Data_Ventas!$A:$A,"&gt;="&amp;$A15,Data_Ventas!$A:$A,"&lt;="&amp;EOMONTH($A15,0),Data_Ventas!$H:$H,"Venta")</f>
        <v>0</v>
      </c>
      <c r="L15" s="68"/>
      <c r="M15" s="48">
        <f t="shared" si="2"/>
        <v>-400000</v>
      </c>
      <c r="N15" s="49">
        <f>ROUNDUP(O15/Configuracion!$B$11,0)</f>
        <v>325</v>
      </c>
      <c r="O15" s="49">
        <f>ROUNDUP(P15/Configuracion!$B$12,0)</f>
        <v>65</v>
      </c>
      <c r="P15" s="49">
        <f>ROUNDUP(Q15/Configuracion!$B$13,0)</f>
        <v>39</v>
      </c>
      <c r="Q15" s="49">
        <f>ROUNDUP(C15/Configuracion!$B$14,0)</f>
        <v>13</v>
      </c>
      <c r="R15" s="53"/>
    </row>
    <row r="16">
      <c r="A16" s="38">
        <v>46357.0</v>
      </c>
      <c r="B16" s="39">
        <v>400000.0</v>
      </c>
      <c r="C16" s="40">
        <v>10.0</v>
      </c>
      <c r="D16" s="39">
        <v>175000.0</v>
      </c>
      <c r="E16" s="39">
        <v>65000.0</v>
      </c>
      <c r="F16" s="39">
        <v>43000.0</v>
      </c>
      <c r="G16" s="40">
        <v>4.0</v>
      </c>
      <c r="H16" s="45">
        <f>SUMIFS(Data_Ventas!$N:$N,Data_Ventas!$A:$A,"&gt;="&amp;$A16,Data_Ventas!$A:$A,"&lt;="&amp;EOMONTH($A16,0),Data_Ventas!$H:$H,"Separado")+I16+SUMIFS(Data_Cotiz!$N:$N,Data_Cotiz!$A:$A,"&gt;="&amp;$A16,Data_Cotiz!$A:$A,"&lt;="&amp;EOMONTH($A16,0),Data_Cotiz!$H:$H,"Listo para comprar")</f>
        <v>0</v>
      </c>
      <c r="I16" s="45">
        <f>SUMIFS(Data_Ventas!$N:$N,Data_Ventas!$A:$A,"&gt;="&amp;$A16,Data_Ventas!$A:$A,"&lt;="&amp;EOMONTH($A16,0),Data_Ventas!$H:$H,"Venta")</f>
        <v>0</v>
      </c>
      <c r="J16" s="46">
        <f>COUNTIFS(Data_Ventas!$A:$A,"&gt;="&amp;$A16,Data_Ventas!$A:$A,"&lt;="&amp;EOMONTH($A16,0),Data_Ventas!$H:$H,"Venta")</f>
        <v>0</v>
      </c>
      <c r="K16" s="45">
        <f>SUMIFS(Data_Ventas!$R:$R,Data_Ventas!$A:$A,"&gt;="&amp;$A16,Data_Ventas!$A:$A,"&lt;="&amp;EOMONTH($A16,0),Data_Ventas!$H:$H,"Venta")</f>
        <v>0</v>
      </c>
      <c r="L16" s="68"/>
      <c r="M16" s="48">
        <f t="shared" si="2"/>
        <v>-400000</v>
      </c>
      <c r="N16" s="49">
        <f>ROUNDUP(O16/Configuracion!$B$11,0)</f>
        <v>325</v>
      </c>
      <c r="O16" s="49">
        <f>ROUNDUP(P16/Configuracion!$B$12,0)</f>
        <v>65</v>
      </c>
      <c r="P16" s="49">
        <f>ROUNDUP(Q16/Configuracion!$B$13,0)</f>
        <v>39</v>
      </c>
      <c r="Q16" s="49">
        <f>ROUNDUP(C16/Configuracion!$B$14,0)</f>
        <v>13</v>
      </c>
      <c r="R16" s="53"/>
    </row>
  </sheetData>
  <mergeCells count="2">
    <mergeCell ref="A1:R1"/>
    <mergeCell ref="N3:Q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3" width="7.25"/>
    <col customWidth="1" min="4" max="4" width="11.75"/>
    <col customWidth="1" min="5" max="5" width="7.25"/>
    <col customWidth="1" min="6" max="6" width="10.75"/>
    <col customWidth="1" min="7" max="7" width="7.25"/>
    <col customWidth="1" min="8" max="8" width="9.25"/>
    <col customWidth="1" min="9" max="9" width="12.5"/>
    <col customWidth="1" min="10" max="10" width="9.25"/>
    <col customWidth="1" min="11" max="11" width="16.0"/>
    <col customWidth="1" min="12" max="12" width="14.75"/>
    <col customWidth="1" min="13" max="31" width="8.63"/>
  </cols>
  <sheetData>
    <row r="1">
      <c r="A1" s="1" t="s">
        <v>0</v>
      </c>
    </row>
    <row r="2">
      <c r="F2" s="6"/>
    </row>
    <row r="3">
      <c r="A3" s="8"/>
      <c r="B3" s="11" t="s">
        <v>3</v>
      </c>
      <c r="G3" s="13" t="s">
        <v>4</v>
      </c>
    </row>
    <row r="4">
      <c r="A4" s="15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8" t="s">
        <v>10</v>
      </c>
      <c r="G4" s="19" t="s">
        <v>6</v>
      </c>
      <c r="H4" s="19" t="s">
        <v>7</v>
      </c>
      <c r="I4" s="19" t="s">
        <v>8</v>
      </c>
      <c r="J4" s="19" t="s">
        <v>9</v>
      </c>
      <c r="K4" s="21" t="s">
        <v>10</v>
      </c>
      <c r="L4" s="24" t="s">
        <v>12</v>
      </c>
    </row>
    <row r="5">
      <c r="A5" s="34">
        <f>Dashboard!$E$5-WEEKDAY(Dashboard!$E$5,2)+1-78</f>
        <v>46215</v>
      </c>
      <c r="B5" s="41">
        <f>IFERROR(LET(meta,SUMIFS(Meta!$N$5:$N$16,Meta!$A$5:$A$16,"&gt;="&amp;EOMONTH($A5,-1)+1,Meta!$A$5:$A$16,"&lt;="&amp;EOMONTH($A5,0)),semanas,COUNTIFS($A$5:$A$35,"&gt;="&amp;EOMONTH($A5,-1)+1,$A$5:$A$35,"&lt;="&amp;EOMONTH($A5,0)),posicion,COUNTIFS($A$5:$A5,"&gt;="&amp;EOMONTH($A5,-1)+1,$A$5:$A5,"&lt;="&amp;EOMONTH($A5,0)),QUOTIENT(meta,semanas)+IF(posicion&lt;=MOD(meta,semanas),1,0)),"")</f>
        <v>109</v>
      </c>
      <c r="C5" s="41">
        <f>IFERROR(LET(meta,SUMIFS(Meta!$P$5:$P$16,Meta!$A$5:$A$16,"&gt;="&amp;EOMONTH($A5,-1)+1,Meta!$A$5:$A$16,"&lt;="&amp;EOMONTH($A5,0)),semanas,COUNTIFS($A$5:$A$35,"&gt;="&amp;EOMONTH($A5,-1)+1,$A$5:$A$35,"&lt;="&amp;EOMONTH($A5,0)),posicion,COUNTIFS($A$5:$A5,"&gt;="&amp;EOMONTH($A5,-1)+1,$A$5:$A5,"&lt;="&amp;EOMONTH($A5,0)),QUOTIENT(meta,semanas)+IF(posicion&lt;=MOD(meta,semanas),1,0)),"")</f>
        <v>13</v>
      </c>
      <c r="D5" s="41">
        <f>IFERROR(LET(meta,SUMIFS(Meta!$Q$5:$Q$16,Meta!$A$5:$A$16,"&gt;="&amp;EOMONTH($A5,-1)+1,Meta!$A$5:$A$16,"&lt;="&amp;EOMONTH($A5,0)),semanas,COUNTIFS($A$5:$A$35,"&gt;="&amp;EOMONTH($A5,-1)+1,$A$5:$A$35,"&lt;="&amp;EOMONTH($A5,0)),posicion,COUNTIFS($A$5:$A5,"&gt;="&amp;EOMONTH($A5,-1)+1,$A$5:$A5,"&lt;="&amp;EOMONTH($A5,0)),QUOTIENT(meta,semanas)+IF(posicion&lt;=MOD(meta,semanas),1,0)),"")</f>
        <v>5</v>
      </c>
      <c r="E5" s="41">
        <f>IFERROR(LET(meta,SUMIFS(Meta!$C$5:$C$16,Meta!$A$5:$A$16,"&gt;="&amp;EOMONTH($A5,-1)+1,Meta!$A$5:$A$16,"&lt;="&amp;EOMONTH($A5,0)),semanas,COUNTIFS($A$5:$A$35,"&gt;="&amp;EOMONTH($A5,-1)+1,$A$5:$A$35,"&lt;="&amp;EOMONTH($A5,0)),posicion,COUNTIFS($A$5:$A5,"&gt;="&amp;EOMONTH($A5,-1)+1,$A$5:$A5,"&lt;="&amp;EOMONTH($A5,0)),QUOTIENT(meta,semanas)+IF(posicion&lt;=MOD(meta,semanas),1,0)),"")</f>
        <v>4</v>
      </c>
      <c r="F5" s="50">
        <f>IFERROR(SUMIFS(Meta!$B$5:$B$16,Meta!$A$5:$A$16,"&gt;="&amp;EOMONTH($A5,-1)+1,Meta!$A$5:$A$16,"&lt;="&amp;EOMONTH($A5,0))/COUNTIFS($A$5:$A$35,"&gt;="&amp;EOMONTH($A5,-1)+1,$A$5:$A$35,"&lt;="&amp;EOMONTH($A5,0)),"")</f>
        <v>133333.3333</v>
      </c>
      <c r="G5" s="41">
        <f>COUNTIFS(Data_Ventas!$E$2:$E1001,"&gt;="&amp;A5,Data_Ventas!$E$2:$E1001,"&lt;="&amp;A5+6)</f>
        <v>0</v>
      </c>
      <c r="H5" s="41">
        <f>COUNTIFS(Data_Ventas!$A$2:$A1001,"&gt;="&amp;A5,Data_Ventas!$A$2:$A1001,"&lt;="&amp;A5+6,Data_Ventas!$H$2:$H1001,"Visitó proyecto")</f>
        <v>0</v>
      </c>
      <c r="I5" s="41">
        <f>COUNTIFS(Data_Ventas!$A$2:$A1001,"&gt;="&amp;A5,Data_Ventas!$A$2:$A1001,"&lt;="&amp;A5+6,Data_Ventas!$H$2:$H1001,"Separado")</f>
        <v>0</v>
      </c>
      <c r="J5" s="41">
        <f>COUNTIFS(Data_Ventas!$A$2:$A1001,"&gt;="&amp;A5,Data_Ventas!$A$2:$A1001,"&lt;="&amp;A5+6,Data_Ventas!$H$2:$H1001,"Venta")</f>
        <v>0</v>
      </c>
      <c r="K5" s="51">
        <f>SUMIFS(Data_Ventas!$N$2:$N1001,Data_Ventas!$A$2:$A1001,"&gt;="&amp;A5,Data_Ventas!$A$2:$A1001,"&lt;="&amp;A5+6,Data_Ventas!$H$2:$H1001,"Venta")</f>
        <v>0</v>
      </c>
      <c r="L5" s="52">
        <f t="shared" ref="L5:L35" si="1">IFERROR(K5/F5,"0%")</f>
        <v>0</v>
      </c>
    </row>
    <row r="6">
      <c r="A6" s="34">
        <f t="shared" ref="A6:A35" si="2">A5+7</f>
        <v>46222</v>
      </c>
      <c r="B6" s="41">
        <f>IFERROR(LET(meta,SUMIFS(Meta!$N$5:$N$16,Meta!$A$5:$A$16,"&gt;="&amp;EOMONTH($A6,-1)+1,Meta!$A$5:$A$16,"&lt;="&amp;EOMONTH($A6,0)),semanas,COUNTIFS($A$5:$A$35,"&gt;="&amp;EOMONTH($A6,-1)+1,$A$5:$A$35,"&lt;="&amp;EOMONTH($A6,0)),posicion,COUNTIFS($A$5:$A6,"&gt;="&amp;EOMONTH($A6,-1)+1,$A$5:$A6,"&lt;="&amp;EOMONTH($A6,0)),QUOTIENT(meta,semanas)+IF(posicion&lt;=MOD(meta,semanas),1,0)),"")</f>
        <v>108</v>
      </c>
      <c r="C6" s="41">
        <f>IFERROR(LET(meta,SUMIFS(Meta!$P$5:$P$16,Meta!$A$5:$A$16,"&gt;="&amp;EOMONTH($A6,-1)+1,Meta!$A$5:$A$16,"&lt;="&amp;EOMONTH($A6,0)),semanas,COUNTIFS($A$5:$A$35,"&gt;="&amp;EOMONTH($A6,-1)+1,$A$5:$A$35,"&lt;="&amp;EOMONTH($A6,0)),posicion,COUNTIFS($A$5:$A6,"&gt;="&amp;EOMONTH($A6,-1)+1,$A$5:$A6,"&lt;="&amp;EOMONTH($A6,0)),QUOTIENT(meta,semanas)+IF(posicion&lt;=MOD(meta,semanas),1,0)),"")</f>
        <v>13</v>
      </c>
      <c r="D6" s="41">
        <f>IFERROR(LET(meta,SUMIFS(Meta!$Q$5:$Q$16,Meta!$A$5:$A$16,"&gt;="&amp;EOMONTH($A6,-1)+1,Meta!$A$5:$A$16,"&lt;="&amp;EOMONTH($A6,0)),semanas,COUNTIFS($A$5:$A$35,"&gt;="&amp;EOMONTH($A6,-1)+1,$A$5:$A$35,"&lt;="&amp;EOMONTH($A6,0)),posicion,COUNTIFS($A$5:$A6,"&gt;="&amp;EOMONTH($A6,-1)+1,$A$5:$A6,"&lt;="&amp;EOMONTH($A6,0)),QUOTIENT(meta,semanas)+IF(posicion&lt;=MOD(meta,semanas),1,0)),"")</f>
        <v>4</v>
      </c>
      <c r="E6" s="41">
        <f>IFERROR(LET(meta,SUMIFS(Meta!$C$5:$C$16,Meta!$A$5:$A$16,"&gt;="&amp;EOMONTH($A6,-1)+1,Meta!$A$5:$A$16,"&lt;="&amp;EOMONTH($A6,0)),semanas,COUNTIFS($A$5:$A$35,"&gt;="&amp;EOMONTH($A6,-1)+1,$A$5:$A$35,"&lt;="&amp;EOMONTH($A6,0)),posicion,COUNTIFS($A$5:$A6,"&gt;="&amp;EOMONTH($A6,-1)+1,$A$5:$A6,"&lt;="&amp;EOMONTH($A6,0)),QUOTIENT(meta,semanas)+IF(posicion&lt;=MOD(meta,semanas),1,0)),"")</f>
        <v>3</v>
      </c>
      <c r="F6" s="50">
        <f>IFERROR(SUMIFS(Meta!$B$5:$B$16,Meta!$A$5:$A$16,"&gt;="&amp;EOMONTH($A6,-1)+1,Meta!$A$5:$A$16,"&lt;="&amp;EOMONTH($A6,0))/COUNTIFS($A$5:$A$35,"&gt;="&amp;EOMONTH($A6,-1)+1,$A$5:$A$35,"&lt;="&amp;EOMONTH($A6,0)),"")</f>
        <v>133333.3333</v>
      </c>
      <c r="G6" s="41">
        <f>COUNTIFS(Data_Ventas!$E$2:$E1001,"&gt;="&amp;A6,Data_Ventas!$E$2:$E1001,"&lt;="&amp;A6+6)</f>
        <v>0</v>
      </c>
      <c r="H6" s="41">
        <f>COUNTIFS(Data_Ventas!$A$2:$A1001,"&gt;="&amp;A6,Data_Ventas!$A$2:$A1001,"&lt;="&amp;A6+6,Data_Ventas!$H$2:$H1001,"Visitó proyecto")</f>
        <v>0</v>
      </c>
      <c r="I6" s="41">
        <f>COUNTIFS(Data_Ventas!$A$2:$A1001,"&gt;="&amp;A6,Data_Ventas!$A$2:$A1001,"&lt;="&amp;A6+6,Data_Ventas!$H$2:$H1001,"Separado")</f>
        <v>0</v>
      </c>
      <c r="J6" s="41">
        <f>COUNTIFS(Data_Ventas!$A$2:$A1001,"&gt;="&amp;A6,Data_Ventas!$A$2:$A1001,"&lt;="&amp;A6+6,Data_Ventas!$H$2:$H1001,"Venta")</f>
        <v>0</v>
      </c>
      <c r="K6" s="51">
        <f>SUMIFS(Data_Ventas!$N$2:$N1001,Data_Ventas!$A$2:$A1001,"&gt;="&amp;A6,Data_Ventas!$A$2:$A1001,"&lt;="&amp;A6+6,Data_Ventas!$H$2:$H1001,"Venta")</f>
        <v>0</v>
      </c>
      <c r="L6" s="52">
        <f t="shared" si="1"/>
        <v>0</v>
      </c>
    </row>
    <row r="7">
      <c r="A7" s="34">
        <f t="shared" si="2"/>
        <v>46229</v>
      </c>
      <c r="B7" s="41">
        <f>IFERROR(LET(meta,SUMIFS(Meta!$N$5:$N$16,Meta!$A$5:$A$16,"&gt;="&amp;EOMONTH($A7,-1)+1,Meta!$A$5:$A$16,"&lt;="&amp;EOMONTH($A7,0)),semanas,COUNTIFS($A$5:$A$35,"&gt;="&amp;EOMONTH($A7,-1)+1,$A$5:$A$35,"&lt;="&amp;EOMONTH($A7,0)),posicion,COUNTIFS($A$5:$A7,"&gt;="&amp;EOMONTH($A7,-1)+1,$A$5:$A7,"&lt;="&amp;EOMONTH($A7,0)),QUOTIENT(meta,semanas)+IF(posicion&lt;=MOD(meta,semanas),1,0)),"")</f>
        <v>108</v>
      </c>
      <c r="C7" s="41">
        <f>IFERROR(LET(meta,SUMIFS(Meta!$P$5:$P$16,Meta!$A$5:$A$16,"&gt;="&amp;EOMONTH($A7,-1)+1,Meta!$A$5:$A$16,"&lt;="&amp;EOMONTH($A7,0)),semanas,COUNTIFS($A$5:$A$35,"&gt;="&amp;EOMONTH($A7,-1)+1,$A$5:$A$35,"&lt;="&amp;EOMONTH($A7,0)),posicion,COUNTIFS($A$5:$A7,"&gt;="&amp;EOMONTH($A7,-1)+1,$A$5:$A7,"&lt;="&amp;EOMONTH($A7,0)),QUOTIENT(meta,semanas)+IF(posicion&lt;=MOD(meta,semanas),1,0)),"")</f>
        <v>13</v>
      </c>
      <c r="D7" s="41">
        <f>IFERROR(LET(meta,SUMIFS(Meta!$Q$5:$Q$16,Meta!$A$5:$A$16,"&gt;="&amp;EOMONTH($A7,-1)+1,Meta!$A$5:$A$16,"&lt;="&amp;EOMONTH($A7,0)),semanas,COUNTIFS($A$5:$A$35,"&gt;="&amp;EOMONTH($A7,-1)+1,$A$5:$A$35,"&lt;="&amp;EOMONTH($A7,0)),posicion,COUNTIFS($A$5:$A7,"&gt;="&amp;EOMONTH($A7,-1)+1,$A$5:$A7,"&lt;="&amp;EOMONTH($A7,0)),QUOTIENT(meta,semanas)+IF(posicion&lt;=MOD(meta,semanas),1,0)),"")</f>
        <v>4</v>
      </c>
      <c r="E7" s="41">
        <f>IFERROR(LET(meta,SUMIFS(Meta!$C$5:$C$16,Meta!$A$5:$A$16,"&gt;="&amp;EOMONTH($A7,-1)+1,Meta!$A$5:$A$16,"&lt;="&amp;EOMONTH($A7,0)),semanas,COUNTIFS($A$5:$A$35,"&gt;="&amp;EOMONTH($A7,-1)+1,$A$5:$A$35,"&lt;="&amp;EOMONTH($A7,0)),posicion,COUNTIFS($A$5:$A7,"&gt;="&amp;EOMONTH($A7,-1)+1,$A$5:$A7,"&lt;="&amp;EOMONTH($A7,0)),QUOTIENT(meta,semanas)+IF(posicion&lt;=MOD(meta,semanas),1,0)),"")</f>
        <v>3</v>
      </c>
      <c r="F7" s="50">
        <f>IFERROR(SUMIFS(Meta!$B$5:$B$16,Meta!$A$5:$A$16,"&gt;="&amp;EOMONTH($A7,-1)+1,Meta!$A$5:$A$16,"&lt;="&amp;EOMONTH($A7,0))/COUNTIFS($A$5:$A$35,"&gt;="&amp;EOMONTH($A7,-1)+1,$A$5:$A$35,"&lt;="&amp;EOMONTH($A7,0)),"")</f>
        <v>133333.3333</v>
      </c>
      <c r="G7" s="41">
        <f>COUNTIFS(Data_Ventas!$E$2:$E1001,"&gt;="&amp;A7,Data_Ventas!$E$2:$E1001,"&lt;="&amp;A7+6)</f>
        <v>0</v>
      </c>
      <c r="H7" s="41">
        <f>COUNTIFS(Data_Ventas!$A$2:$A1001,"&gt;="&amp;A7,Data_Ventas!$A$2:$A1001,"&lt;="&amp;A7+6,Data_Ventas!$H$2:$H1001,"Visitó proyecto")</f>
        <v>0</v>
      </c>
      <c r="I7" s="41">
        <f>COUNTIFS(Data_Ventas!$A$2:$A1001,"&gt;="&amp;A7,Data_Ventas!$A$2:$A1001,"&lt;="&amp;A7+6,Data_Ventas!$H$2:$H1001,"Separado")</f>
        <v>0</v>
      </c>
      <c r="J7" s="41">
        <f>COUNTIFS(Data_Ventas!$A$2:$A1001,"&gt;="&amp;A7,Data_Ventas!$A$2:$A1001,"&lt;="&amp;A7+6,Data_Ventas!$H$2:$H1001,"Venta")</f>
        <v>0</v>
      </c>
      <c r="K7" s="51">
        <f>SUMIFS(Data_Ventas!$N$2:$N1001,Data_Ventas!$A$2:$A1001,"&gt;="&amp;A7,Data_Ventas!$A$2:$A1001,"&lt;="&amp;A7+6,Data_Ventas!$H$2:$H1001,"Venta")</f>
        <v>0</v>
      </c>
      <c r="L7" s="52">
        <f t="shared" si="1"/>
        <v>0</v>
      </c>
    </row>
    <row r="8">
      <c r="A8" s="34">
        <f t="shared" si="2"/>
        <v>46236</v>
      </c>
      <c r="B8" s="41">
        <f>IFERROR(LET(meta,SUMIFS(Meta!$N$5:$N$16,Meta!$A$5:$A$16,"&gt;="&amp;EOMONTH($A8,-1)+1,Meta!$A$5:$A$16,"&lt;="&amp;EOMONTH($A8,0)),semanas,COUNTIFS($A$5:$A$35,"&gt;="&amp;EOMONTH($A8,-1)+1,$A$5:$A$35,"&lt;="&amp;EOMONTH($A8,0)),posicion,COUNTIFS($A$5:$A8,"&gt;="&amp;EOMONTH($A8,-1)+1,$A$5:$A8,"&lt;="&amp;EOMONTH($A8,0)),QUOTIENT(meta,semanas)+IF(posicion&lt;=MOD(meta,semanas),1,0)),"")</f>
        <v>65</v>
      </c>
      <c r="C8" s="41">
        <f>IFERROR(LET(meta,SUMIFS(Meta!$P$5:$P$16,Meta!$A$5:$A$16,"&gt;="&amp;EOMONTH($A8,-1)+1,Meta!$A$5:$A$16,"&lt;="&amp;EOMONTH($A8,0)),semanas,COUNTIFS($A$5:$A$35,"&gt;="&amp;EOMONTH($A8,-1)+1,$A$5:$A$35,"&lt;="&amp;EOMONTH($A8,0)),posicion,COUNTIFS($A$5:$A8,"&gt;="&amp;EOMONTH($A8,-1)+1,$A$5:$A8,"&lt;="&amp;EOMONTH($A8,0)),QUOTIENT(meta,semanas)+IF(posicion&lt;=MOD(meta,semanas),1,0)),"")</f>
        <v>8</v>
      </c>
      <c r="D8" s="41">
        <f>IFERROR(LET(meta,SUMIFS(Meta!$Q$5:$Q$16,Meta!$A$5:$A$16,"&gt;="&amp;EOMONTH($A8,-1)+1,Meta!$A$5:$A$16,"&lt;="&amp;EOMONTH($A8,0)),semanas,COUNTIFS($A$5:$A$35,"&gt;="&amp;EOMONTH($A8,-1)+1,$A$5:$A$35,"&lt;="&amp;EOMONTH($A8,0)),posicion,COUNTIFS($A$5:$A8,"&gt;="&amp;EOMONTH($A8,-1)+1,$A$5:$A8,"&lt;="&amp;EOMONTH($A8,0)),QUOTIENT(meta,semanas)+IF(posicion&lt;=MOD(meta,semanas),1,0)),"")</f>
        <v>3</v>
      </c>
      <c r="E8" s="41">
        <f>IFERROR(LET(meta,SUMIFS(Meta!$C$5:$C$16,Meta!$A$5:$A$16,"&gt;="&amp;EOMONTH($A8,-1)+1,Meta!$A$5:$A$16,"&lt;="&amp;EOMONTH($A8,0)),semanas,COUNTIFS($A$5:$A$35,"&gt;="&amp;EOMONTH($A8,-1)+1,$A$5:$A$35,"&lt;="&amp;EOMONTH($A8,0)),posicion,COUNTIFS($A$5:$A8,"&gt;="&amp;EOMONTH($A8,-1)+1,$A$5:$A8,"&lt;="&amp;EOMONTH($A8,0)),QUOTIENT(meta,semanas)+IF(posicion&lt;=MOD(meta,semanas),1,0)),"")</f>
        <v>2</v>
      </c>
      <c r="F8" s="50">
        <f>IFERROR(SUMIFS(Meta!$B$5:$B$16,Meta!$A$5:$A$16,"&gt;="&amp;EOMONTH($A8,-1)+1,Meta!$A$5:$A$16,"&lt;="&amp;EOMONTH($A8,0))/COUNTIFS($A$5:$A$35,"&gt;="&amp;EOMONTH($A8,-1)+1,$A$5:$A$35,"&lt;="&amp;EOMONTH($A8,0)),"")</f>
        <v>80000</v>
      </c>
      <c r="G8" s="41">
        <f>COUNTIFS(Data_Ventas!$E$2:$E1001,"&gt;="&amp;A8,Data_Ventas!$E$2:$E1001,"&lt;="&amp;A8+6)</f>
        <v>0</v>
      </c>
      <c r="H8" s="41">
        <f>COUNTIFS(Data_Ventas!$A$2:$A1001,"&gt;="&amp;A8,Data_Ventas!$A$2:$A1001,"&lt;="&amp;A8+6,Data_Ventas!$H$2:$H1001,"Visitó proyecto")</f>
        <v>0</v>
      </c>
      <c r="I8" s="41">
        <f>COUNTIFS(Data_Ventas!$A$2:$A1001,"&gt;="&amp;A8,Data_Ventas!$A$2:$A1001,"&lt;="&amp;A8+6,Data_Ventas!$H$2:$H1001,"Separado")</f>
        <v>0</v>
      </c>
      <c r="J8" s="41">
        <f>COUNTIFS(Data_Ventas!$A$2:$A1001,"&gt;="&amp;A8,Data_Ventas!$A$2:$A1001,"&lt;="&amp;A8+6,Data_Ventas!$H$2:$H1001,"Venta")</f>
        <v>0</v>
      </c>
      <c r="K8" s="51">
        <f>SUMIFS(Data_Ventas!$N$2:$N1001,Data_Ventas!$A$2:$A1001,"&gt;="&amp;A8,Data_Ventas!$A$2:$A1001,"&lt;="&amp;A8+6,Data_Ventas!$H$2:$H1001,"Venta")</f>
        <v>0</v>
      </c>
      <c r="L8" s="52">
        <f t="shared" si="1"/>
        <v>0</v>
      </c>
    </row>
    <row r="9">
      <c r="A9" s="34">
        <f t="shared" si="2"/>
        <v>46243</v>
      </c>
      <c r="B9" s="41">
        <f>IFERROR(LET(meta,SUMIFS(Meta!$N$5:$N$16,Meta!$A$5:$A$16,"&gt;="&amp;EOMONTH($A9,-1)+1,Meta!$A$5:$A$16,"&lt;="&amp;EOMONTH($A9,0)),semanas,COUNTIFS($A$5:$A$35,"&gt;="&amp;EOMONTH($A9,-1)+1,$A$5:$A$35,"&lt;="&amp;EOMONTH($A9,0)),posicion,COUNTIFS($A$5:$A9,"&gt;="&amp;EOMONTH($A9,-1)+1,$A$5:$A9,"&lt;="&amp;EOMONTH($A9,0)),QUOTIENT(meta,semanas)+IF(posicion&lt;=MOD(meta,semanas),1,0)),"")</f>
        <v>65</v>
      </c>
      <c r="C9" s="41">
        <f>IFERROR(LET(meta,SUMIFS(Meta!$P$5:$P$16,Meta!$A$5:$A$16,"&gt;="&amp;EOMONTH($A9,-1)+1,Meta!$A$5:$A$16,"&lt;="&amp;EOMONTH($A9,0)),semanas,COUNTIFS($A$5:$A$35,"&gt;="&amp;EOMONTH($A9,-1)+1,$A$5:$A$35,"&lt;="&amp;EOMONTH($A9,0)),posicion,COUNTIFS($A$5:$A9,"&gt;="&amp;EOMONTH($A9,-1)+1,$A$5:$A9,"&lt;="&amp;EOMONTH($A9,0)),QUOTIENT(meta,semanas)+IF(posicion&lt;=MOD(meta,semanas),1,0)),"")</f>
        <v>8</v>
      </c>
      <c r="D9" s="41">
        <f>IFERROR(LET(meta,SUMIFS(Meta!$Q$5:$Q$16,Meta!$A$5:$A$16,"&gt;="&amp;EOMONTH($A9,-1)+1,Meta!$A$5:$A$16,"&lt;="&amp;EOMONTH($A9,0)),semanas,COUNTIFS($A$5:$A$35,"&gt;="&amp;EOMONTH($A9,-1)+1,$A$5:$A$35,"&lt;="&amp;EOMONTH($A9,0)),posicion,COUNTIFS($A$5:$A9,"&gt;="&amp;EOMONTH($A9,-1)+1,$A$5:$A9,"&lt;="&amp;EOMONTH($A9,0)),QUOTIENT(meta,semanas)+IF(posicion&lt;=MOD(meta,semanas),1,0)),"")</f>
        <v>3</v>
      </c>
      <c r="E9" s="41">
        <f>IFERROR(LET(meta,SUMIFS(Meta!$C$5:$C$16,Meta!$A$5:$A$16,"&gt;="&amp;EOMONTH($A9,-1)+1,Meta!$A$5:$A$16,"&lt;="&amp;EOMONTH($A9,0)),semanas,COUNTIFS($A$5:$A$35,"&gt;="&amp;EOMONTH($A9,-1)+1,$A$5:$A$35,"&lt;="&amp;EOMONTH($A9,0)),posicion,COUNTIFS($A$5:$A9,"&gt;="&amp;EOMONTH($A9,-1)+1,$A$5:$A9,"&lt;="&amp;EOMONTH($A9,0)),QUOTIENT(meta,semanas)+IF(posicion&lt;=MOD(meta,semanas),1,0)),"")</f>
        <v>2</v>
      </c>
      <c r="F9" s="50">
        <f>IFERROR(SUMIFS(Meta!$B$5:$B$16,Meta!$A$5:$A$16,"&gt;="&amp;EOMONTH($A9,-1)+1,Meta!$A$5:$A$16,"&lt;="&amp;EOMONTH($A9,0))/COUNTIFS($A$5:$A$35,"&gt;="&amp;EOMONTH($A9,-1)+1,$A$5:$A$35,"&lt;="&amp;EOMONTH($A9,0)),"")</f>
        <v>80000</v>
      </c>
      <c r="G9" s="41">
        <f>COUNTIFS(Data_Ventas!$E$2:$E1001,"&gt;="&amp;A9,Data_Ventas!$E$2:$E1001,"&lt;="&amp;A9+6)</f>
        <v>0</v>
      </c>
      <c r="H9" s="41">
        <f>COUNTIFS(Data_Ventas!$A$2:$A1001,"&gt;="&amp;A9,Data_Ventas!$A$2:$A1001,"&lt;="&amp;A9+6,Data_Ventas!$H$2:$H1001,"Visitó proyecto")</f>
        <v>0</v>
      </c>
      <c r="I9" s="41">
        <f>COUNTIFS(Data_Ventas!$A$2:$A1001,"&gt;="&amp;A9,Data_Ventas!$A$2:$A1001,"&lt;="&amp;A9+6,Data_Ventas!$H$2:$H1001,"Separado")</f>
        <v>0</v>
      </c>
      <c r="J9" s="41">
        <f>COUNTIFS(Data_Ventas!$A$2:$A1001,"&gt;="&amp;A9,Data_Ventas!$A$2:$A1001,"&lt;="&amp;A9+6,Data_Ventas!$H$2:$H1001,"Venta")</f>
        <v>0</v>
      </c>
      <c r="K9" s="51">
        <f>SUMIFS(Data_Ventas!$N$2:$N1001,Data_Ventas!$A$2:$A1001,"&gt;="&amp;A9,Data_Ventas!$A$2:$A1001,"&lt;="&amp;A9+6,Data_Ventas!$H$2:$H1001,"Venta")</f>
        <v>0</v>
      </c>
      <c r="L9" s="52">
        <f t="shared" si="1"/>
        <v>0</v>
      </c>
    </row>
    <row r="10">
      <c r="A10" s="34">
        <f t="shared" si="2"/>
        <v>46250</v>
      </c>
      <c r="B10" s="41">
        <f>IFERROR(LET(meta,SUMIFS(Meta!$N$5:$N$16,Meta!$A$5:$A$16,"&gt;="&amp;EOMONTH($A10,-1)+1,Meta!$A$5:$A$16,"&lt;="&amp;EOMONTH($A10,0)),semanas,COUNTIFS($A$5:$A$35,"&gt;="&amp;EOMONTH($A10,-1)+1,$A$5:$A$35,"&lt;="&amp;EOMONTH($A10,0)),posicion,COUNTIFS($A$5:$A10,"&gt;="&amp;EOMONTH($A10,-1)+1,$A$5:$A10,"&lt;="&amp;EOMONTH($A10,0)),QUOTIENT(meta,semanas)+IF(posicion&lt;=MOD(meta,semanas),1,0)),"")</f>
        <v>65</v>
      </c>
      <c r="C10" s="41">
        <f>IFERROR(LET(meta,SUMIFS(Meta!$P$5:$P$16,Meta!$A$5:$A$16,"&gt;="&amp;EOMONTH($A10,-1)+1,Meta!$A$5:$A$16,"&lt;="&amp;EOMONTH($A10,0)),semanas,COUNTIFS($A$5:$A$35,"&gt;="&amp;EOMONTH($A10,-1)+1,$A$5:$A$35,"&lt;="&amp;EOMONTH($A10,0)),posicion,COUNTIFS($A$5:$A10,"&gt;="&amp;EOMONTH($A10,-1)+1,$A$5:$A10,"&lt;="&amp;EOMONTH($A10,0)),QUOTIENT(meta,semanas)+IF(posicion&lt;=MOD(meta,semanas),1,0)),"")</f>
        <v>8</v>
      </c>
      <c r="D10" s="41">
        <f>IFERROR(LET(meta,SUMIFS(Meta!$Q$5:$Q$16,Meta!$A$5:$A$16,"&gt;="&amp;EOMONTH($A10,-1)+1,Meta!$A$5:$A$16,"&lt;="&amp;EOMONTH($A10,0)),semanas,COUNTIFS($A$5:$A$35,"&gt;="&amp;EOMONTH($A10,-1)+1,$A$5:$A$35,"&lt;="&amp;EOMONTH($A10,0)),posicion,COUNTIFS($A$5:$A10,"&gt;="&amp;EOMONTH($A10,-1)+1,$A$5:$A10,"&lt;="&amp;EOMONTH($A10,0)),QUOTIENT(meta,semanas)+IF(posicion&lt;=MOD(meta,semanas),1,0)),"")</f>
        <v>3</v>
      </c>
      <c r="E10" s="41">
        <f>IFERROR(LET(meta,SUMIFS(Meta!$C$5:$C$16,Meta!$A$5:$A$16,"&gt;="&amp;EOMONTH($A10,-1)+1,Meta!$A$5:$A$16,"&lt;="&amp;EOMONTH($A10,0)),semanas,COUNTIFS($A$5:$A$35,"&gt;="&amp;EOMONTH($A10,-1)+1,$A$5:$A$35,"&lt;="&amp;EOMONTH($A10,0)),posicion,COUNTIFS($A$5:$A10,"&gt;="&amp;EOMONTH($A10,-1)+1,$A$5:$A10,"&lt;="&amp;EOMONTH($A10,0)),QUOTIENT(meta,semanas)+IF(posicion&lt;=MOD(meta,semanas),1,0)),"")</f>
        <v>2</v>
      </c>
      <c r="F10" s="50">
        <f>IFERROR(SUMIFS(Meta!$B$5:$B$16,Meta!$A$5:$A$16,"&gt;="&amp;EOMONTH($A10,-1)+1,Meta!$A$5:$A$16,"&lt;="&amp;EOMONTH($A10,0))/COUNTIFS($A$5:$A$35,"&gt;="&amp;EOMONTH($A10,-1)+1,$A$5:$A$35,"&lt;="&amp;EOMONTH($A10,0)),"")</f>
        <v>80000</v>
      </c>
      <c r="G10" s="41">
        <f>COUNTIFS(Data_Ventas!$E$2:$E1001,"&gt;="&amp;A10,Data_Ventas!$E$2:$E1001,"&lt;="&amp;A10+6)</f>
        <v>0</v>
      </c>
      <c r="H10" s="41">
        <f>COUNTIFS(Data_Ventas!$A$2:$A1001,"&gt;="&amp;A10,Data_Ventas!$A$2:$A1001,"&lt;="&amp;A10+6,Data_Ventas!$H$2:$H1001,"Visitó proyecto")</f>
        <v>0</v>
      </c>
      <c r="I10" s="41">
        <f>COUNTIFS(Data_Ventas!$A$2:$A1001,"&gt;="&amp;A10,Data_Ventas!$A$2:$A1001,"&lt;="&amp;A10+6,Data_Ventas!$H$2:$H1001,"Separado")</f>
        <v>0</v>
      </c>
      <c r="J10" s="41">
        <f>COUNTIFS(Data_Ventas!$A$2:$A1001,"&gt;="&amp;A10,Data_Ventas!$A$2:$A1001,"&lt;="&amp;A10+6,Data_Ventas!$H$2:$H1001,"Venta")</f>
        <v>1</v>
      </c>
      <c r="K10" s="51">
        <f>SUMIFS(Data_Ventas!$N$2:$N1001,Data_Ventas!$A$2:$A1001,"&gt;="&amp;A10,Data_Ventas!$A$2:$A1001,"&lt;="&amp;A10+6,Data_Ventas!$H$2:$H1001,"Venta")</f>
        <v>55000</v>
      </c>
      <c r="L10" s="52">
        <f t="shared" si="1"/>
        <v>0.6875</v>
      </c>
    </row>
    <row r="11">
      <c r="A11" s="34">
        <f t="shared" si="2"/>
        <v>46257</v>
      </c>
      <c r="B11" s="41">
        <f>IFERROR(LET(meta,SUMIFS(Meta!$N$5:$N$16,Meta!$A$5:$A$16,"&gt;="&amp;EOMONTH($A11,-1)+1,Meta!$A$5:$A$16,"&lt;="&amp;EOMONTH($A11,0)),semanas,COUNTIFS($A$5:$A$35,"&gt;="&amp;EOMONTH($A11,-1)+1,$A$5:$A$35,"&lt;="&amp;EOMONTH($A11,0)),posicion,COUNTIFS($A$5:$A11,"&gt;="&amp;EOMONTH($A11,-1)+1,$A$5:$A11,"&lt;="&amp;EOMONTH($A11,0)),QUOTIENT(meta,semanas)+IF(posicion&lt;=MOD(meta,semanas),1,0)),"")</f>
        <v>65</v>
      </c>
      <c r="C11" s="41">
        <f>IFERROR(LET(meta,SUMIFS(Meta!$P$5:$P$16,Meta!$A$5:$A$16,"&gt;="&amp;EOMONTH($A11,-1)+1,Meta!$A$5:$A$16,"&lt;="&amp;EOMONTH($A11,0)),semanas,COUNTIFS($A$5:$A$35,"&gt;="&amp;EOMONTH($A11,-1)+1,$A$5:$A$35,"&lt;="&amp;EOMONTH($A11,0)),posicion,COUNTIFS($A$5:$A11,"&gt;="&amp;EOMONTH($A11,-1)+1,$A$5:$A11,"&lt;="&amp;EOMONTH($A11,0)),QUOTIENT(meta,semanas)+IF(posicion&lt;=MOD(meta,semanas),1,0)),"")</f>
        <v>8</v>
      </c>
      <c r="D11" s="41">
        <f>IFERROR(LET(meta,SUMIFS(Meta!$Q$5:$Q$16,Meta!$A$5:$A$16,"&gt;="&amp;EOMONTH($A11,-1)+1,Meta!$A$5:$A$16,"&lt;="&amp;EOMONTH($A11,0)),semanas,COUNTIFS($A$5:$A$35,"&gt;="&amp;EOMONTH($A11,-1)+1,$A$5:$A$35,"&lt;="&amp;EOMONTH($A11,0)),posicion,COUNTIFS($A$5:$A11,"&gt;="&amp;EOMONTH($A11,-1)+1,$A$5:$A11,"&lt;="&amp;EOMONTH($A11,0)),QUOTIENT(meta,semanas)+IF(posicion&lt;=MOD(meta,semanas),1,0)),"")</f>
        <v>2</v>
      </c>
      <c r="E11" s="41">
        <f>IFERROR(LET(meta,SUMIFS(Meta!$C$5:$C$16,Meta!$A$5:$A$16,"&gt;="&amp;EOMONTH($A11,-1)+1,Meta!$A$5:$A$16,"&lt;="&amp;EOMONTH($A11,0)),semanas,COUNTIFS($A$5:$A$35,"&gt;="&amp;EOMONTH($A11,-1)+1,$A$5:$A$35,"&lt;="&amp;EOMONTH($A11,0)),posicion,COUNTIFS($A$5:$A11,"&gt;="&amp;EOMONTH($A11,-1)+1,$A$5:$A11,"&lt;="&amp;EOMONTH($A11,0)),QUOTIENT(meta,semanas)+IF(posicion&lt;=MOD(meta,semanas),1,0)),"")</f>
        <v>2</v>
      </c>
      <c r="F11" s="50">
        <f>IFERROR(SUMIFS(Meta!$B$5:$B$16,Meta!$A$5:$A$16,"&gt;="&amp;EOMONTH($A11,-1)+1,Meta!$A$5:$A$16,"&lt;="&amp;EOMONTH($A11,0))/COUNTIFS($A$5:$A$35,"&gt;="&amp;EOMONTH($A11,-1)+1,$A$5:$A$35,"&lt;="&amp;EOMONTH($A11,0)),"")</f>
        <v>80000</v>
      </c>
      <c r="G11" s="41">
        <f>COUNTIFS(Data_Ventas!$E$2:$E1001,"&gt;="&amp;A11,Data_Ventas!$E$2:$E1001,"&lt;="&amp;A11+6)</f>
        <v>0</v>
      </c>
      <c r="H11" s="41">
        <f>COUNTIFS(Data_Ventas!$A$2:$A1001,"&gt;="&amp;A11,Data_Ventas!$A$2:$A1001,"&lt;="&amp;A11+6,Data_Ventas!$H$2:$H1001,"Visitó proyecto")</f>
        <v>0</v>
      </c>
      <c r="I11" s="41">
        <f>COUNTIFS(Data_Ventas!$A$2:$A1001,"&gt;="&amp;A11,Data_Ventas!$A$2:$A1001,"&lt;="&amp;A11+6,Data_Ventas!$H$2:$H1001,"Separado")</f>
        <v>0</v>
      </c>
      <c r="J11" s="41">
        <f>COUNTIFS(Data_Ventas!$A$2:$A1001,"&gt;="&amp;A11,Data_Ventas!$A$2:$A1001,"&lt;="&amp;A11+6,Data_Ventas!$H$2:$H1001,"Venta")</f>
        <v>0</v>
      </c>
      <c r="K11" s="51">
        <f>SUMIFS(Data_Ventas!$N$2:$N1001,Data_Ventas!$A$2:$A1001,"&gt;="&amp;A11,Data_Ventas!$A$2:$A1001,"&lt;="&amp;A11+6,Data_Ventas!$H$2:$H1001,"Venta")</f>
        <v>0</v>
      </c>
      <c r="L11" s="52">
        <f t="shared" si="1"/>
        <v>0</v>
      </c>
    </row>
    <row r="12">
      <c r="A12" s="34">
        <f t="shared" si="2"/>
        <v>46264</v>
      </c>
      <c r="B12" s="41">
        <f>IFERROR(LET(meta,SUMIFS(Meta!$N$5:$N$16,Meta!$A$5:$A$16,"&gt;="&amp;EOMONTH($A12,-1)+1,Meta!$A$5:$A$16,"&lt;="&amp;EOMONTH($A12,0)),semanas,COUNTIFS($A$5:$A$35,"&gt;="&amp;EOMONTH($A12,-1)+1,$A$5:$A$35,"&lt;="&amp;EOMONTH($A12,0)),posicion,COUNTIFS($A$5:$A12,"&gt;="&amp;EOMONTH($A12,-1)+1,$A$5:$A12,"&lt;="&amp;EOMONTH($A12,0)),QUOTIENT(meta,semanas)+IF(posicion&lt;=MOD(meta,semanas),1,0)),"")</f>
        <v>65</v>
      </c>
      <c r="C12" s="41">
        <f>IFERROR(LET(meta,SUMIFS(Meta!$P$5:$P$16,Meta!$A$5:$A$16,"&gt;="&amp;EOMONTH($A12,-1)+1,Meta!$A$5:$A$16,"&lt;="&amp;EOMONTH($A12,0)),semanas,COUNTIFS($A$5:$A$35,"&gt;="&amp;EOMONTH($A12,-1)+1,$A$5:$A$35,"&lt;="&amp;EOMONTH($A12,0)),posicion,COUNTIFS($A$5:$A12,"&gt;="&amp;EOMONTH($A12,-1)+1,$A$5:$A12,"&lt;="&amp;EOMONTH($A12,0)),QUOTIENT(meta,semanas)+IF(posicion&lt;=MOD(meta,semanas),1,0)),"")</f>
        <v>7</v>
      </c>
      <c r="D12" s="41">
        <f>IFERROR(LET(meta,SUMIFS(Meta!$Q$5:$Q$16,Meta!$A$5:$A$16,"&gt;="&amp;EOMONTH($A12,-1)+1,Meta!$A$5:$A$16,"&lt;="&amp;EOMONTH($A12,0)),semanas,COUNTIFS($A$5:$A$35,"&gt;="&amp;EOMONTH($A12,-1)+1,$A$5:$A$35,"&lt;="&amp;EOMONTH($A12,0)),posicion,COUNTIFS($A$5:$A12,"&gt;="&amp;EOMONTH($A12,-1)+1,$A$5:$A12,"&lt;="&amp;EOMONTH($A12,0)),QUOTIENT(meta,semanas)+IF(posicion&lt;=MOD(meta,semanas),1,0)),"")</f>
        <v>2</v>
      </c>
      <c r="E12" s="41">
        <f>IFERROR(LET(meta,SUMIFS(Meta!$C$5:$C$16,Meta!$A$5:$A$16,"&gt;="&amp;EOMONTH($A12,-1)+1,Meta!$A$5:$A$16,"&lt;="&amp;EOMONTH($A12,0)),semanas,COUNTIFS($A$5:$A$35,"&gt;="&amp;EOMONTH($A12,-1)+1,$A$5:$A$35,"&lt;="&amp;EOMONTH($A12,0)),posicion,COUNTIFS($A$5:$A12,"&gt;="&amp;EOMONTH($A12,-1)+1,$A$5:$A12,"&lt;="&amp;EOMONTH($A12,0)),QUOTIENT(meta,semanas)+IF(posicion&lt;=MOD(meta,semanas),1,0)),"")</f>
        <v>2</v>
      </c>
      <c r="F12" s="50">
        <f>IFERROR(SUMIFS(Meta!$B$5:$B$16,Meta!$A$5:$A$16,"&gt;="&amp;EOMONTH($A12,-1)+1,Meta!$A$5:$A$16,"&lt;="&amp;EOMONTH($A12,0))/COUNTIFS($A$5:$A$35,"&gt;="&amp;EOMONTH($A12,-1)+1,$A$5:$A$35,"&lt;="&amp;EOMONTH($A12,0)),"")</f>
        <v>80000</v>
      </c>
      <c r="G12" s="41">
        <f>COUNTIFS(Data_Ventas!$E$2:$E1001,"&gt;="&amp;A12,Data_Ventas!$E$2:$E1001,"&lt;="&amp;A12+6)</f>
        <v>0</v>
      </c>
      <c r="H12" s="41">
        <f>COUNTIFS(Data_Ventas!$A$2:$A1001,"&gt;="&amp;A12,Data_Ventas!$A$2:$A1001,"&lt;="&amp;A12+6,Data_Ventas!$H$2:$H1001,"Visitó proyecto")</f>
        <v>0</v>
      </c>
      <c r="I12" s="41">
        <f>COUNTIFS(Data_Ventas!$A$2:$A1001,"&gt;="&amp;A12,Data_Ventas!$A$2:$A1001,"&lt;="&amp;A12+6,Data_Ventas!$H$2:$H1001,"Separado")</f>
        <v>0</v>
      </c>
      <c r="J12" s="41">
        <f>COUNTIFS(Data_Ventas!$A$2:$A1001,"&gt;="&amp;A12,Data_Ventas!$A$2:$A1001,"&lt;="&amp;A12+6,Data_Ventas!$H$2:$H1001,"Venta")</f>
        <v>2</v>
      </c>
      <c r="K12" s="51">
        <f>SUMIFS(Data_Ventas!$N$2:$N1001,Data_Ventas!$A$2:$A1001,"&gt;="&amp;A12,Data_Ventas!$A$2:$A1001,"&lt;="&amp;A12+6,Data_Ventas!$H$2:$H1001,"Venta")</f>
        <v>70000</v>
      </c>
      <c r="L12" s="52">
        <f t="shared" si="1"/>
        <v>0.875</v>
      </c>
    </row>
    <row r="13">
      <c r="A13" s="34">
        <f t="shared" si="2"/>
        <v>46271</v>
      </c>
      <c r="B13" s="41">
        <f>IFERROR(LET(meta,SUMIFS(Meta!$N$5:$N$16,Meta!$A$5:$A$16,"&gt;="&amp;EOMONTH($A13,-1)+1,Meta!$A$5:$A$16,"&lt;="&amp;EOMONTH($A13,0)),semanas,COUNTIFS($A$5:$A$35,"&gt;="&amp;EOMONTH($A13,-1)+1,$A$5:$A$35,"&lt;="&amp;EOMONTH($A13,0)),posicion,COUNTIFS($A$5:$A13,"&gt;="&amp;EOMONTH($A13,-1)+1,$A$5:$A13,"&lt;="&amp;EOMONTH($A13,0)),QUOTIENT(meta,semanas)+IF(posicion&lt;=MOD(meta,semanas),1,0)),"")</f>
        <v>82</v>
      </c>
      <c r="C13" s="41">
        <f>IFERROR(LET(meta,SUMIFS(Meta!$P$5:$P$16,Meta!$A$5:$A$16,"&gt;="&amp;EOMONTH($A13,-1)+1,Meta!$A$5:$A$16,"&lt;="&amp;EOMONTH($A13,0)),semanas,COUNTIFS($A$5:$A$35,"&gt;="&amp;EOMONTH($A13,-1)+1,$A$5:$A$35,"&lt;="&amp;EOMONTH($A13,0)),posicion,COUNTIFS($A$5:$A13,"&gt;="&amp;EOMONTH($A13,-1)+1,$A$5:$A13,"&lt;="&amp;EOMONTH($A13,0)),QUOTIENT(meta,semanas)+IF(posicion&lt;=MOD(meta,semanas),1,0)),"")</f>
        <v>10</v>
      </c>
      <c r="D13" s="41">
        <f>IFERROR(LET(meta,SUMIFS(Meta!$Q$5:$Q$16,Meta!$A$5:$A$16,"&gt;="&amp;EOMONTH($A13,-1)+1,Meta!$A$5:$A$16,"&lt;="&amp;EOMONTH($A13,0)),semanas,COUNTIFS($A$5:$A$35,"&gt;="&amp;EOMONTH($A13,-1)+1,$A$5:$A$35,"&lt;="&amp;EOMONTH($A13,0)),posicion,COUNTIFS($A$5:$A13,"&gt;="&amp;EOMONTH($A13,-1)+1,$A$5:$A13,"&lt;="&amp;EOMONTH($A13,0)),QUOTIENT(meta,semanas)+IF(posicion&lt;=MOD(meta,semanas),1,0)),"")</f>
        <v>4</v>
      </c>
      <c r="E13" s="41">
        <f>IFERROR(LET(meta,SUMIFS(Meta!$C$5:$C$16,Meta!$A$5:$A$16,"&gt;="&amp;EOMONTH($A13,-1)+1,Meta!$A$5:$A$16,"&lt;="&amp;EOMONTH($A13,0)),semanas,COUNTIFS($A$5:$A$35,"&gt;="&amp;EOMONTH($A13,-1)+1,$A$5:$A$35,"&lt;="&amp;EOMONTH($A13,0)),posicion,COUNTIFS($A$5:$A13,"&gt;="&amp;EOMONTH($A13,-1)+1,$A$5:$A13,"&lt;="&amp;EOMONTH($A13,0)),QUOTIENT(meta,semanas)+IF(posicion&lt;=MOD(meta,semanas),1,0)),"")</f>
        <v>3</v>
      </c>
      <c r="F13" s="50">
        <f>IFERROR(SUMIFS(Meta!$B$5:$B$16,Meta!$A$5:$A$16,"&gt;="&amp;EOMONTH($A13,-1)+1,Meta!$A$5:$A$16,"&lt;="&amp;EOMONTH($A13,0))/COUNTIFS($A$5:$A$35,"&gt;="&amp;EOMONTH($A13,-1)+1,$A$5:$A$35,"&lt;="&amp;EOMONTH($A13,0)),"")</f>
        <v>100000</v>
      </c>
      <c r="G13" s="41">
        <f>COUNTIFS(Data_Ventas!$E$2:$E1001,"&gt;="&amp;A13,Data_Ventas!$E$2:$E1001,"&lt;="&amp;A13+6)</f>
        <v>0</v>
      </c>
      <c r="H13" s="41">
        <f>COUNTIFS(Data_Ventas!$A$2:$A1001,"&gt;="&amp;A13,Data_Ventas!$A$2:$A1001,"&lt;="&amp;A13+6,Data_Ventas!$H$2:$H1001,"Visitó proyecto")</f>
        <v>0</v>
      </c>
      <c r="I13" s="41">
        <f>COUNTIFS(Data_Ventas!$A$2:$A1001,"&gt;="&amp;A13,Data_Ventas!$A$2:$A1001,"&lt;="&amp;A13+6,Data_Ventas!$H$2:$H1001,"Separado")</f>
        <v>0</v>
      </c>
      <c r="J13" s="41">
        <f>COUNTIFS(Data_Ventas!$A$2:$A1001,"&gt;="&amp;A13,Data_Ventas!$A$2:$A1001,"&lt;="&amp;A13+6,Data_Ventas!$H$2:$H1001,"Venta")</f>
        <v>1</v>
      </c>
      <c r="K13" s="51">
        <f>SUMIFS(Data_Ventas!$N$2:$N1001,Data_Ventas!$A$2:$A1001,"&gt;="&amp;A13,Data_Ventas!$A$2:$A1001,"&lt;="&amp;A13+6,Data_Ventas!$H$2:$H1001,"Venta")</f>
        <v>40000</v>
      </c>
      <c r="L13" s="52">
        <f t="shared" si="1"/>
        <v>0.4</v>
      </c>
    </row>
    <row r="14">
      <c r="A14" s="34">
        <f t="shared" si="2"/>
        <v>46278</v>
      </c>
      <c r="B14" s="41">
        <f>IFERROR(LET(meta,SUMIFS(Meta!$N$5:$N$16,Meta!$A$5:$A$16,"&gt;="&amp;EOMONTH($A14,-1)+1,Meta!$A$5:$A$16,"&lt;="&amp;EOMONTH($A14,0)),semanas,COUNTIFS($A$5:$A$35,"&gt;="&amp;EOMONTH($A14,-1)+1,$A$5:$A$35,"&lt;="&amp;EOMONTH($A14,0)),posicion,COUNTIFS($A$5:$A14,"&gt;="&amp;EOMONTH($A14,-1)+1,$A$5:$A14,"&lt;="&amp;EOMONTH($A14,0)),QUOTIENT(meta,semanas)+IF(posicion&lt;=MOD(meta,semanas),1,0)),"")</f>
        <v>81</v>
      </c>
      <c r="C14" s="41">
        <f>IFERROR(LET(meta,SUMIFS(Meta!$P$5:$P$16,Meta!$A$5:$A$16,"&gt;="&amp;EOMONTH($A14,-1)+1,Meta!$A$5:$A$16,"&lt;="&amp;EOMONTH($A14,0)),semanas,COUNTIFS($A$5:$A$35,"&gt;="&amp;EOMONTH($A14,-1)+1,$A$5:$A$35,"&lt;="&amp;EOMONTH($A14,0)),posicion,COUNTIFS($A$5:$A14,"&gt;="&amp;EOMONTH($A14,-1)+1,$A$5:$A14,"&lt;="&amp;EOMONTH($A14,0)),QUOTIENT(meta,semanas)+IF(posicion&lt;=MOD(meta,semanas),1,0)),"")</f>
        <v>10</v>
      </c>
      <c r="D14" s="41">
        <f>IFERROR(LET(meta,SUMIFS(Meta!$Q$5:$Q$16,Meta!$A$5:$A$16,"&gt;="&amp;EOMONTH($A14,-1)+1,Meta!$A$5:$A$16,"&lt;="&amp;EOMONTH($A14,0)),semanas,COUNTIFS($A$5:$A$35,"&gt;="&amp;EOMONTH($A14,-1)+1,$A$5:$A$35,"&lt;="&amp;EOMONTH($A14,0)),posicion,COUNTIFS($A$5:$A14,"&gt;="&amp;EOMONTH($A14,-1)+1,$A$5:$A14,"&lt;="&amp;EOMONTH($A14,0)),QUOTIENT(meta,semanas)+IF(posicion&lt;=MOD(meta,semanas),1,0)),"")</f>
        <v>3</v>
      </c>
      <c r="E14" s="41">
        <f>IFERROR(LET(meta,SUMIFS(Meta!$C$5:$C$16,Meta!$A$5:$A$16,"&gt;="&amp;EOMONTH($A14,-1)+1,Meta!$A$5:$A$16,"&lt;="&amp;EOMONTH($A14,0)),semanas,COUNTIFS($A$5:$A$35,"&gt;="&amp;EOMONTH($A14,-1)+1,$A$5:$A$35,"&lt;="&amp;EOMONTH($A14,0)),posicion,COUNTIFS($A$5:$A14,"&gt;="&amp;EOMONTH($A14,-1)+1,$A$5:$A14,"&lt;="&amp;EOMONTH($A14,0)),QUOTIENT(meta,semanas)+IF(posicion&lt;=MOD(meta,semanas),1,0)),"")</f>
        <v>3</v>
      </c>
      <c r="F14" s="50">
        <f>IFERROR(SUMIFS(Meta!$B$5:$B$16,Meta!$A$5:$A$16,"&gt;="&amp;EOMONTH($A14,-1)+1,Meta!$A$5:$A$16,"&lt;="&amp;EOMONTH($A14,0))/COUNTIFS($A$5:$A$35,"&gt;="&amp;EOMONTH($A14,-1)+1,$A$5:$A$35,"&lt;="&amp;EOMONTH($A14,0)),"")</f>
        <v>100000</v>
      </c>
      <c r="G14" s="41">
        <f>COUNTIFS(Data_Ventas!$E$2:$E1001,"&gt;="&amp;A14,Data_Ventas!$E$2:$E1001,"&lt;="&amp;A14+6)</f>
        <v>0</v>
      </c>
      <c r="H14" s="41">
        <f>COUNTIFS(Data_Ventas!$A$2:$A1001,"&gt;="&amp;A14,Data_Ventas!$A$2:$A1001,"&lt;="&amp;A14+6,Data_Ventas!$H$2:$H1001,"Visitó proyecto")</f>
        <v>0</v>
      </c>
      <c r="I14" s="41">
        <f>COUNTIFS(Data_Ventas!$A$2:$A1001,"&gt;="&amp;A14,Data_Ventas!$A$2:$A1001,"&lt;="&amp;A14+6,Data_Ventas!$H$2:$H1001,"Separado")</f>
        <v>0</v>
      </c>
      <c r="J14" s="41">
        <f>COUNTIFS(Data_Ventas!$A$2:$A1001,"&gt;="&amp;A14,Data_Ventas!$A$2:$A1001,"&lt;="&amp;A14+6,Data_Ventas!$H$2:$H1001,"Venta")</f>
        <v>0</v>
      </c>
      <c r="K14" s="51">
        <f>SUMIFS(Data_Ventas!$N$2:$N1001,Data_Ventas!$A$2:$A1001,"&gt;="&amp;A14,Data_Ventas!$A$2:$A1001,"&lt;="&amp;A14+6,Data_Ventas!$H$2:$H1001,"Venta")</f>
        <v>0</v>
      </c>
      <c r="L14" s="52">
        <f t="shared" si="1"/>
        <v>0</v>
      </c>
    </row>
    <row r="15">
      <c r="A15" s="34">
        <f t="shared" si="2"/>
        <v>46285</v>
      </c>
      <c r="B15" s="41">
        <f>IFERROR(LET(meta,SUMIFS(Meta!$N$5:$N$16,Meta!$A$5:$A$16,"&gt;="&amp;EOMONTH($A15,-1)+1,Meta!$A$5:$A$16,"&lt;="&amp;EOMONTH($A15,0)),semanas,COUNTIFS($A$5:$A$35,"&gt;="&amp;EOMONTH($A15,-1)+1,$A$5:$A$35,"&lt;="&amp;EOMONTH($A15,0)),posicion,COUNTIFS($A$5:$A15,"&gt;="&amp;EOMONTH($A15,-1)+1,$A$5:$A15,"&lt;="&amp;EOMONTH($A15,0)),QUOTIENT(meta,semanas)+IF(posicion&lt;=MOD(meta,semanas),1,0)),"")</f>
        <v>81</v>
      </c>
      <c r="C15" s="41">
        <f>IFERROR(LET(meta,SUMIFS(Meta!$P$5:$P$16,Meta!$A$5:$A$16,"&gt;="&amp;EOMONTH($A15,-1)+1,Meta!$A$5:$A$16,"&lt;="&amp;EOMONTH($A15,0)),semanas,COUNTIFS($A$5:$A$35,"&gt;="&amp;EOMONTH($A15,-1)+1,$A$5:$A$35,"&lt;="&amp;EOMONTH($A15,0)),posicion,COUNTIFS($A$5:$A15,"&gt;="&amp;EOMONTH($A15,-1)+1,$A$5:$A15,"&lt;="&amp;EOMONTH($A15,0)),QUOTIENT(meta,semanas)+IF(posicion&lt;=MOD(meta,semanas),1,0)),"")</f>
        <v>10</v>
      </c>
      <c r="D15" s="41">
        <f>IFERROR(LET(meta,SUMIFS(Meta!$Q$5:$Q$16,Meta!$A$5:$A$16,"&gt;="&amp;EOMONTH($A15,-1)+1,Meta!$A$5:$A$16,"&lt;="&amp;EOMONTH($A15,0)),semanas,COUNTIFS($A$5:$A$35,"&gt;="&amp;EOMONTH($A15,-1)+1,$A$5:$A$35,"&lt;="&amp;EOMONTH($A15,0)),posicion,COUNTIFS($A$5:$A15,"&gt;="&amp;EOMONTH($A15,-1)+1,$A$5:$A15,"&lt;="&amp;EOMONTH($A15,0)),QUOTIENT(meta,semanas)+IF(posicion&lt;=MOD(meta,semanas),1,0)),"")</f>
        <v>3</v>
      </c>
      <c r="E15" s="41">
        <f>IFERROR(LET(meta,SUMIFS(Meta!$C$5:$C$16,Meta!$A$5:$A$16,"&gt;="&amp;EOMONTH($A15,-1)+1,Meta!$A$5:$A$16,"&lt;="&amp;EOMONTH($A15,0)),semanas,COUNTIFS($A$5:$A$35,"&gt;="&amp;EOMONTH($A15,-1)+1,$A$5:$A$35,"&lt;="&amp;EOMONTH($A15,0)),posicion,COUNTIFS($A$5:$A15,"&gt;="&amp;EOMONTH($A15,-1)+1,$A$5:$A15,"&lt;="&amp;EOMONTH($A15,0)),QUOTIENT(meta,semanas)+IF(posicion&lt;=MOD(meta,semanas),1,0)),"")</f>
        <v>2</v>
      </c>
      <c r="F15" s="50">
        <f>IFERROR(SUMIFS(Meta!$B$5:$B$16,Meta!$A$5:$A$16,"&gt;="&amp;EOMONTH($A15,-1)+1,Meta!$A$5:$A$16,"&lt;="&amp;EOMONTH($A15,0))/COUNTIFS($A$5:$A$35,"&gt;="&amp;EOMONTH($A15,-1)+1,$A$5:$A$35,"&lt;="&amp;EOMONTH($A15,0)),"")</f>
        <v>100000</v>
      </c>
      <c r="G15" s="41">
        <f>COUNTIFS(Data_Ventas!$E$2:$E1001,"&gt;="&amp;A15,Data_Ventas!$E$2:$E1001,"&lt;="&amp;A15+6)</f>
        <v>0</v>
      </c>
      <c r="H15" s="41">
        <f>COUNTIFS(Data_Ventas!$A$2:$A1001,"&gt;="&amp;A15,Data_Ventas!$A$2:$A1001,"&lt;="&amp;A15+6,Data_Ventas!$H$2:$H1001,"Visitó proyecto")</f>
        <v>0</v>
      </c>
      <c r="I15" s="41">
        <f>COUNTIFS(Data_Ventas!$A$2:$A1001,"&gt;="&amp;A15,Data_Ventas!$A$2:$A1001,"&lt;="&amp;A15+6,Data_Ventas!$H$2:$H1001,"Separado")</f>
        <v>0</v>
      </c>
      <c r="J15" s="41">
        <f>COUNTIFS(Data_Ventas!$A$2:$A1001,"&gt;="&amp;A15,Data_Ventas!$A$2:$A1001,"&lt;="&amp;A15+6,Data_Ventas!$H$2:$H1001,"Venta")</f>
        <v>0</v>
      </c>
      <c r="K15" s="51">
        <f>SUMIFS(Data_Ventas!$N$2:$N1001,Data_Ventas!$A$2:$A1001,"&gt;="&amp;A15,Data_Ventas!$A$2:$A1001,"&lt;="&amp;A15+6,Data_Ventas!$H$2:$H1001,"Venta")</f>
        <v>0</v>
      </c>
      <c r="L15" s="52">
        <f t="shared" si="1"/>
        <v>0</v>
      </c>
    </row>
    <row r="16">
      <c r="A16" s="82">
        <f t="shared" si="2"/>
        <v>46292</v>
      </c>
      <c r="B16" s="41">
        <f>IFERROR(LET(meta,SUMIFS(Meta!$N$5:$N$16,Meta!$A$5:$A$16,"&gt;="&amp;EOMONTH($A16,-1)+1,Meta!$A$5:$A$16,"&lt;="&amp;EOMONTH($A16,0)),semanas,COUNTIFS($A$5:$A$35,"&gt;="&amp;EOMONTH($A16,-1)+1,$A$5:$A$35,"&lt;="&amp;EOMONTH($A16,0)),posicion,COUNTIFS($A$5:$A16,"&gt;="&amp;EOMONTH($A16,-1)+1,$A$5:$A16,"&lt;="&amp;EOMONTH($A16,0)),QUOTIENT(meta,semanas)+IF(posicion&lt;=MOD(meta,semanas),1,0)),"")</f>
        <v>81</v>
      </c>
      <c r="C16" s="41">
        <f>IFERROR(LET(meta,SUMIFS(Meta!$P$5:$P$16,Meta!$A$5:$A$16,"&gt;="&amp;EOMONTH($A16,-1)+1,Meta!$A$5:$A$16,"&lt;="&amp;EOMONTH($A16,0)),semanas,COUNTIFS($A$5:$A$35,"&gt;="&amp;EOMONTH($A16,-1)+1,$A$5:$A$35,"&lt;="&amp;EOMONTH($A16,0)),posicion,COUNTIFS($A$5:$A16,"&gt;="&amp;EOMONTH($A16,-1)+1,$A$5:$A16,"&lt;="&amp;EOMONTH($A16,0)),QUOTIENT(meta,semanas)+IF(posicion&lt;=MOD(meta,semanas),1,0)),"")</f>
        <v>9</v>
      </c>
      <c r="D16" s="41">
        <f>IFERROR(LET(meta,SUMIFS(Meta!$Q$5:$Q$16,Meta!$A$5:$A$16,"&gt;="&amp;EOMONTH($A16,-1)+1,Meta!$A$5:$A$16,"&lt;="&amp;EOMONTH($A16,0)),semanas,COUNTIFS($A$5:$A$35,"&gt;="&amp;EOMONTH($A16,-1)+1,$A$5:$A$35,"&lt;="&amp;EOMONTH($A16,0)),posicion,COUNTIFS($A$5:$A16,"&gt;="&amp;EOMONTH($A16,-1)+1,$A$5:$A16,"&lt;="&amp;EOMONTH($A16,0)),QUOTIENT(meta,semanas)+IF(posicion&lt;=MOD(meta,semanas),1,0)),"")</f>
        <v>3</v>
      </c>
      <c r="E16" s="41">
        <f>IFERROR(LET(meta,SUMIFS(Meta!$C$5:$C$16,Meta!$A$5:$A$16,"&gt;="&amp;EOMONTH($A16,-1)+1,Meta!$A$5:$A$16,"&lt;="&amp;EOMONTH($A16,0)),semanas,COUNTIFS($A$5:$A$35,"&gt;="&amp;EOMONTH($A16,-1)+1,$A$5:$A$35,"&lt;="&amp;EOMONTH($A16,0)),posicion,COUNTIFS($A$5:$A16,"&gt;="&amp;EOMONTH($A16,-1)+1,$A$5:$A16,"&lt;="&amp;EOMONTH($A16,0)),QUOTIENT(meta,semanas)+IF(posicion&lt;=MOD(meta,semanas),1,0)),"")</f>
        <v>2</v>
      </c>
      <c r="F16" s="50">
        <f>IFERROR(SUMIFS(Meta!$B$5:$B$16,Meta!$A$5:$A$16,"&gt;="&amp;EOMONTH($A16,-1)+1,Meta!$A$5:$A$16,"&lt;="&amp;EOMONTH($A16,0))/COUNTIFS($A$5:$A$35,"&gt;="&amp;EOMONTH($A16,-1)+1,$A$5:$A$35,"&lt;="&amp;EOMONTH($A16,0)),"")</f>
        <v>100000</v>
      </c>
      <c r="G16" s="41">
        <f>COUNTIFS(Data_Ventas!$E$2:$E1001,"&gt;="&amp;A16,Data_Ventas!$E$2:$E1001,"&lt;="&amp;A16+6)</f>
        <v>0</v>
      </c>
      <c r="H16" s="41">
        <f>COUNTIFS(Data_Ventas!$A$2:$A1001,"&gt;="&amp;A16,Data_Ventas!$A$2:$A1001,"&lt;="&amp;A16+6,Data_Ventas!$H$2:$H1001,"Visitó proyecto")</f>
        <v>0</v>
      </c>
      <c r="I16" s="41">
        <f>COUNTIFS(Data_Ventas!$A$2:$A1001,"&gt;="&amp;A16,Data_Ventas!$A$2:$A1001,"&lt;="&amp;A16+6,Data_Ventas!$H$2:$H1001,"Separado")</f>
        <v>0</v>
      </c>
      <c r="J16" s="41">
        <f>COUNTIFS(Data_Ventas!$A$2:$A1001,"&gt;="&amp;A16,Data_Ventas!$A$2:$A1001,"&lt;="&amp;A16+6,Data_Ventas!$H$2:$H1001,"Venta")</f>
        <v>0</v>
      </c>
      <c r="K16" s="51">
        <f>SUMIFS(Data_Ventas!$N$2:$N1001,Data_Ventas!$A$2:$A1001,"&gt;="&amp;A16,Data_Ventas!$A$2:$A1001,"&lt;="&amp;A16+6,Data_Ventas!$H$2:$H1001,"Venta")</f>
        <v>0</v>
      </c>
      <c r="L16" s="52">
        <f t="shared" si="1"/>
        <v>0</v>
      </c>
    </row>
    <row r="17">
      <c r="A17" s="82">
        <f t="shared" si="2"/>
        <v>46299</v>
      </c>
      <c r="B17" s="41">
        <f>IFERROR(LET(meta,SUMIFS(Meta!$N$5:$N$16,Meta!$A$5:$A$16,"&gt;="&amp;EOMONTH($A17,-1)+1,Meta!$A$5:$A$16,"&lt;="&amp;EOMONTH($A17,0)),semanas,COUNTIFS($A$5:$A$35,"&gt;="&amp;EOMONTH($A17,-1)+1,$A$5:$A$35,"&lt;="&amp;EOMONTH($A17,0)),posicion,COUNTIFS($A$5:$A17,"&gt;="&amp;EOMONTH($A17,-1)+1,$A$5:$A17,"&lt;="&amp;EOMONTH($A17,0)),QUOTIENT(meta,semanas)+IF(posicion&lt;=MOD(meta,semanas),1,0)),"")</f>
        <v>82</v>
      </c>
      <c r="C17" s="41">
        <f>IFERROR(LET(meta,SUMIFS(Meta!$P$5:$P$16,Meta!$A$5:$A$16,"&gt;="&amp;EOMONTH($A17,-1)+1,Meta!$A$5:$A$16,"&lt;="&amp;EOMONTH($A17,0)),semanas,COUNTIFS($A$5:$A$35,"&gt;="&amp;EOMONTH($A17,-1)+1,$A$5:$A$35,"&lt;="&amp;EOMONTH($A17,0)),posicion,COUNTIFS($A$5:$A17,"&gt;="&amp;EOMONTH($A17,-1)+1,$A$5:$A17,"&lt;="&amp;EOMONTH($A17,0)),QUOTIENT(meta,semanas)+IF(posicion&lt;=MOD(meta,semanas),1,0)),"")</f>
        <v>10</v>
      </c>
      <c r="D17" s="41">
        <f>IFERROR(LET(meta,SUMIFS(Meta!$Q$5:$Q$16,Meta!$A$5:$A$16,"&gt;="&amp;EOMONTH($A17,-1)+1,Meta!$A$5:$A$16,"&lt;="&amp;EOMONTH($A17,0)),semanas,COUNTIFS($A$5:$A$35,"&gt;="&amp;EOMONTH($A17,-1)+1,$A$5:$A$35,"&lt;="&amp;EOMONTH($A17,0)),posicion,COUNTIFS($A$5:$A17,"&gt;="&amp;EOMONTH($A17,-1)+1,$A$5:$A17,"&lt;="&amp;EOMONTH($A17,0)),QUOTIENT(meta,semanas)+IF(posicion&lt;=MOD(meta,semanas),1,0)),"")</f>
        <v>4</v>
      </c>
      <c r="E17" s="41">
        <f>IFERROR(LET(meta,SUMIFS(Meta!$C$5:$C$16,Meta!$A$5:$A$16,"&gt;="&amp;EOMONTH($A17,-1)+1,Meta!$A$5:$A$16,"&lt;="&amp;EOMONTH($A17,0)),semanas,COUNTIFS($A$5:$A$35,"&gt;="&amp;EOMONTH($A17,-1)+1,$A$5:$A$35,"&lt;="&amp;EOMONTH($A17,0)),posicion,COUNTIFS($A$5:$A17,"&gt;="&amp;EOMONTH($A17,-1)+1,$A$5:$A17,"&lt;="&amp;EOMONTH($A17,0)),QUOTIENT(meta,semanas)+IF(posicion&lt;=MOD(meta,semanas),1,0)),"")</f>
        <v>3</v>
      </c>
      <c r="F17" s="50">
        <f>IFERROR(SUMIFS(Meta!$B$5:$B$16,Meta!$A$5:$A$16,"&gt;="&amp;EOMONTH($A17,-1)+1,Meta!$A$5:$A$16,"&lt;="&amp;EOMONTH($A17,0))/COUNTIFS($A$5:$A$35,"&gt;="&amp;EOMONTH($A17,-1)+1,$A$5:$A$35,"&lt;="&amp;EOMONTH($A17,0)),"")</f>
        <v>100000</v>
      </c>
      <c r="G17" s="41">
        <f>COUNTIFS(Data_Ventas!$E$2:$E1001,"&gt;="&amp;A17,Data_Ventas!$E$2:$E1001,"&lt;="&amp;A17+6)</f>
        <v>0</v>
      </c>
      <c r="H17" s="41">
        <f>COUNTIFS(Data_Ventas!$A$2:$A1001,"&gt;="&amp;A17,Data_Ventas!$A$2:$A1001,"&lt;="&amp;A17+6,Data_Ventas!$H$2:$H1001,"Visitó proyecto")</f>
        <v>0</v>
      </c>
      <c r="I17" s="41">
        <f>COUNTIFS(Data_Ventas!$A$2:$A1001,"&gt;="&amp;A17,Data_Ventas!$A$2:$A1001,"&lt;="&amp;A17+6,Data_Ventas!$H$2:$H1001,"Separado")</f>
        <v>0</v>
      </c>
      <c r="J17" s="41">
        <f>COUNTIFS(Data_Ventas!$A$2:$A1001,"&gt;="&amp;A17,Data_Ventas!$A$2:$A1001,"&lt;="&amp;A17+6,Data_Ventas!$H$2:$H1001,"Venta")</f>
        <v>0</v>
      </c>
      <c r="K17" s="51">
        <f>SUMIFS(Data_Ventas!$N$2:$N1001,Data_Ventas!$A$2:$A1001,"&gt;="&amp;A17,Data_Ventas!$A$2:$A1001,"&lt;="&amp;A17+6,Data_Ventas!$H$2:$H1001,"Venta")</f>
        <v>0</v>
      </c>
      <c r="L17" s="52">
        <f t="shared" si="1"/>
        <v>0</v>
      </c>
    </row>
    <row r="18">
      <c r="A18" s="82">
        <f t="shared" si="2"/>
        <v>46306</v>
      </c>
      <c r="B18" s="41">
        <f>IFERROR(LET(meta,SUMIFS(Meta!$N$5:$N$16,Meta!$A$5:$A$16,"&gt;="&amp;EOMONTH($A18,-1)+1,Meta!$A$5:$A$16,"&lt;="&amp;EOMONTH($A18,0)),semanas,COUNTIFS($A$5:$A$35,"&gt;="&amp;EOMONTH($A18,-1)+1,$A$5:$A$35,"&lt;="&amp;EOMONTH($A18,0)),posicion,COUNTIFS($A$5:$A18,"&gt;="&amp;EOMONTH($A18,-1)+1,$A$5:$A18,"&lt;="&amp;EOMONTH($A18,0)),QUOTIENT(meta,semanas)+IF(posicion&lt;=MOD(meta,semanas),1,0)),"")</f>
        <v>81</v>
      </c>
      <c r="C18" s="41">
        <f>IFERROR(LET(meta,SUMIFS(Meta!$P$5:$P$16,Meta!$A$5:$A$16,"&gt;="&amp;EOMONTH($A18,-1)+1,Meta!$A$5:$A$16,"&lt;="&amp;EOMONTH($A18,0)),semanas,COUNTIFS($A$5:$A$35,"&gt;="&amp;EOMONTH($A18,-1)+1,$A$5:$A$35,"&lt;="&amp;EOMONTH($A18,0)),posicion,COUNTIFS($A$5:$A18,"&gt;="&amp;EOMONTH($A18,-1)+1,$A$5:$A18,"&lt;="&amp;EOMONTH($A18,0)),QUOTIENT(meta,semanas)+IF(posicion&lt;=MOD(meta,semanas),1,0)),"")</f>
        <v>10</v>
      </c>
      <c r="D18" s="41">
        <f>IFERROR(LET(meta,SUMIFS(Meta!$Q$5:$Q$16,Meta!$A$5:$A$16,"&gt;="&amp;EOMONTH($A18,-1)+1,Meta!$A$5:$A$16,"&lt;="&amp;EOMONTH($A18,0)),semanas,COUNTIFS($A$5:$A$35,"&gt;="&amp;EOMONTH($A18,-1)+1,$A$5:$A$35,"&lt;="&amp;EOMONTH($A18,0)),posicion,COUNTIFS($A$5:$A18,"&gt;="&amp;EOMONTH($A18,-1)+1,$A$5:$A18,"&lt;="&amp;EOMONTH($A18,0)),QUOTIENT(meta,semanas)+IF(posicion&lt;=MOD(meta,semanas),1,0)),"")</f>
        <v>3</v>
      </c>
      <c r="E18" s="41">
        <f>IFERROR(LET(meta,SUMIFS(Meta!$C$5:$C$16,Meta!$A$5:$A$16,"&gt;="&amp;EOMONTH($A18,-1)+1,Meta!$A$5:$A$16,"&lt;="&amp;EOMONTH($A18,0)),semanas,COUNTIFS($A$5:$A$35,"&gt;="&amp;EOMONTH($A18,-1)+1,$A$5:$A$35,"&lt;="&amp;EOMONTH($A18,0)),posicion,COUNTIFS($A$5:$A18,"&gt;="&amp;EOMONTH($A18,-1)+1,$A$5:$A18,"&lt;="&amp;EOMONTH($A18,0)),QUOTIENT(meta,semanas)+IF(posicion&lt;=MOD(meta,semanas),1,0)),"")</f>
        <v>3</v>
      </c>
      <c r="F18" s="50">
        <f>IFERROR(SUMIFS(Meta!$B$5:$B$16,Meta!$A$5:$A$16,"&gt;="&amp;EOMONTH($A18,-1)+1,Meta!$A$5:$A$16,"&lt;="&amp;EOMONTH($A18,0))/COUNTIFS($A$5:$A$35,"&gt;="&amp;EOMONTH($A18,-1)+1,$A$5:$A$35,"&lt;="&amp;EOMONTH($A18,0)),"")</f>
        <v>100000</v>
      </c>
      <c r="G18" s="41">
        <f>COUNTIFS(Data_Ventas!$E$2:$E1001,"&gt;="&amp;A18,Data_Ventas!$E$2:$E1001,"&lt;="&amp;A18+6)</f>
        <v>0</v>
      </c>
      <c r="H18" s="41">
        <f>COUNTIFS(Data_Ventas!$A$2:$A1001,"&gt;="&amp;A18,Data_Ventas!$A$2:$A1001,"&lt;="&amp;A18+6,Data_Ventas!$H$2:$H1001,"Visitó proyecto")</f>
        <v>0</v>
      </c>
      <c r="I18" s="41">
        <f>COUNTIFS(Data_Ventas!$A$2:$A1001,"&gt;="&amp;A18,Data_Ventas!$A$2:$A1001,"&lt;="&amp;A18+6,Data_Ventas!$H$2:$H1001,"Separado")</f>
        <v>0</v>
      </c>
      <c r="J18" s="41">
        <f>COUNTIFS(Data_Ventas!$A$2:$A1001,"&gt;="&amp;A18,Data_Ventas!$A$2:$A1001,"&lt;="&amp;A18+6,Data_Ventas!$H$2:$H1001,"Venta")</f>
        <v>0</v>
      </c>
      <c r="K18" s="51">
        <f>SUMIFS(Data_Ventas!$N$2:$N1001,Data_Ventas!$A$2:$A1001,"&gt;="&amp;A18,Data_Ventas!$A$2:$A1001,"&lt;="&amp;A18+6,Data_Ventas!$H$2:$H1001,"Venta")</f>
        <v>0</v>
      </c>
      <c r="L18" s="52">
        <f t="shared" si="1"/>
        <v>0</v>
      </c>
    </row>
    <row r="19">
      <c r="A19" s="82">
        <f t="shared" si="2"/>
        <v>46313</v>
      </c>
      <c r="B19" s="41">
        <f>IFERROR(LET(meta,SUMIFS(Meta!$N$5:$N$16,Meta!$A$5:$A$16,"&gt;="&amp;EOMONTH($A19,-1)+1,Meta!$A$5:$A$16,"&lt;="&amp;EOMONTH($A19,0)),semanas,COUNTIFS($A$5:$A$35,"&gt;="&amp;EOMONTH($A19,-1)+1,$A$5:$A$35,"&lt;="&amp;EOMONTH($A19,0)),posicion,COUNTIFS($A$5:$A19,"&gt;="&amp;EOMONTH($A19,-1)+1,$A$5:$A19,"&lt;="&amp;EOMONTH($A19,0)),QUOTIENT(meta,semanas)+IF(posicion&lt;=MOD(meta,semanas),1,0)),"")</f>
        <v>81</v>
      </c>
      <c r="C19" s="41">
        <f>IFERROR(LET(meta,SUMIFS(Meta!$P$5:$P$16,Meta!$A$5:$A$16,"&gt;="&amp;EOMONTH($A19,-1)+1,Meta!$A$5:$A$16,"&lt;="&amp;EOMONTH($A19,0)),semanas,COUNTIFS($A$5:$A$35,"&gt;="&amp;EOMONTH($A19,-1)+1,$A$5:$A$35,"&lt;="&amp;EOMONTH($A19,0)),posicion,COUNTIFS($A$5:$A19,"&gt;="&amp;EOMONTH($A19,-1)+1,$A$5:$A19,"&lt;="&amp;EOMONTH($A19,0)),QUOTIENT(meta,semanas)+IF(posicion&lt;=MOD(meta,semanas),1,0)),"")</f>
        <v>10</v>
      </c>
      <c r="D19" s="41">
        <f>IFERROR(LET(meta,SUMIFS(Meta!$Q$5:$Q$16,Meta!$A$5:$A$16,"&gt;="&amp;EOMONTH($A19,-1)+1,Meta!$A$5:$A$16,"&lt;="&amp;EOMONTH($A19,0)),semanas,COUNTIFS($A$5:$A$35,"&gt;="&amp;EOMONTH($A19,-1)+1,$A$5:$A$35,"&lt;="&amp;EOMONTH($A19,0)),posicion,COUNTIFS($A$5:$A19,"&gt;="&amp;EOMONTH($A19,-1)+1,$A$5:$A19,"&lt;="&amp;EOMONTH($A19,0)),QUOTIENT(meta,semanas)+IF(posicion&lt;=MOD(meta,semanas),1,0)),"")</f>
        <v>3</v>
      </c>
      <c r="E19" s="41">
        <f>IFERROR(LET(meta,SUMIFS(Meta!$C$5:$C$16,Meta!$A$5:$A$16,"&gt;="&amp;EOMONTH($A19,-1)+1,Meta!$A$5:$A$16,"&lt;="&amp;EOMONTH($A19,0)),semanas,COUNTIFS($A$5:$A$35,"&gt;="&amp;EOMONTH($A19,-1)+1,$A$5:$A$35,"&lt;="&amp;EOMONTH($A19,0)),posicion,COUNTIFS($A$5:$A19,"&gt;="&amp;EOMONTH($A19,-1)+1,$A$5:$A19,"&lt;="&amp;EOMONTH($A19,0)),QUOTIENT(meta,semanas)+IF(posicion&lt;=MOD(meta,semanas),1,0)),"")</f>
        <v>2</v>
      </c>
      <c r="F19" s="50">
        <f>IFERROR(SUMIFS(Meta!$B$5:$B$16,Meta!$A$5:$A$16,"&gt;="&amp;EOMONTH($A19,-1)+1,Meta!$A$5:$A$16,"&lt;="&amp;EOMONTH($A19,0))/COUNTIFS($A$5:$A$35,"&gt;="&amp;EOMONTH($A19,-1)+1,$A$5:$A$35,"&lt;="&amp;EOMONTH($A19,0)),"")</f>
        <v>100000</v>
      </c>
      <c r="G19" s="41">
        <f>COUNTIFS(Data_Ventas!$E$2:$E1001,"&gt;="&amp;A19,Data_Ventas!$E$2:$E1001,"&lt;="&amp;A19+6)</f>
        <v>0</v>
      </c>
      <c r="H19" s="41">
        <f>COUNTIFS(Data_Ventas!$A$2:$A1001,"&gt;="&amp;A19,Data_Ventas!$A$2:$A1001,"&lt;="&amp;A19+6,Data_Ventas!$H$2:$H1001,"Visitó proyecto")</f>
        <v>0</v>
      </c>
      <c r="I19" s="41">
        <f>COUNTIFS(Data_Ventas!$A$2:$A1001,"&gt;="&amp;A19,Data_Ventas!$A$2:$A1001,"&lt;="&amp;A19+6,Data_Ventas!$H$2:$H1001,"Separado")</f>
        <v>0</v>
      </c>
      <c r="J19" s="41">
        <f>COUNTIFS(Data_Ventas!$A$2:$A1001,"&gt;="&amp;A19,Data_Ventas!$A$2:$A1001,"&lt;="&amp;A19+6,Data_Ventas!$H$2:$H1001,"Venta")</f>
        <v>0</v>
      </c>
      <c r="K19" s="51">
        <f>SUMIFS(Data_Ventas!$N$2:$N1001,Data_Ventas!$A$2:$A1001,"&gt;="&amp;A19,Data_Ventas!$A$2:$A1001,"&lt;="&amp;A19+6,Data_Ventas!$H$2:$H1001,"Venta")</f>
        <v>0</v>
      </c>
      <c r="L19" s="52">
        <f t="shared" si="1"/>
        <v>0</v>
      </c>
    </row>
    <row r="20">
      <c r="A20" s="82">
        <f t="shared" si="2"/>
        <v>46320</v>
      </c>
      <c r="B20" s="41">
        <f>IFERROR(LET(meta,SUMIFS(Meta!$N$5:$N$16,Meta!$A$5:$A$16,"&gt;="&amp;EOMONTH($A20,-1)+1,Meta!$A$5:$A$16,"&lt;="&amp;EOMONTH($A20,0)),semanas,COUNTIFS($A$5:$A$35,"&gt;="&amp;EOMONTH($A20,-1)+1,$A$5:$A$35,"&lt;="&amp;EOMONTH($A20,0)),posicion,COUNTIFS($A$5:$A20,"&gt;="&amp;EOMONTH($A20,-1)+1,$A$5:$A20,"&lt;="&amp;EOMONTH($A20,0)),QUOTIENT(meta,semanas)+IF(posicion&lt;=MOD(meta,semanas),1,0)),"")</f>
        <v>81</v>
      </c>
      <c r="C20" s="41">
        <f>IFERROR(LET(meta,SUMIFS(Meta!$P$5:$P$16,Meta!$A$5:$A$16,"&gt;="&amp;EOMONTH($A20,-1)+1,Meta!$A$5:$A$16,"&lt;="&amp;EOMONTH($A20,0)),semanas,COUNTIFS($A$5:$A$35,"&gt;="&amp;EOMONTH($A20,-1)+1,$A$5:$A$35,"&lt;="&amp;EOMONTH($A20,0)),posicion,COUNTIFS($A$5:$A20,"&gt;="&amp;EOMONTH($A20,-1)+1,$A$5:$A20,"&lt;="&amp;EOMONTH($A20,0)),QUOTIENT(meta,semanas)+IF(posicion&lt;=MOD(meta,semanas),1,0)),"")</f>
        <v>9</v>
      </c>
      <c r="D20" s="41">
        <f>IFERROR(LET(meta,SUMIFS(Meta!$Q$5:$Q$16,Meta!$A$5:$A$16,"&gt;="&amp;EOMONTH($A20,-1)+1,Meta!$A$5:$A$16,"&lt;="&amp;EOMONTH($A20,0)),semanas,COUNTIFS($A$5:$A$35,"&gt;="&amp;EOMONTH($A20,-1)+1,$A$5:$A$35,"&lt;="&amp;EOMONTH($A20,0)),posicion,COUNTIFS($A$5:$A20,"&gt;="&amp;EOMONTH($A20,-1)+1,$A$5:$A20,"&lt;="&amp;EOMONTH($A20,0)),QUOTIENT(meta,semanas)+IF(posicion&lt;=MOD(meta,semanas),1,0)),"")</f>
        <v>3</v>
      </c>
      <c r="E20" s="41">
        <f>IFERROR(LET(meta,SUMIFS(Meta!$C$5:$C$16,Meta!$A$5:$A$16,"&gt;="&amp;EOMONTH($A20,-1)+1,Meta!$A$5:$A$16,"&lt;="&amp;EOMONTH($A20,0)),semanas,COUNTIFS($A$5:$A$35,"&gt;="&amp;EOMONTH($A20,-1)+1,$A$5:$A$35,"&lt;="&amp;EOMONTH($A20,0)),posicion,COUNTIFS($A$5:$A20,"&gt;="&amp;EOMONTH($A20,-1)+1,$A$5:$A20,"&lt;="&amp;EOMONTH($A20,0)),QUOTIENT(meta,semanas)+IF(posicion&lt;=MOD(meta,semanas),1,0)),"")</f>
        <v>2</v>
      </c>
      <c r="F20" s="50">
        <f>IFERROR(SUMIFS(Meta!$B$5:$B$16,Meta!$A$5:$A$16,"&gt;="&amp;EOMONTH($A20,-1)+1,Meta!$A$5:$A$16,"&lt;="&amp;EOMONTH($A20,0))/COUNTIFS($A$5:$A$35,"&gt;="&amp;EOMONTH($A20,-1)+1,$A$5:$A$35,"&lt;="&amp;EOMONTH($A20,0)),"")</f>
        <v>100000</v>
      </c>
      <c r="G20" s="41">
        <f>COUNTIFS(Data_Ventas!$E$2:$E1001,"&gt;="&amp;A20,Data_Ventas!$E$2:$E1001,"&lt;="&amp;A20+6)</f>
        <v>0</v>
      </c>
      <c r="H20" s="41">
        <f>COUNTIFS(Data_Ventas!$A$2:$A1001,"&gt;="&amp;A20,Data_Ventas!$A$2:$A1001,"&lt;="&amp;A20+6,Data_Ventas!$H$2:$H1001,"Visitó proyecto")</f>
        <v>0</v>
      </c>
      <c r="I20" s="41">
        <f>COUNTIFS(Data_Ventas!$A$2:$A1001,"&gt;="&amp;A20,Data_Ventas!$A$2:$A1001,"&lt;="&amp;A20+6,Data_Ventas!$H$2:$H1001,"Separado")</f>
        <v>0</v>
      </c>
      <c r="J20" s="41">
        <f>COUNTIFS(Data_Ventas!$A$2:$A1001,"&gt;="&amp;A20,Data_Ventas!$A$2:$A1001,"&lt;="&amp;A20+6,Data_Ventas!$H$2:$H1001,"Venta")</f>
        <v>0</v>
      </c>
      <c r="K20" s="51">
        <f>SUMIFS(Data_Ventas!$N$2:$N1001,Data_Ventas!$A$2:$A1001,"&gt;="&amp;A20,Data_Ventas!$A$2:$A1001,"&lt;="&amp;A20+6,Data_Ventas!$H$2:$H1001,"Venta")</f>
        <v>0</v>
      </c>
      <c r="L20" s="52">
        <f t="shared" si="1"/>
        <v>0</v>
      </c>
    </row>
    <row r="21">
      <c r="A21" s="82">
        <f t="shared" si="2"/>
        <v>46327</v>
      </c>
      <c r="B21" s="41">
        <f>IFERROR(LET(meta,SUMIFS(Meta!$N$5:$N$16,Meta!$A$5:$A$16,"&gt;="&amp;EOMONTH($A21,-1)+1,Meta!$A$5:$A$16,"&lt;="&amp;EOMONTH($A21,0)),semanas,COUNTIFS($A$5:$A$35,"&gt;="&amp;EOMONTH($A21,-1)+1,$A$5:$A$35,"&lt;="&amp;EOMONTH($A21,0)),posicion,COUNTIFS($A$5:$A21,"&gt;="&amp;EOMONTH($A21,-1)+1,$A$5:$A21,"&lt;="&amp;EOMONTH($A21,0)),QUOTIENT(meta,semanas)+IF(posicion&lt;=MOD(meta,semanas),1,0)),"")</f>
        <v>65</v>
      </c>
      <c r="C21" s="41">
        <f>IFERROR(LET(meta,SUMIFS(Meta!$P$5:$P$16,Meta!$A$5:$A$16,"&gt;="&amp;EOMONTH($A21,-1)+1,Meta!$A$5:$A$16,"&lt;="&amp;EOMONTH($A21,0)),semanas,COUNTIFS($A$5:$A$35,"&gt;="&amp;EOMONTH($A21,-1)+1,$A$5:$A$35,"&lt;="&amp;EOMONTH($A21,0)),posicion,COUNTIFS($A$5:$A21,"&gt;="&amp;EOMONTH($A21,-1)+1,$A$5:$A21,"&lt;="&amp;EOMONTH($A21,0)),QUOTIENT(meta,semanas)+IF(posicion&lt;=MOD(meta,semanas),1,0)),"")</f>
        <v>8</v>
      </c>
      <c r="D21" s="41">
        <f>IFERROR(LET(meta,SUMIFS(Meta!$Q$5:$Q$16,Meta!$A$5:$A$16,"&gt;="&amp;EOMONTH($A21,-1)+1,Meta!$A$5:$A$16,"&lt;="&amp;EOMONTH($A21,0)),semanas,COUNTIFS($A$5:$A$35,"&gt;="&amp;EOMONTH($A21,-1)+1,$A$5:$A$35,"&lt;="&amp;EOMONTH($A21,0)),posicion,COUNTIFS($A$5:$A21,"&gt;="&amp;EOMONTH($A21,-1)+1,$A$5:$A21,"&lt;="&amp;EOMONTH($A21,0)),QUOTIENT(meta,semanas)+IF(posicion&lt;=MOD(meta,semanas),1,0)),"")</f>
        <v>3</v>
      </c>
      <c r="E21" s="41">
        <f>IFERROR(LET(meta,SUMIFS(Meta!$C$5:$C$16,Meta!$A$5:$A$16,"&gt;="&amp;EOMONTH($A21,-1)+1,Meta!$A$5:$A$16,"&lt;="&amp;EOMONTH($A21,0)),semanas,COUNTIFS($A$5:$A$35,"&gt;="&amp;EOMONTH($A21,-1)+1,$A$5:$A$35,"&lt;="&amp;EOMONTH($A21,0)),posicion,COUNTIFS($A$5:$A21,"&gt;="&amp;EOMONTH($A21,-1)+1,$A$5:$A21,"&lt;="&amp;EOMONTH($A21,0)),QUOTIENT(meta,semanas)+IF(posicion&lt;=MOD(meta,semanas),1,0)),"")</f>
        <v>2</v>
      </c>
      <c r="F21" s="50">
        <f>IFERROR(SUMIFS(Meta!$B$5:$B$16,Meta!$A$5:$A$16,"&gt;="&amp;EOMONTH($A21,-1)+1,Meta!$A$5:$A$16,"&lt;="&amp;EOMONTH($A21,0))/COUNTIFS($A$5:$A$35,"&gt;="&amp;EOMONTH($A21,-1)+1,$A$5:$A$35,"&lt;="&amp;EOMONTH($A21,0)),"")</f>
        <v>80000</v>
      </c>
      <c r="G21" s="41">
        <f>COUNTIFS(Data_Ventas!$E$2:$E1001,"&gt;="&amp;A21,Data_Ventas!$E$2:$E1001,"&lt;="&amp;A21+6)</f>
        <v>0</v>
      </c>
      <c r="H21" s="41">
        <f>COUNTIFS(Data_Ventas!$A$2:$A1001,"&gt;="&amp;A21,Data_Ventas!$A$2:$A1001,"&lt;="&amp;A21+6,Data_Ventas!$H$2:$H1001,"Visitó proyecto")</f>
        <v>0</v>
      </c>
      <c r="I21" s="41">
        <f>COUNTIFS(Data_Ventas!$A$2:$A1001,"&gt;="&amp;A21,Data_Ventas!$A$2:$A1001,"&lt;="&amp;A21+6,Data_Ventas!$H$2:$H1001,"Separado")</f>
        <v>0</v>
      </c>
      <c r="J21" s="41">
        <f>COUNTIFS(Data_Ventas!$A$2:$A1001,"&gt;="&amp;A21,Data_Ventas!$A$2:$A1001,"&lt;="&amp;A21+6,Data_Ventas!$H$2:$H1001,"Venta")</f>
        <v>0</v>
      </c>
      <c r="K21" s="51">
        <f>SUMIFS(Data_Ventas!$N$2:$N1001,Data_Ventas!$A$2:$A1001,"&gt;="&amp;A21,Data_Ventas!$A$2:$A1001,"&lt;="&amp;A21+6,Data_Ventas!$H$2:$H1001,"Venta")</f>
        <v>0</v>
      </c>
      <c r="L21" s="52">
        <f t="shared" si="1"/>
        <v>0</v>
      </c>
    </row>
    <row r="22" ht="15.75" customHeight="1">
      <c r="A22" s="82">
        <f t="shared" si="2"/>
        <v>46334</v>
      </c>
      <c r="B22" s="41">
        <f>IFERROR(LET(meta,SUMIFS(Meta!$N$5:$N$16,Meta!$A$5:$A$16,"&gt;="&amp;EOMONTH($A22,-1)+1,Meta!$A$5:$A$16,"&lt;="&amp;EOMONTH($A22,0)),semanas,COUNTIFS($A$5:$A$35,"&gt;="&amp;EOMONTH($A22,-1)+1,$A$5:$A$35,"&lt;="&amp;EOMONTH($A22,0)),posicion,COUNTIFS($A$5:$A22,"&gt;="&amp;EOMONTH($A22,-1)+1,$A$5:$A22,"&lt;="&amp;EOMONTH($A22,0)),QUOTIENT(meta,semanas)+IF(posicion&lt;=MOD(meta,semanas),1,0)),"")</f>
        <v>65</v>
      </c>
      <c r="C22" s="41">
        <f>IFERROR(LET(meta,SUMIFS(Meta!$P$5:$P$16,Meta!$A$5:$A$16,"&gt;="&amp;EOMONTH($A22,-1)+1,Meta!$A$5:$A$16,"&lt;="&amp;EOMONTH($A22,0)),semanas,COUNTIFS($A$5:$A$35,"&gt;="&amp;EOMONTH($A22,-1)+1,$A$5:$A$35,"&lt;="&amp;EOMONTH($A22,0)),posicion,COUNTIFS($A$5:$A22,"&gt;="&amp;EOMONTH($A22,-1)+1,$A$5:$A22,"&lt;="&amp;EOMONTH($A22,0)),QUOTIENT(meta,semanas)+IF(posicion&lt;=MOD(meta,semanas),1,0)),"")</f>
        <v>8</v>
      </c>
      <c r="D22" s="41">
        <f>IFERROR(LET(meta,SUMIFS(Meta!$Q$5:$Q$16,Meta!$A$5:$A$16,"&gt;="&amp;EOMONTH($A22,-1)+1,Meta!$A$5:$A$16,"&lt;="&amp;EOMONTH($A22,0)),semanas,COUNTIFS($A$5:$A$35,"&gt;="&amp;EOMONTH($A22,-1)+1,$A$5:$A$35,"&lt;="&amp;EOMONTH($A22,0)),posicion,COUNTIFS($A$5:$A22,"&gt;="&amp;EOMONTH($A22,-1)+1,$A$5:$A22,"&lt;="&amp;EOMONTH($A22,0)),QUOTIENT(meta,semanas)+IF(posicion&lt;=MOD(meta,semanas),1,0)),"")</f>
        <v>3</v>
      </c>
      <c r="E22" s="41">
        <f>IFERROR(LET(meta,SUMIFS(Meta!$C$5:$C$16,Meta!$A$5:$A$16,"&gt;="&amp;EOMONTH($A22,-1)+1,Meta!$A$5:$A$16,"&lt;="&amp;EOMONTH($A22,0)),semanas,COUNTIFS($A$5:$A$35,"&gt;="&amp;EOMONTH($A22,-1)+1,$A$5:$A$35,"&lt;="&amp;EOMONTH($A22,0)),posicion,COUNTIFS($A$5:$A22,"&gt;="&amp;EOMONTH($A22,-1)+1,$A$5:$A22,"&lt;="&amp;EOMONTH($A22,0)),QUOTIENT(meta,semanas)+IF(posicion&lt;=MOD(meta,semanas),1,0)),"")</f>
        <v>2</v>
      </c>
      <c r="F22" s="50">
        <f>IFERROR(SUMIFS(Meta!$B$5:$B$16,Meta!$A$5:$A$16,"&gt;="&amp;EOMONTH($A22,-1)+1,Meta!$A$5:$A$16,"&lt;="&amp;EOMONTH($A22,0))/COUNTIFS($A$5:$A$35,"&gt;="&amp;EOMONTH($A22,-1)+1,$A$5:$A$35,"&lt;="&amp;EOMONTH($A22,0)),"")</f>
        <v>80000</v>
      </c>
      <c r="G22" s="41">
        <f>COUNTIFS(Data_Ventas!$E$2:$E1001,"&gt;="&amp;A22,Data_Ventas!$E$2:$E1001,"&lt;="&amp;A22+6)</f>
        <v>0</v>
      </c>
      <c r="H22" s="41">
        <f>COUNTIFS(Data_Ventas!$A$2:$A1001,"&gt;="&amp;A22,Data_Ventas!$A$2:$A1001,"&lt;="&amp;A22+6,Data_Ventas!$H$2:$H1001,"Visitó proyecto")</f>
        <v>0</v>
      </c>
      <c r="I22" s="41">
        <f>COUNTIFS(Data_Ventas!$A$2:$A1001,"&gt;="&amp;A22,Data_Ventas!$A$2:$A1001,"&lt;="&amp;A22+6,Data_Ventas!$H$2:$H1001,"Separado")</f>
        <v>0</v>
      </c>
      <c r="J22" s="41">
        <f>COUNTIFS(Data_Ventas!$A$2:$A1001,"&gt;="&amp;A22,Data_Ventas!$A$2:$A1001,"&lt;="&amp;A22+6,Data_Ventas!$H$2:$H1001,"Venta")</f>
        <v>0</v>
      </c>
      <c r="K22" s="51">
        <f>SUMIFS(Data_Ventas!$N$2:$N1001,Data_Ventas!$A$2:$A1001,"&gt;="&amp;A22,Data_Ventas!$A$2:$A1001,"&lt;="&amp;A22+6,Data_Ventas!$H$2:$H1001,"Venta")</f>
        <v>0</v>
      </c>
      <c r="L22" s="52">
        <f t="shared" si="1"/>
        <v>0</v>
      </c>
    </row>
    <row r="23" ht="15.75" customHeight="1">
      <c r="A23" s="82">
        <f t="shared" si="2"/>
        <v>46341</v>
      </c>
      <c r="B23" s="41">
        <f>IFERROR(LET(meta,SUMIFS(Meta!$N$5:$N$16,Meta!$A$5:$A$16,"&gt;="&amp;EOMONTH($A23,-1)+1,Meta!$A$5:$A$16,"&lt;="&amp;EOMONTH($A23,0)),semanas,COUNTIFS($A$5:$A$35,"&gt;="&amp;EOMONTH($A23,-1)+1,$A$5:$A$35,"&lt;="&amp;EOMONTH($A23,0)),posicion,COUNTIFS($A$5:$A23,"&gt;="&amp;EOMONTH($A23,-1)+1,$A$5:$A23,"&lt;="&amp;EOMONTH($A23,0)),QUOTIENT(meta,semanas)+IF(posicion&lt;=MOD(meta,semanas),1,0)),"")</f>
        <v>65</v>
      </c>
      <c r="C23" s="41">
        <f>IFERROR(LET(meta,SUMIFS(Meta!$P$5:$P$16,Meta!$A$5:$A$16,"&gt;="&amp;EOMONTH($A23,-1)+1,Meta!$A$5:$A$16,"&lt;="&amp;EOMONTH($A23,0)),semanas,COUNTIFS($A$5:$A$35,"&gt;="&amp;EOMONTH($A23,-1)+1,$A$5:$A$35,"&lt;="&amp;EOMONTH($A23,0)),posicion,COUNTIFS($A$5:$A23,"&gt;="&amp;EOMONTH($A23,-1)+1,$A$5:$A23,"&lt;="&amp;EOMONTH($A23,0)),QUOTIENT(meta,semanas)+IF(posicion&lt;=MOD(meta,semanas),1,0)),"")</f>
        <v>8</v>
      </c>
      <c r="D23" s="41">
        <f>IFERROR(LET(meta,SUMIFS(Meta!$Q$5:$Q$16,Meta!$A$5:$A$16,"&gt;="&amp;EOMONTH($A23,-1)+1,Meta!$A$5:$A$16,"&lt;="&amp;EOMONTH($A23,0)),semanas,COUNTIFS($A$5:$A$35,"&gt;="&amp;EOMONTH($A23,-1)+1,$A$5:$A$35,"&lt;="&amp;EOMONTH($A23,0)),posicion,COUNTIFS($A$5:$A23,"&gt;="&amp;EOMONTH($A23,-1)+1,$A$5:$A23,"&lt;="&amp;EOMONTH($A23,0)),QUOTIENT(meta,semanas)+IF(posicion&lt;=MOD(meta,semanas),1,0)),"")</f>
        <v>3</v>
      </c>
      <c r="E23" s="41">
        <f>IFERROR(LET(meta,SUMIFS(Meta!$C$5:$C$16,Meta!$A$5:$A$16,"&gt;="&amp;EOMONTH($A23,-1)+1,Meta!$A$5:$A$16,"&lt;="&amp;EOMONTH($A23,0)),semanas,COUNTIFS($A$5:$A$35,"&gt;="&amp;EOMONTH($A23,-1)+1,$A$5:$A$35,"&lt;="&amp;EOMONTH($A23,0)),posicion,COUNTIFS($A$5:$A23,"&gt;="&amp;EOMONTH($A23,-1)+1,$A$5:$A23,"&lt;="&amp;EOMONTH($A23,0)),QUOTIENT(meta,semanas)+IF(posicion&lt;=MOD(meta,semanas),1,0)),"")</f>
        <v>2</v>
      </c>
      <c r="F23" s="50">
        <f>IFERROR(SUMIFS(Meta!$B$5:$B$16,Meta!$A$5:$A$16,"&gt;="&amp;EOMONTH($A23,-1)+1,Meta!$A$5:$A$16,"&lt;="&amp;EOMONTH($A23,0))/COUNTIFS($A$5:$A$35,"&gt;="&amp;EOMONTH($A23,-1)+1,$A$5:$A$35,"&lt;="&amp;EOMONTH($A23,0)),"")</f>
        <v>80000</v>
      </c>
      <c r="G23" s="41">
        <f>COUNTIFS(Data_Ventas!$E$2:$E1001,"&gt;="&amp;A23,Data_Ventas!$E$2:$E1001,"&lt;="&amp;A23+6)</f>
        <v>0</v>
      </c>
      <c r="H23" s="41">
        <f>COUNTIFS(Data_Ventas!$A$2:$A1001,"&gt;="&amp;A23,Data_Ventas!$A$2:$A1001,"&lt;="&amp;A23+6,Data_Ventas!$H$2:$H1001,"Visitó proyecto")</f>
        <v>0</v>
      </c>
      <c r="I23" s="41">
        <f>COUNTIFS(Data_Ventas!$A$2:$A1001,"&gt;="&amp;A23,Data_Ventas!$A$2:$A1001,"&lt;="&amp;A23+6,Data_Ventas!$H$2:$H1001,"Separado")</f>
        <v>0</v>
      </c>
      <c r="J23" s="41">
        <f>COUNTIFS(Data_Ventas!$A$2:$A1001,"&gt;="&amp;A23,Data_Ventas!$A$2:$A1001,"&lt;="&amp;A23+6,Data_Ventas!$H$2:$H1001,"Venta")</f>
        <v>0</v>
      </c>
      <c r="K23" s="51">
        <f>SUMIFS(Data_Ventas!$N$2:$N1001,Data_Ventas!$A$2:$A1001,"&gt;="&amp;A23,Data_Ventas!$A$2:$A1001,"&lt;="&amp;A23+6,Data_Ventas!$H$2:$H1001,"Venta")</f>
        <v>0</v>
      </c>
      <c r="L23" s="52">
        <f t="shared" si="1"/>
        <v>0</v>
      </c>
    </row>
    <row r="24" ht="15.75" customHeight="1">
      <c r="A24" s="82">
        <f t="shared" si="2"/>
        <v>46348</v>
      </c>
      <c r="B24" s="41">
        <f>IFERROR(LET(meta,SUMIFS(Meta!$N$5:$N$16,Meta!$A$5:$A$16,"&gt;="&amp;EOMONTH($A24,-1)+1,Meta!$A$5:$A$16,"&lt;="&amp;EOMONTH($A24,0)),semanas,COUNTIFS($A$5:$A$35,"&gt;="&amp;EOMONTH($A24,-1)+1,$A$5:$A$35,"&lt;="&amp;EOMONTH($A24,0)),posicion,COUNTIFS($A$5:$A24,"&gt;="&amp;EOMONTH($A24,-1)+1,$A$5:$A24,"&lt;="&amp;EOMONTH($A24,0)),QUOTIENT(meta,semanas)+IF(posicion&lt;=MOD(meta,semanas),1,0)),"")</f>
        <v>65</v>
      </c>
      <c r="C24" s="41">
        <f>IFERROR(LET(meta,SUMIFS(Meta!$P$5:$P$16,Meta!$A$5:$A$16,"&gt;="&amp;EOMONTH($A24,-1)+1,Meta!$A$5:$A$16,"&lt;="&amp;EOMONTH($A24,0)),semanas,COUNTIFS($A$5:$A$35,"&gt;="&amp;EOMONTH($A24,-1)+1,$A$5:$A$35,"&lt;="&amp;EOMONTH($A24,0)),posicion,COUNTIFS($A$5:$A24,"&gt;="&amp;EOMONTH($A24,-1)+1,$A$5:$A24,"&lt;="&amp;EOMONTH($A24,0)),QUOTIENT(meta,semanas)+IF(posicion&lt;=MOD(meta,semanas),1,0)),"")</f>
        <v>8</v>
      </c>
      <c r="D24" s="41">
        <f>IFERROR(LET(meta,SUMIFS(Meta!$Q$5:$Q$16,Meta!$A$5:$A$16,"&gt;="&amp;EOMONTH($A24,-1)+1,Meta!$A$5:$A$16,"&lt;="&amp;EOMONTH($A24,0)),semanas,COUNTIFS($A$5:$A$35,"&gt;="&amp;EOMONTH($A24,-1)+1,$A$5:$A$35,"&lt;="&amp;EOMONTH($A24,0)),posicion,COUNTIFS($A$5:$A24,"&gt;="&amp;EOMONTH($A24,-1)+1,$A$5:$A24,"&lt;="&amp;EOMONTH($A24,0)),QUOTIENT(meta,semanas)+IF(posicion&lt;=MOD(meta,semanas),1,0)),"")</f>
        <v>2</v>
      </c>
      <c r="E24" s="41">
        <f>IFERROR(LET(meta,SUMIFS(Meta!$C$5:$C$16,Meta!$A$5:$A$16,"&gt;="&amp;EOMONTH($A24,-1)+1,Meta!$A$5:$A$16,"&lt;="&amp;EOMONTH($A24,0)),semanas,COUNTIFS($A$5:$A$35,"&gt;="&amp;EOMONTH($A24,-1)+1,$A$5:$A$35,"&lt;="&amp;EOMONTH($A24,0)),posicion,COUNTIFS($A$5:$A24,"&gt;="&amp;EOMONTH($A24,-1)+1,$A$5:$A24,"&lt;="&amp;EOMONTH($A24,0)),QUOTIENT(meta,semanas)+IF(posicion&lt;=MOD(meta,semanas),1,0)),"")</f>
        <v>2</v>
      </c>
      <c r="F24" s="50">
        <f>IFERROR(SUMIFS(Meta!$B$5:$B$16,Meta!$A$5:$A$16,"&gt;="&amp;EOMONTH($A24,-1)+1,Meta!$A$5:$A$16,"&lt;="&amp;EOMONTH($A24,0))/COUNTIFS($A$5:$A$35,"&gt;="&amp;EOMONTH($A24,-1)+1,$A$5:$A$35,"&lt;="&amp;EOMONTH($A24,0)),"")</f>
        <v>80000</v>
      </c>
      <c r="G24" s="41">
        <f>COUNTIFS(Data_Ventas!$E$2:$E1001,"&gt;="&amp;A24,Data_Ventas!$E$2:$E1001,"&lt;="&amp;A24+6)</f>
        <v>0</v>
      </c>
      <c r="H24" s="41">
        <f>COUNTIFS(Data_Ventas!$A$2:$A1001,"&gt;="&amp;A24,Data_Ventas!$A$2:$A1001,"&lt;="&amp;A24+6,Data_Ventas!$H$2:$H1001,"Visitó proyecto")</f>
        <v>0</v>
      </c>
      <c r="I24" s="41">
        <f>COUNTIFS(Data_Ventas!$A$2:$A1001,"&gt;="&amp;A24,Data_Ventas!$A$2:$A1001,"&lt;="&amp;A24+6,Data_Ventas!$H$2:$H1001,"Separado")</f>
        <v>0</v>
      </c>
      <c r="J24" s="41">
        <f>COUNTIFS(Data_Ventas!$A$2:$A1001,"&gt;="&amp;A24,Data_Ventas!$A$2:$A1001,"&lt;="&amp;A24+6,Data_Ventas!$H$2:$H1001,"Venta")</f>
        <v>0</v>
      </c>
      <c r="K24" s="51">
        <f>SUMIFS(Data_Ventas!$N$2:$N1001,Data_Ventas!$A$2:$A1001,"&gt;="&amp;A24,Data_Ventas!$A$2:$A1001,"&lt;="&amp;A24+6,Data_Ventas!$H$2:$H1001,"Venta")</f>
        <v>0</v>
      </c>
      <c r="L24" s="52">
        <f t="shared" si="1"/>
        <v>0</v>
      </c>
    </row>
    <row r="25" ht="15.75" customHeight="1">
      <c r="A25" s="82">
        <f t="shared" si="2"/>
        <v>46355</v>
      </c>
      <c r="B25" s="41">
        <f>IFERROR(LET(meta,SUMIFS(Meta!$N$5:$N$16,Meta!$A$5:$A$16,"&gt;="&amp;EOMONTH($A25,-1)+1,Meta!$A$5:$A$16,"&lt;="&amp;EOMONTH($A25,0)),semanas,COUNTIFS($A$5:$A$35,"&gt;="&amp;EOMONTH($A25,-1)+1,$A$5:$A$35,"&lt;="&amp;EOMONTH($A25,0)),posicion,COUNTIFS($A$5:$A25,"&gt;="&amp;EOMONTH($A25,-1)+1,$A$5:$A25,"&lt;="&amp;EOMONTH($A25,0)),QUOTIENT(meta,semanas)+IF(posicion&lt;=MOD(meta,semanas),1,0)),"")</f>
        <v>65</v>
      </c>
      <c r="C25" s="41">
        <f>IFERROR(LET(meta,SUMIFS(Meta!$P$5:$P$16,Meta!$A$5:$A$16,"&gt;="&amp;EOMONTH($A25,-1)+1,Meta!$A$5:$A$16,"&lt;="&amp;EOMONTH($A25,0)),semanas,COUNTIFS($A$5:$A$35,"&gt;="&amp;EOMONTH($A25,-1)+1,$A$5:$A$35,"&lt;="&amp;EOMONTH($A25,0)),posicion,COUNTIFS($A$5:$A25,"&gt;="&amp;EOMONTH($A25,-1)+1,$A$5:$A25,"&lt;="&amp;EOMONTH($A25,0)),QUOTIENT(meta,semanas)+IF(posicion&lt;=MOD(meta,semanas),1,0)),"")</f>
        <v>7</v>
      </c>
      <c r="D25" s="41">
        <f>IFERROR(LET(meta,SUMIFS(Meta!$Q$5:$Q$16,Meta!$A$5:$A$16,"&gt;="&amp;EOMONTH($A25,-1)+1,Meta!$A$5:$A$16,"&lt;="&amp;EOMONTH($A25,0)),semanas,COUNTIFS($A$5:$A$35,"&gt;="&amp;EOMONTH($A25,-1)+1,$A$5:$A$35,"&lt;="&amp;EOMONTH($A25,0)),posicion,COUNTIFS($A$5:$A25,"&gt;="&amp;EOMONTH($A25,-1)+1,$A$5:$A25,"&lt;="&amp;EOMONTH($A25,0)),QUOTIENT(meta,semanas)+IF(posicion&lt;=MOD(meta,semanas),1,0)),"")</f>
        <v>2</v>
      </c>
      <c r="E25" s="41">
        <f>IFERROR(LET(meta,SUMIFS(Meta!$C$5:$C$16,Meta!$A$5:$A$16,"&gt;="&amp;EOMONTH($A25,-1)+1,Meta!$A$5:$A$16,"&lt;="&amp;EOMONTH($A25,0)),semanas,COUNTIFS($A$5:$A$35,"&gt;="&amp;EOMONTH($A25,-1)+1,$A$5:$A$35,"&lt;="&amp;EOMONTH($A25,0)),posicion,COUNTIFS($A$5:$A25,"&gt;="&amp;EOMONTH($A25,-1)+1,$A$5:$A25,"&lt;="&amp;EOMONTH($A25,0)),QUOTIENT(meta,semanas)+IF(posicion&lt;=MOD(meta,semanas),1,0)),"")</f>
        <v>2</v>
      </c>
      <c r="F25" s="50">
        <f>IFERROR(SUMIFS(Meta!$B$5:$B$16,Meta!$A$5:$A$16,"&gt;="&amp;EOMONTH($A25,-1)+1,Meta!$A$5:$A$16,"&lt;="&amp;EOMONTH($A25,0))/COUNTIFS($A$5:$A$35,"&gt;="&amp;EOMONTH($A25,-1)+1,$A$5:$A$35,"&lt;="&amp;EOMONTH($A25,0)),"")</f>
        <v>80000</v>
      </c>
      <c r="G25" s="41">
        <f>COUNTIFS(Data_Ventas!$E$2:$E1001,"&gt;="&amp;A25,Data_Ventas!$E$2:$E1001,"&lt;="&amp;A25+6)</f>
        <v>0</v>
      </c>
      <c r="H25" s="41">
        <f>COUNTIFS(Data_Ventas!$A$2:$A1001,"&gt;="&amp;A25,Data_Ventas!$A$2:$A1001,"&lt;="&amp;A25+6,Data_Ventas!$H$2:$H1001,"Visitó proyecto")</f>
        <v>0</v>
      </c>
      <c r="I25" s="41">
        <f>COUNTIFS(Data_Ventas!$A$2:$A1001,"&gt;="&amp;A25,Data_Ventas!$A$2:$A1001,"&lt;="&amp;A25+6,Data_Ventas!$H$2:$H1001,"Separado")</f>
        <v>0</v>
      </c>
      <c r="J25" s="41">
        <f>COUNTIFS(Data_Ventas!$A$2:$A1001,"&gt;="&amp;A25,Data_Ventas!$A$2:$A1001,"&lt;="&amp;A25+6,Data_Ventas!$H$2:$H1001,"Venta")</f>
        <v>0</v>
      </c>
      <c r="K25" s="51">
        <f>SUMIFS(Data_Ventas!$N$2:$N1001,Data_Ventas!$A$2:$A1001,"&gt;="&amp;A25,Data_Ventas!$A$2:$A1001,"&lt;="&amp;A25+6,Data_Ventas!$H$2:$H1001,"Venta")</f>
        <v>0</v>
      </c>
      <c r="L25" s="52">
        <f t="shared" si="1"/>
        <v>0</v>
      </c>
    </row>
    <row r="26" ht="15.75" customHeight="1">
      <c r="A26" s="82">
        <f t="shared" si="2"/>
        <v>46362</v>
      </c>
      <c r="B26" s="41">
        <f>IFERROR(LET(meta,SUMIFS(Meta!$N$5:$N$16,Meta!$A$5:$A$16,"&gt;="&amp;EOMONTH($A26,-1)+1,Meta!$A$5:$A$16,"&lt;="&amp;EOMONTH($A26,0)),semanas,COUNTIFS($A$5:$A$35,"&gt;="&amp;EOMONTH($A26,-1)+1,$A$5:$A$35,"&lt;="&amp;EOMONTH($A26,0)),posicion,COUNTIFS($A$5:$A26,"&gt;="&amp;EOMONTH($A26,-1)+1,$A$5:$A26,"&lt;="&amp;EOMONTH($A26,0)),QUOTIENT(meta,semanas)+IF(posicion&lt;=MOD(meta,semanas),1,0)),"")</f>
        <v>82</v>
      </c>
      <c r="C26" s="41">
        <f>IFERROR(LET(meta,SUMIFS(Meta!$P$5:$P$16,Meta!$A$5:$A$16,"&gt;="&amp;EOMONTH($A26,-1)+1,Meta!$A$5:$A$16,"&lt;="&amp;EOMONTH($A26,0)),semanas,COUNTIFS($A$5:$A$35,"&gt;="&amp;EOMONTH($A26,-1)+1,$A$5:$A$35,"&lt;="&amp;EOMONTH($A26,0)),posicion,COUNTIFS($A$5:$A26,"&gt;="&amp;EOMONTH($A26,-1)+1,$A$5:$A26,"&lt;="&amp;EOMONTH($A26,0)),QUOTIENT(meta,semanas)+IF(posicion&lt;=MOD(meta,semanas),1,0)),"")</f>
        <v>10</v>
      </c>
      <c r="D26" s="41">
        <f>IFERROR(LET(meta,SUMIFS(Meta!$Q$5:$Q$16,Meta!$A$5:$A$16,"&gt;="&amp;EOMONTH($A26,-1)+1,Meta!$A$5:$A$16,"&lt;="&amp;EOMONTH($A26,0)),semanas,COUNTIFS($A$5:$A$35,"&gt;="&amp;EOMONTH($A26,-1)+1,$A$5:$A$35,"&lt;="&amp;EOMONTH($A26,0)),posicion,COUNTIFS($A$5:$A26,"&gt;="&amp;EOMONTH($A26,-1)+1,$A$5:$A26,"&lt;="&amp;EOMONTH($A26,0)),QUOTIENT(meta,semanas)+IF(posicion&lt;=MOD(meta,semanas),1,0)),"")</f>
        <v>4</v>
      </c>
      <c r="E26" s="41">
        <f>IFERROR(LET(meta,SUMIFS(Meta!$C$5:$C$16,Meta!$A$5:$A$16,"&gt;="&amp;EOMONTH($A26,-1)+1,Meta!$A$5:$A$16,"&lt;="&amp;EOMONTH($A26,0)),semanas,COUNTIFS($A$5:$A$35,"&gt;="&amp;EOMONTH($A26,-1)+1,$A$5:$A$35,"&lt;="&amp;EOMONTH($A26,0)),posicion,COUNTIFS($A$5:$A26,"&gt;="&amp;EOMONTH($A26,-1)+1,$A$5:$A26,"&lt;="&amp;EOMONTH($A26,0)),QUOTIENT(meta,semanas)+IF(posicion&lt;=MOD(meta,semanas),1,0)),"")</f>
        <v>3</v>
      </c>
      <c r="F26" s="50">
        <f>IFERROR(SUMIFS(Meta!$B$5:$B$16,Meta!$A$5:$A$16,"&gt;="&amp;EOMONTH($A26,-1)+1,Meta!$A$5:$A$16,"&lt;="&amp;EOMONTH($A26,0))/COUNTIFS($A$5:$A$35,"&gt;="&amp;EOMONTH($A26,-1)+1,$A$5:$A$35,"&lt;="&amp;EOMONTH($A26,0)),"")</f>
        <v>100000</v>
      </c>
      <c r="G26" s="41">
        <f>COUNTIFS(Data_Ventas!$E$2:$E1001,"&gt;="&amp;A26,Data_Ventas!$E$2:$E1001,"&lt;="&amp;A26+6)</f>
        <v>0</v>
      </c>
      <c r="H26" s="41">
        <f>COUNTIFS(Data_Ventas!$A$2:$A1001,"&gt;="&amp;A26,Data_Ventas!$A$2:$A1001,"&lt;="&amp;A26+6,Data_Ventas!$H$2:$H1001,"Visitó proyecto")</f>
        <v>0</v>
      </c>
      <c r="I26" s="41">
        <f>COUNTIFS(Data_Ventas!$A$2:$A1001,"&gt;="&amp;A26,Data_Ventas!$A$2:$A1001,"&lt;="&amp;A26+6,Data_Ventas!$H$2:$H1001,"Separado")</f>
        <v>0</v>
      </c>
      <c r="J26" s="41">
        <f>COUNTIFS(Data_Ventas!$A$2:$A1001,"&gt;="&amp;A26,Data_Ventas!$A$2:$A1001,"&lt;="&amp;A26+6,Data_Ventas!$H$2:$H1001,"Venta")</f>
        <v>0</v>
      </c>
      <c r="K26" s="51">
        <f>SUMIFS(Data_Ventas!$N$2:$N1001,Data_Ventas!$A$2:$A1001,"&gt;="&amp;A26,Data_Ventas!$A$2:$A1001,"&lt;="&amp;A26+6,Data_Ventas!$H$2:$H1001,"Venta")</f>
        <v>0</v>
      </c>
      <c r="L26" s="52">
        <f t="shared" si="1"/>
        <v>0</v>
      </c>
    </row>
    <row r="27" ht="15.75" customHeight="1">
      <c r="A27" s="82">
        <f t="shared" si="2"/>
        <v>46369</v>
      </c>
      <c r="B27" s="41">
        <f>IFERROR(LET(meta,SUMIFS(Meta!$N$5:$N$16,Meta!$A$5:$A$16,"&gt;="&amp;EOMONTH($A27,-1)+1,Meta!$A$5:$A$16,"&lt;="&amp;EOMONTH($A27,0)),semanas,COUNTIFS($A$5:$A$35,"&gt;="&amp;EOMONTH($A27,-1)+1,$A$5:$A$35,"&lt;="&amp;EOMONTH($A27,0)),posicion,COUNTIFS($A$5:$A27,"&gt;="&amp;EOMONTH($A27,-1)+1,$A$5:$A27,"&lt;="&amp;EOMONTH($A27,0)),QUOTIENT(meta,semanas)+IF(posicion&lt;=MOD(meta,semanas),1,0)),"")</f>
        <v>81</v>
      </c>
      <c r="C27" s="41">
        <f>IFERROR(LET(meta,SUMIFS(Meta!$P$5:$P$16,Meta!$A$5:$A$16,"&gt;="&amp;EOMONTH($A27,-1)+1,Meta!$A$5:$A$16,"&lt;="&amp;EOMONTH($A27,0)),semanas,COUNTIFS($A$5:$A$35,"&gt;="&amp;EOMONTH($A27,-1)+1,$A$5:$A$35,"&lt;="&amp;EOMONTH($A27,0)),posicion,COUNTIFS($A$5:$A27,"&gt;="&amp;EOMONTH($A27,-1)+1,$A$5:$A27,"&lt;="&amp;EOMONTH($A27,0)),QUOTIENT(meta,semanas)+IF(posicion&lt;=MOD(meta,semanas),1,0)),"")</f>
        <v>10</v>
      </c>
      <c r="D27" s="41">
        <f>IFERROR(LET(meta,SUMIFS(Meta!$Q$5:$Q$16,Meta!$A$5:$A$16,"&gt;="&amp;EOMONTH($A27,-1)+1,Meta!$A$5:$A$16,"&lt;="&amp;EOMONTH($A27,0)),semanas,COUNTIFS($A$5:$A$35,"&gt;="&amp;EOMONTH($A27,-1)+1,$A$5:$A$35,"&lt;="&amp;EOMONTH($A27,0)),posicion,COUNTIFS($A$5:$A27,"&gt;="&amp;EOMONTH($A27,-1)+1,$A$5:$A27,"&lt;="&amp;EOMONTH($A27,0)),QUOTIENT(meta,semanas)+IF(posicion&lt;=MOD(meta,semanas),1,0)),"")</f>
        <v>3</v>
      </c>
      <c r="E27" s="41">
        <f>IFERROR(LET(meta,SUMIFS(Meta!$C$5:$C$16,Meta!$A$5:$A$16,"&gt;="&amp;EOMONTH($A27,-1)+1,Meta!$A$5:$A$16,"&lt;="&amp;EOMONTH($A27,0)),semanas,COUNTIFS($A$5:$A$35,"&gt;="&amp;EOMONTH($A27,-1)+1,$A$5:$A$35,"&lt;="&amp;EOMONTH($A27,0)),posicion,COUNTIFS($A$5:$A27,"&gt;="&amp;EOMONTH($A27,-1)+1,$A$5:$A27,"&lt;="&amp;EOMONTH($A27,0)),QUOTIENT(meta,semanas)+IF(posicion&lt;=MOD(meta,semanas),1,0)),"")</f>
        <v>3</v>
      </c>
      <c r="F27" s="50">
        <f>IFERROR(SUMIFS(Meta!$B$5:$B$16,Meta!$A$5:$A$16,"&gt;="&amp;EOMONTH($A27,-1)+1,Meta!$A$5:$A$16,"&lt;="&amp;EOMONTH($A27,0))/COUNTIFS($A$5:$A$35,"&gt;="&amp;EOMONTH($A27,-1)+1,$A$5:$A$35,"&lt;="&amp;EOMONTH($A27,0)),"")</f>
        <v>100000</v>
      </c>
      <c r="G27" s="41">
        <f>COUNTIFS(Data_Ventas!$E$2:$E1001,"&gt;="&amp;A27,Data_Ventas!$E$2:$E1001,"&lt;="&amp;A27+6)</f>
        <v>0</v>
      </c>
      <c r="H27" s="41">
        <f>COUNTIFS(Data_Ventas!$A$2:$A1001,"&gt;="&amp;A27,Data_Ventas!$A$2:$A1001,"&lt;="&amp;A27+6,Data_Ventas!$H$2:$H1001,"Visitó proyecto")</f>
        <v>0</v>
      </c>
      <c r="I27" s="41">
        <f>COUNTIFS(Data_Ventas!$A$2:$A1001,"&gt;="&amp;A27,Data_Ventas!$A$2:$A1001,"&lt;="&amp;A27+6,Data_Ventas!$H$2:$H1001,"Separado")</f>
        <v>0</v>
      </c>
      <c r="J27" s="41">
        <f>COUNTIFS(Data_Ventas!$A$2:$A1001,"&gt;="&amp;A27,Data_Ventas!$A$2:$A1001,"&lt;="&amp;A27+6,Data_Ventas!$H$2:$H1001,"Venta")</f>
        <v>0</v>
      </c>
      <c r="K27" s="51">
        <f>SUMIFS(Data_Ventas!$N$2:$N1001,Data_Ventas!$A$2:$A1001,"&gt;="&amp;A27,Data_Ventas!$A$2:$A1001,"&lt;="&amp;A27+6,Data_Ventas!$H$2:$H1001,"Venta")</f>
        <v>0</v>
      </c>
      <c r="L27" s="52">
        <f t="shared" si="1"/>
        <v>0</v>
      </c>
    </row>
    <row r="28" ht="15.75" customHeight="1">
      <c r="A28" s="82">
        <f t="shared" si="2"/>
        <v>46376</v>
      </c>
      <c r="B28" s="41">
        <f>IFERROR(LET(meta,SUMIFS(Meta!$N$5:$N$16,Meta!$A$5:$A$16,"&gt;="&amp;EOMONTH($A28,-1)+1,Meta!$A$5:$A$16,"&lt;="&amp;EOMONTH($A28,0)),semanas,COUNTIFS($A$5:$A$35,"&gt;="&amp;EOMONTH($A28,-1)+1,$A$5:$A$35,"&lt;="&amp;EOMONTH($A28,0)),posicion,COUNTIFS($A$5:$A28,"&gt;="&amp;EOMONTH($A28,-1)+1,$A$5:$A28,"&lt;="&amp;EOMONTH($A28,0)),QUOTIENT(meta,semanas)+IF(posicion&lt;=MOD(meta,semanas),1,0)),"")</f>
        <v>81</v>
      </c>
      <c r="C28" s="41">
        <f>IFERROR(LET(meta,SUMIFS(Meta!$P$5:$P$16,Meta!$A$5:$A$16,"&gt;="&amp;EOMONTH($A28,-1)+1,Meta!$A$5:$A$16,"&lt;="&amp;EOMONTH($A28,0)),semanas,COUNTIFS($A$5:$A$35,"&gt;="&amp;EOMONTH($A28,-1)+1,$A$5:$A$35,"&lt;="&amp;EOMONTH($A28,0)),posicion,COUNTIFS($A$5:$A28,"&gt;="&amp;EOMONTH($A28,-1)+1,$A$5:$A28,"&lt;="&amp;EOMONTH($A28,0)),QUOTIENT(meta,semanas)+IF(posicion&lt;=MOD(meta,semanas),1,0)),"")</f>
        <v>10</v>
      </c>
      <c r="D28" s="41">
        <f>IFERROR(LET(meta,SUMIFS(Meta!$Q$5:$Q$16,Meta!$A$5:$A$16,"&gt;="&amp;EOMONTH($A28,-1)+1,Meta!$A$5:$A$16,"&lt;="&amp;EOMONTH($A28,0)),semanas,COUNTIFS($A$5:$A$35,"&gt;="&amp;EOMONTH($A28,-1)+1,$A$5:$A$35,"&lt;="&amp;EOMONTH($A28,0)),posicion,COUNTIFS($A$5:$A28,"&gt;="&amp;EOMONTH($A28,-1)+1,$A$5:$A28,"&lt;="&amp;EOMONTH($A28,0)),QUOTIENT(meta,semanas)+IF(posicion&lt;=MOD(meta,semanas),1,0)),"")</f>
        <v>3</v>
      </c>
      <c r="E28" s="41">
        <f>IFERROR(LET(meta,SUMIFS(Meta!$C$5:$C$16,Meta!$A$5:$A$16,"&gt;="&amp;EOMONTH($A28,-1)+1,Meta!$A$5:$A$16,"&lt;="&amp;EOMONTH($A28,0)),semanas,COUNTIFS($A$5:$A$35,"&gt;="&amp;EOMONTH($A28,-1)+1,$A$5:$A$35,"&lt;="&amp;EOMONTH($A28,0)),posicion,COUNTIFS($A$5:$A28,"&gt;="&amp;EOMONTH($A28,-1)+1,$A$5:$A28,"&lt;="&amp;EOMONTH($A28,0)),QUOTIENT(meta,semanas)+IF(posicion&lt;=MOD(meta,semanas),1,0)),"")</f>
        <v>2</v>
      </c>
      <c r="F28" s="50">
        <f>IFERROR(SUMIFS(Meta!$B$5:$B$16,Meta!$A$5:$A$16,"&gt;="&amp;EOMONTH($A28,-1)+1,Meta!$A$5:$A$16,"&lt;="&amp;EOMONTH($A28,0))/COUNTIFS($A$5:$A$35,"&gt;="&amp;EOMONTH($A28,-1)+1,$A$5:$A$35,"&lt;="&amp;EOMONTH($A28,0)),"")</f>
        <v>100000</v>
      </c>
      <c r="G28" s="41">
        <f>COUNTIFS(Data_Ventas!$E$2:$E1001,"&gt;="&amp;A28,Data_Ventas!$E$2:$E1001,"&lt;="&amp;A28+6)</f>
        <v>0</v>
      </c>
      <c r="H28" s="41">
        <f>COUNTIFS(Data_Ventas!$A$2:$A1001,"&gt;="&amp;A28,Data_Ventas!$A$2:$A1001,"&lt;="&amp;A28+6,Data_Ventas!$H$2:$H1001,"Visitó proyecto")</f>
        <v>0</v>
      </c>
      <c r="I28" s="41">
        <f>COUNTIFS(Data_Ventas!$A$2:$A1001,"&gt;="&amp;A28,Data_Ventas!$A$2:$A1001,"&lt;="&amp;A28+6,Data_Ventas!$H$2:$H1001,"Separado")</f>
        <v>0</v>
      </c>
      <c r="J28" s="41">
        <f>COUNTIFS(Data_Ventas!$A$2:$A1001,"&gt;="&amp;A28,Data_Ventas!$A$2:$A1001,"&lt;="&amp;A28+6,Data_Ventas!$H$2:$H1001,"Venta")</f>
        <v>0</v>
      </c>
      <c r="K28" s="51">
        <f>SUMIFS(Data_Ventas!$N$2:$N1001,Data_Ventas!$A$2:$A1001,"&gt;="&amp;A28,Data_Ventas!$A$2:$A1001,"&lt;="&amp;A28+6,Data_Ventas!$H$2:$H1001,"Venta")</f>
        <v>0</v>
      </c>
      <c r="L28" s="52">
        <f t="shared" si="1"/>
        <v>0</v>
      </c>
    </row>
    <row r="29" ht="15.75" customHeight="1">
      <c r="A29" s="82">
        <f t="shared" si="2"/>
        <v>46383</v>
      </c>
      <c r="B29" s="41">
        <f>IFERROR(LET(meta,SUMIFS(Meta!$N$5:$N$16,Meta!$A$5:$A$16,"&gt;="&amp;EOMONTH($A29,-1)+1,Meta!$A$5:$A$16,"&lt;="&amp;EOMONTH($A29,0)),semanas,COUNTIFS($A$5:$A$35,"&gt;="&amp;EOMONTH($A29,-1)+1,$A$5:$A$35,"&lt;="&amp;EOMONTH($A29,0)),posicion,COUNTIFS($A$5:$A29,"&gt;="&amp;EOMONTH($A29,-1)+1,$A$5:$A29,"&lt;="&amp;EOMONTH($A29,0)),QUOTIENT(meta,semanas)+IF(posicion&lt;=MOD(meta,semanas),1,0)),"")</f>
        <v>81</v>
      </c>
      <c r="C29" s="41">
        <f>IFERROR(LET(meta,SUMIFS(Meta!$P$5:$P$16,Meta!$A$5:$A$16,"&gt;="&amp;EOMONTH($A29,-1)+1,Meta!$A$5:$A$16,"&lt;="&amp;EOMONTH($A29,0)),semanas,COUNTIFS($A$5:$A$35,"&gt;="&amp;EOMONTH($A29,-1)+1,$A$5:$A$35,"&lt;="&amp;EOMONTH($A29,0)),posicion,COUNTIFS($A$5:$A29,"&gt;="&amp;EOMONTH($A29,-1)+1,$A$5:$A29,"&lt;="&amp;EOMONTH($A29,0)),QUOTIENT(meta,semanas)+IF(posicion&lt;=MOD(meta,semanas),1,0)),"")</f>
        <v>9</v>
      </c>
      <c r="D29" s="41">
        <f>IFERROR(LET(meta,SUMIFS(Meta!$Q$5:$Q$16,Meta!$A$5:$A$16,"&gt;="&amp;EOMONTH($A29,-1)+1,Meta!$A$5:$A$16,"&lt;="&amp;EOMONTH($A29,0)),semanas,COUNTIFS($A$5:$A$35,"&gt;="&amp;EOMONTH($A29,-1)+1,$A$5:$A$35,"&lt;="&amp;EOMONTH($A29,0)),posicion,COUNTIFS($A$5:$A29,"&gt;="&amp;EOMONTH($A29,-1)+1,$A$5:$A29,"&lt;="&amp;EOMONTH($A29,0)),QUOTIENT(meta,semanas)+IF(posicion&lt;=MOD(meta,semanas),1,0)),"")</f>
        <v>3</v>
      </c>
      <c r="E29" s="41">
        <f>IFERROR(LET(meta,SUMIFS(Meta!$C$5:$C$16,Meta!$A$5:$A$16,"&gt;="&amp;EOMONTH($A29,-1)+1,Meta!$A$5:$A$16,"&lt;="&amp;EOMONTH($A29,0)),semanas,COUNTIFS($A$5:$A$35,"&gt;="&amp;EOMONTH($A29,-1)+1,$A$5:$A$35,"&lt;="&amp;EOMONTH($A29,0)),posicion,COUNTIFS($A$5:$A29,"&gt;="&amp;EOMONTH($A29,-1)+1,$A$5:$A29,"&lt;="&amp;EOMONTH($A29,0)),QUOTIENT(meta,semanas)+IF(posicion&lt;=MOD(meta,semanas),1,0)),"")</f>
        <v>2</v>
      </c>
      <c r="F29" s="50">
        <f>IFERROR(SUMIFS(Meta!$B$5:$B$16,Meta!$A$5:$A$16,"&gt;="&amp;EOMONTH($A29,-1)+1,Meta!$A$5:$A$16,"&lt;="&amp;EOMONTH($A29,0))/COUNTIFS($A$5:$A$35,"&gt;="&amp;EOMONTH($A29,-1)+1,$A$5:$A$35,"&lt;="&amp;EOMONTH($A29,0)),"")</f>
        <v>100000</v>
      </c>
      <c r="G29" s="41">
        <f>COUNTIFS(Data_Ventas!$E$2:$E1001,"&gt;="&amp;A29,Data_Ventas!$E$2:$E1001,"&lt;="&amp;A29+6)</f>
        <v>0</v>
      </c>
      <c r="H29" s="41">
        <f>COUNTIFS(Data_Ventas!$A$2:$A1001,"&gt;="&amp;A29,Data_Ventas!$A$2:$A1001,"&lt;="&amp;A29+6,Data_Ventas!$H$2:$H1001,"Visitó proyecto")</f>
        <v>0</v>
      </c>
      <c r="I29" s="41">
        <f>COUNTIFS(Data_Ventas!$A$2:$A1001,"&gt;="&amp;A29,Data_Ventas!$A$2:$A1001,"&lt;="&amp;A29+6,Data_Ventas!$H$2:$H1001,"Separado")</f>
        <v>0</v>
      </c>
      <c r="J29" s="41">
        <f>COUNTIFS(Data_Ventas!$A$2:$A1001,"&gt;="&amp;A29,Data_Ventas!$A$2:$A1001,"&lt;="&amp;A29+6,Data_Ventas!$H$2:$H1001,"Venta")</f>
        <v>0</v>
      </c>
      <c r="K29" s="51">
        <f>SUMIFS(Data_Ventas!$N$2:$N1001,Data_Ventas!$A$2:$A1001,"&gt;="&amp;A29,Data_Ventas!$A$2:$A1001,"&lt;="&amp;A29+6,Data_Ventas!$H$2:$H1001,"Venta")</f>
        <v>0</v>
      </c>
      <c r="L29" s="52">
        <f t="shared" si="1"/>
        <v>0</v>
      </c>
    </row>
    <row r="30" ht="15.75" customHeight="1">
      <c r="A30" s="82">
        <f t="shared" si="2"/>
        <v>46390</v>
      </c>
      <c r="B30" s="41">
        <f>IFERROR(LET(meta,SUMIFS(Meta!$N$5:$N$16,Meta!$A$5:$A$16,"&gt;="&amp;EOMONTH($A30,-1)+1,Meta!$A$5:$A$16,"&lt;="&amp;EOMONTH($A30,0)),semanas,COUNTIFS($A$5:$A$35,"&gt;="&amp;EOMONTH($A30,-1)+1,$A$5:$A$35,"&lt;="&amp;EOMONTH($A30,0)),posicion,COUNTIFS($A$5:$A30,"&gt;="&amp;EOMONTH($A30,-1)+1,$A$5:$A30,"&lt;="&amp;EOMONTH($A30,0)),QUOTIENT(meta,semanas)+IF(posicion&lt;=MOD(meta,semanas),1,0)),"")</f>
        <v>0</v>
      </c>
      <c r="C30" s="41">
        <f>IFERROR(LET(meta,SUMIFS(Meta!$P$5:$P$16,Meta!$A$5:$A$16,"&gt;="&amp;EOMONTH($A30,-1)+1,Meta!$A$5:$A$16,"&lt;="&amp;EOMONTH($A30,0)),semanas,COUNTIFS($A$5:$A$35,"&gt;="&amp;EOMONTH($A30,-1)+1,$A$5:$A$35,"&lt;="&amp;EOMONTH($A30,0)),posicion,COUNTIFS($A$5:$A30,"&gt;="&amp;EOMONTH($A30,-1)+1,$A$5:$A30,"&lt;="&amp;EOMONTH($A30,0)),QUOTIENT(meta,semanas)+IF(posicion&lt;=MOD(meta,semanas),1,0)),"")</f>
        <v>0</v>
      </c>
      <c r="D30" s="41">
        <f>IFERROR(LET(meta,SUMIFS(Meta!$Q$5:$Q$16,Meta!$A$5:$A$16,"&gt;="&amp;EOMONTH($A30,-1)+1,Meta!$A$5:$A$16,"&lt;="&amp;EOMONTH($A30,0)),semanas,COUNTIFS($A$5:$A$35,"&gt;="&amp;EOMONTH($A30,-1)+1,$A$5:$A$35,"&lt;="&amp;EOMONTH($A30,0)),posicion,COUNTIFS($A$5:$A30,"&gt;="&amp;EOMONTH($A30,-1)+1,$A$5:$A30,"&lt;="&amp;EOMONTH($A30,0)),QUOTIENT(meta,semanas)+IF(posicion&lt;=MOD(meta,semanas),1,0)),"")</f>
        <v>0</v>
      </c>
      <c r="E30" s="41">
        <f>IFERROR(LET(meta,SUMIFS(Meta!$C$5:$C$16,Meta!$A$5:$A$16,"&gt;="&amp;EOMONTH($A30,-1)+1,Meta!$A$5:$A$16,"&lt;="&amp;EOMONTH($A30,0)),semanas,COUNTIFS($A$5:$A$35,"&gt;="&amp;EOMONTH($A30,-1)+1,$A$5:$A$35,"&lt;="&amp;EOMONTH($A30,0)),posicion,COUNTIFS($A$5:$A30,"&gt;="&amp;EOMONTH($A30,-1)+1,$A$5:$A30,"&lt;="&amp;EOMONTH($A30,0)),QUOTIENT(meta,semanas)+IF(posicion&lt;=MOD(meta,semanas),1,0)),"")</f>
        <v>0</v>
      </c>
      <c r="F30" s="50">
        <f>IFERROR(SUMIFS(Meta!$B$5:$B$16,Meta!$A$5:$A$16,"&gt;="&amp;EOMONTH($A30,-1)+1,Meta!$A$5:$A$16,"&lt;="&amp;EOMONTH($A30,0))/COUNTIFS($A$5:$A$35,"&gt;="&amp;EOMONTH($A30,-1)+1,$A$5:$A$35,"&lt;="&amp;EOMONTH($A30,0)),"")</f>
        <v>0</v>
      </c>
      <c r="G30" s="41">
        <f>COUNTIFS(Data_Ventas!$E$2:$E1001,"&gt;="&amp;A30,Data_Ventas!$E$2:$E1001,"&lt;="&amp;A30+6)</f>
        <v>0</v>
      </c>
      <c r="H30" s="41">
        <f>COUNTIFS(Data_Ventas!$A$2:$A1001,"&gt;="&amp;A30,Data_Ventas!$A$2:$A1001,"&lt;="&amp;A30+6,Data_Ventas!$H$2:$H1001,"Visitó proyecto")</f>
        <v>0</v>
      </c>
      <c r="I30" s="41">
        <f>COUNTIFS(Data_Ventas!$A$2:$A1001,"&gt;="&amp;A30,Data_Ventas!$A$2:$A1001,"&lt;="&amp;A30+6,Data_Ventas!$H$2:$H1001,"Separado")</f>
        <v>0</v>
      </c>
      <c r="J30" s="41">
        <f>COUNTIFS(Data_Ventas!$A$2:$A1001,"&gt;="&amp;A30,Data_Ventas!$A$2:$A1001,"&lt;="&amp;A30+6,Data_Ventas!$H$2:$H1001,"Venta")</f>
        <v>0</v>
      </c>
      <c r="K30" s="51">
        <f>SUMIFS(Data_Ventas!$N$2:$N1001,Data_Ventas!$A$2:$A1001,"&gt;="&amp;A30,Data_Ventas!$A$2:$A1001,"&lt;="&amp;A30+6,Data_Ventas!$H$2:$H1001,"Venta")</f>
        <v>0</v>
      </c>
      <c r="L30" s="52" t="str">
        <f t="shared" si="1"/>
        <v>0%</v>
      </c>
    </row>
    <row r="31" ht="15.75" customHeight="1">
      <c r="A31" s="82">
        <f t="shared" si="2"/>
        <v>46397</v>
      </c>
      <c r="B31" s="41">
        <f>IFERROR(LET(meta,SUMIFS(Meta!$N$5:$N$16,Meta!$A$5:$A$16,"&gt;="&amp;EOMONTH($A31,-1)+1,Meta!$A$5:$A$16,"&lt;="&amp;EOMONTH($A31,0)),semanas,COUNTIFS($A$5:$A$35,"&gt;="&amp;EOMONTH($A31,-1)+1,$A$5:$A$35,"&lt;="&amp;EOMONTH($A31,0)),posicion,COUNTIFS($A$5:$A31,"&gt;="&amp;EOMONTH($A31,-1)+1,$A$5:$A31,"&lt;="&amp;EOMONTH($A31,0)),QUOTIENT(meta,semanas)+IF(posicion&lt;=MOD(meta,semanas),1,0)),"")</f>
        <v>0</v>
      </c>
      <c r="C31" s="41">
        <f>IFERROR(LET(meta,SUMIFS(Meta!$P$5:$P$16,Meta!$A$5:$A$16,"&gt;="&amp;EOMONTH($A31,-1)+1,Meta!$A$5:$A$16,"&lt;="&amp;EOMONTH($A31,0)),semanas,COUNTIFS($A$5:$A$35,"&gt;="&amp;EOMONTH($A31,-1)+1,$A$5:$A$35,"&lt;="&amp;EOMONTH($A31,0)),posicion,COUNTIFS($A$5:$A31,"&gt;="&amp;EOMONTH($A31,-1)+1,$A$5:$A31,"&lt;="&amp;EOMONTH($A31,0)),QUOTIENT(meta,semanas)+IF(posicion&lt;=MOD(meta,semanas),1,0)),"")</f>
        <v>0</v>
      </c>
      <c r="D31" s="41">
        <f>IFERROR(LET(meta,SUMIFS(Meta!$Q$5:$Q$16,Meta!$A$5:$A$16,"&gt;="&amp;EOMONTH($A31,-1)+1,Meta!$A$5:$A$16,"&lt;="&amp;EOMONTH($A31,0)),semanas,COUNTIFS($A$5:$A$35,"&gt;="&amp;EOMONTH($A31,-1)+1,$A$5:$A$35,"&lt;="&amp;EOMONTH($A31,0)),posicion,COUNTIFS($A$5:$A31,"&gt;="&amp;EOMONTH($A31,-1)+1,$A$5:$A31,"&lt;="&amp;EOMONTH($A31,0)),QUOTIENT(meta,semanas)+IF(posicion&lt;=MOD(meta,semanas),1,0)),"")</f>
        <v>0</v>
      </c>
      <c r="E31" s="41">
        <f>IFERROR(LET(meta,SUMIFS(Meta!$C$5:$C$16,Meta!$A$5:$A$16,"&gt;="&amp;EOMONTH($A31,-1)+1,Meta!$A$5:$A$16,"&lt;="&amp;EOMONTH($A31,0)),semanas,COUNTIFS($A$5:$A$35,"&gt;="&amp;EOMONTH($A31,-1)+1,$A$5:$A$35,"&lt;="&amp;EOMONTH($A31,0)),posicion,COUNTIFS($A$5:$A31,"&gt;="&amp;EOMONTH($A31,-1)+1,$A$5:$A31,"&lt;="&amp;EOMONTH($A31,0)),QUOTIENT(meta,semanas)+IF(posicion&lt;=MOD(meta,semanas),1,0)),"")</f>
        <v>0</v>
      </c>
      <c r="F31" s="50">
        <f>IFERROR(SUMIFS(Meta!$B$5:$B$16,Meta!$A$5:$A$16,"&gt;="&amp;EOMONTH($A31,-1)+1,Meta!$A$5:$A$16,"&lt;="&amp;EOMONTH($A31,0))/COUNTIFS($A$5:$A$35,"&gt;="&amp;EOMONTH($A31,-1)+1,$A$5:$A$35,"&lt;="&amp;EOMONTH($A31,0)),"")</f>
        <v>0</v>
      </c>
      <c r="G31" s="41">
        <f>COUNTIFS(Data_Ventas!$E$2:$E1001,"&gt;="&amp;A31,Data_Ventas!$E$2:$E1001,"&lt;="&amp;A31+6)</f>
        <v>0</v>
      </c>
      <c r="H31" s="41">
        <f>COUNTIFS(Data_Ventas!$A$2:$A1001,"&gt;="&amp;A31,Data_Ventas!$A$2:$A1001,"&lt;="&amp;A31+6,Data_Ventas!$H$2:$H1001,"Visitó proyecto")</f>
        <v>0</v>
      </c>
      <c r="I31" s="41">
        <f>COUNTIFS(Data_Ventas!$A$2:$A1001,"&gt;="&amp;A31,Data_Ventas!$A$2:$A1001,"&lt;="&amp;A31+6,Data_Ventas!$H$2:$H1001,"Separado")</f>
        <v>0</v>
      </c>
      <c r="J31" s="41">
        <f>COUNTIFS(Data_Ventas!$A$2:$A1001,"&gt;="&amp;A31,Data_Ventas!$A$2:$A1001,"&lt;="&amp;A31+6,Data_Ventas!$H$2:$H1001,"Venta")</f>
        <v>0</v>
      </c>
      <c r="K31" s="51">
        <f>SUMIFS(Data_Ventas!$N$2:$N1001,Data_Ventas!$A$2:$A1001,"&gt;="&amp;A31,Data_Ventas!$A$2:$A1001,"&lt;="&amp;A31+6,Data_Ventas!$H$2:$H1001,"Venta")</f>
        <v>0</v>
      </c>
      <c r="L31" s="52" t="str">
        <f t="shared" si="1"/>
        <v>0%</v>
      </c>
    </row>
    <row r="32" ht="15.75" customHeight="1">
      <c r="A32" s="82">
        <f t="shared" si="2"/>
        <v>46404</v>
      </c>
      <c r="B32" s="41">
        <f>IFERROR(LET(meta,SUMIFS(Meta!$N$5:$N$16,Meta!$A$5:$A$16,"&gt;="&amp;EOMONTH($A32,-1)+1,Meta!$A$5:$A$16,"&lt;="&amp;EOMONTH($A32,0)),semanas,COUNTIFS($A$5:$A$35,"&gt;="&amp;EOMONTH($A32,-1)+1,$A$5:$A$35,"&lt;="&amp;EOMONTH($A32,0)),posicion,COUNTIFS($A$5:$A32,"&gt;="&amp;EOMONTH($A32,-1)+1,$A$5:$A32,"&lt;="&amp;EOMONTH($A32,0)),QUOTIENT(meta,semanas)+IF(posicion&lt;=MOD(meta,semanas),1,0)),"")</f>
        <v>0</v>
      </c>
      <c r="C32" s="41">
        <f>IFERROR(LET(meta,SUMIFS(Meta!$P$5:$P$16,Meta!$A$5:$A$16,"&gt;="&amp;EOMONTH($A32,-1)+1,Meta!$A$5:$A$16,"&lt;="&amp;EOMONTH($A32,0)),semanas,COUNTIFS($A$5:$A$35,"&gt;="&amp;EOMONTH($A32,-1)+1,$A$5:$A$35,"&lt;="&amp;EOMONTH($A32,0)),posicion,COUNTIFS($A$5:$A32,"&gt;="&amp;EOMONTH($A32,-1)+1,$A$5:$A32,"&lt;="&amp;EOMONTH($A32,0)),QUOTIENT(meta,semanas)+IF(posicion&lt;=MOD(meta,semanas),1,0)),"")</f>
        <v>0</v>
      </c>
      <c r="D32" s="41">
        <f>IFERROR(LET(meta,SUMIFS(Meta!$Q$5:$Q$16,Meta!$A$5:$A$16,"&gt;="&amp;EOMONTH($A32,-1)+1,Meta!$A$5:$A$16,"&lt;="&amp;EOMONTH($A32,0)),semanas,COUNTIFS($A$5:$A$35,"&gt;="&amp;EOMONTH($A32,-1)+1,$A$5:$A$35,"&lt;="&amp;EOMONTH($A32,0)),posicion,COUNTIFS($A$5:$A32,"&gt;="&amp;EOMONTH($A32,-1)+1,$A$5:$A32,"&lt;="&amp;EOMONTH($A32,0)),QUOTIENT(meta,semanas)+IF(posicion&lt;=MOD(meta,semanas),1,0)),"")</f>
        <v>0</v>
      </c>
      <c r="E32" s="41">
        <f>IFERROR(LET(meta,SUMIFS(Meta!$C$5:$C$16,Meta!$A$5:$A$16,"&gt;="&amp;EOMONTH($A32,-1)+1,Meta!$A$5:$A$16,"&lt;="&amp;EOMONTH($A32,0)),semanas,COUNTIFS($A$5:$A$35,"&gt;="&amp;EOMONTH($A32,-1)+1,$A$5:$A$35,"&lt;="&amp;EOMONTH($A32,0)),posicion,COUNTIFS($A$5:$A32,"&gt;="&amp;EOMONTH($A32,-1)+1,$A$5:$A32,"&lt;="&amp;EOMONTH($A32,0)),QUOTIENT(meta,semanas)+IF(posicion&lt;=MOD(meta,semanas),1,0)),"")</f>
        <v>0</v>
      </c>
      <c r="F32" s="50">
        <f>IFERROR(SUMIFS(Meta!$B$5:$B$16,Meta!$A$5:$A$16,"&gt;="&amp;EOMONTH($A32,-1)+1,Meta!$A$5:$A$16,"&lt;="&amp;EOMONTH($A32,0))/COUNTIFS($A$5:$A$35,"&gt;="&amp;EOMONTH($A32,-1)+1,$A$5:$A$35,"&lt;="&amp;EOMONTH($A32,0)),"")</f>
        <v>0</v>
      </c>
      <c r="G32" s="41">
        <f>COUNTIFS(Data_Ventas!$E$2:$E1001,"&gt;="&amp;A32,Data_Ventas!$E$2:$E1001,"&lt;="&amp;A32+6)</f>
        <v>0</v>
      </c>
      <c r="H32" s="41">
        <f>COUNTIFS(Data_Ventas!$A$2:$A1001,"&gt;="&amp;A32,Data_Ventas!$A$2:$A1001,"&lt;="&amp;A32+6,Data_Ventas!$H$2:$H1001,"Visitó proyecto")</f>
        <v>0</v>
      </c>
      <c r="I32" s="41">
        <f>COUNTIFS(Data_Ventas!$A$2:$A1001,"&gt;="&amp;A32,Data_Ventas!$A$2:$A1001,"&lt;="&amp;A32+6,Data_Ventas!$H$2:$H1001,"Separado")</f>
        <v>0</v>
      </c>
      <c r="J32" s="41">
        <f>COUNTIFS(Data_Ventas!$A$2:$A1001,"&gt;="&amp;A32,Data_Ventas!$A$2:$A1001,"&lt;="&amp;A32+6,Data_Ventas!$H$2:$H1001,"Venta")</f>
        <v>0</v>
      </c>
      <c r="K32" s="51">
        <f>SUMIFS(Data_Ventas!$N$2:$N1001,Data_Ventas!$A$2:$A1001,"&gt;="&amp;A32,Data_Ventas!$A$2:$A1001,"&lt;="&amp;A32+6,Data_Ventas!$H$2:$H1001,"Venta")</f>
        <v>0</v>
      </c>
      <c r="L32" s="52" t="str">
        <f t="shared" si="1"/>
        <v>0%</v>
      </c>
    </row>
    <row r="33" ht="15.75" customHeight="1">
      <c r="A33" s="82">
        <f t="shared" si="2"/>
        <v>46411</v>
      </c>
      <c r="B33" s="41">
        <f>IFERROR(LET(meta,SUMIFS(Meta!$N$5:$N$16,Meta!$A$5:$A$16,"&gt;="&amp;EOMONTH($A33,-1)+1,Meta!$A$5:$A$16,"&lt;="&amp;EOMONTH($A33,0)),semanas,COUNTIFS($A$5:$A$35,"&gt;="&amp;EOMONTH($A33,-1)+1,$A$5:$A$35,"&lt;="&amp;EOMONTH($A33,0)),posicion,COUNTIFS($A$5:$A33,"&gt;="&amp;EOMONTH($A33,-1)+1,$A$5:$A33,"&lt;="&amp;EOMONTH($A33,0)),QUOTIENT(meta,semanas)+IF(posicion&lt;=MOD(meta,semanas),1,0)),"")</f>
        <v>0</v>
      </c>
      <c r="C33" s="41">
        <f>IFERROR(LET(meta,SUMIFS(Meta!$P$5:$P$16,Meta!$A$5:$A$16,"&gt;="&amp;EOMONTH($A33,-1)+1,Meta!$A$5:$A$16,"&lt;="&amp;EOMONTH($A33,0)),semanas,COUNTIFS($A$5:$A$35,"&gt;="&amp;EOMONTH($A33,-1)+1,$A$5:$A$35,"&lt;="&amp;EOMONTH($A33,0)),posicion,COUNTIFS($A$5:$A33,"&gt;="&amp;EOMONTH($A33,-1)+1,$A$5:$A33,"&lt;="&amp;EOMONTH($A33,0)),QUOTIENT(meta,semanas)+IF(posicion&lt;=MOD(meta,semanas),1,0)),"")</f>
        <v>0</v>
      </c>
      <c r="D33" s="41">
        <f>IFERROR(LET(meta,SUMIFS(Meta!$Q$5:$Q$16,Meta!$A$5:$A$16,"&gt;="&amp;EOMONTH($A33,-1)+1,Meta!$A$5:$A$16,"&lt;="&amp;EOMONTH($A33,0)),semanas,COUNTIFS($A$5:$A$35,"&gt;="&amp;EOMONTH($A33,-1)+1,$A$5:$A$35,"&lt;="&amp;EOMONTH($A33,0)),posicion,COUNTIFS($A$5:$A33,"&gt;="&amp;EOMONTH($A33,-1)+1,$A$5:$A33,"&lt;="&amp;EOMONTH($A33,0)),QUOTIENT(meta,semanas)+IF(posicion&lt;=MOD(meta,semanas),1,0)),"")</f>
        <v>0</v>
      </c>
      <c r="E33" s="41">
        <f>IFERROR(LET(meta,SUMIFS(Meta!$C$5:$C$16,Meta!$A$5:$A$16,"&gt;="&amp;EOMONTH($A33,-1)+1,Meta!$A$5:$A$16,"&lt;="&amp;EOMONTH($A33,0)),semanas,COUNTIFS($A$5:$A$35,"&gt;="&amp;EOMONTH($A33,-1)+1,$A$5:$A$35,"&lt;="&amp;EOMONTH($A33,0)),posicion,COUNTIFS($A$5:$A33,"&gt;="&amp;EOMONTH($A33,-1)+1,$A$5:$A33,"&lt;="&amp;EOMONTH($A33,0)),QUOTIENT(meta,semanas)+IF(posicion&lt;=MOD(meta,semanas),1,0)),"")</f>
        <v>0</v>
      </c>
      <c r="F33" s="50">
        <f>IFERROR(SUMIFS(Meta!$B$5:$B$16,Meta!$A$5:$A$16,"&gt;="&amp;EOMONTH($A33,-1)+1,Meta!$A$5:$A$16,"&lt;="&amp;EOMONTH($A33,0))/COUNTIFS($A$5:$A$35,"&gt;="&amp;EOMONTH($A33,-1)+1,$A$5:$A$35,"&lt;="&amp;EOMONTH($A33,0)),"")</f>
        <v>0</v>
      </c>
      <c r="G33" s="41">
        <f>COUNTIFS(Data_Ventas!$E$2:$E1001,"&gt;="&amp;A33,Data_Ventas!$E$2:$E1001,"&lt;="&amp;A33+6)</f>
        <v>0</v>
      </c>
      <c r="H33" s="41">
        <f>COUNTIFS(Data_Ventas!$A$2:$A1001,"&gt;="&amp;A33,Data_Ventas!$A$2:$A1001,"&lt;="&amp;A33+6,Data_Ventas!$H$2:$H1001,"Visitó proyecto")</f>
        <v>0</v>
      </c>
      <c r="I33" s="41">
        <f>COUNTIFS(Data_Ventas!$A$2:$A1001,"&gt;="&amp;A33,Data_Ventas!$A$2:$A1001,"&lt;="&amp;A33+6,Data_Ventas!$H$2:$H1001,"Separado")</f>
        <v>0</v>
      </c>
      <c r="J33" s="41">
        <f>COUNTIFS(Data_Ventas!$A$2:$A1001,"&gt;="&amp;A33,Data_Ventas!$A$2:$A1001,"&lt;="&amp;A33+6,Data_Ventas!$H$2:$H1001,"Venta")</f>
        <v>0</v>
      </c>
      <c r="K33" s="51">
        <f>SUMIFS(Data_Ventas!$N$2:$N1001,Data_Ventas!$A$2:$A1001,"&gt;="&amp;A33,Data_Ventas!$A$2:$A1001,"&lt;="&amp;A33+6,Data_Ventas!$H$2:$H1001,"Venta")</f>
        <v>0</v>
      </c>
      <c r="L33" s="52" t="str">
        <f t="shared" si="1"/>
        <v>0%</v>
      </c>
    </row>
    <row r="34" ht="15.75" customHeight="1">
      <c r="A34" s="82">
        <f t="shared" si="2"/>
        <v>46418</v>
      </c>
      <c r="B34" s="41">
        <f>IFERROR(LET(meta,SUMIFS(Meta!$N$5:$N$16,Meta!$A$5:$A$16,"&gt;="&amp;EOMONTH($A34,-1)+1,Meta!$A$5:$A$16,"&lt;="&amp;EOMONTH($A34,0)),semanas,COUNTIFS($A$5:$A$35,"&gt;="&amp;EOMONTH($A34,-1)+1,$A$5:$A$35,"&lt;="&amp;EOMONTH($A34,0)),posicion,COUNTIFS($A$5:$A34,"&gt;="&amp;EOMONTH($A34,-1)+1,$A$5:$A34,"&lt;="&amp;EOMONTH($A34,0)),QUOTIENT(meta,semanas)+IF(posicion&lt;=MOD(meta,semanas),1,0)),"")</f>
        <v>0</v>
      </c>
      <c r="C34" s="41">
        <f>IFERROR(LET(meta,SUMIFS(Meta!$P$5:$P$16,Meta!$A$5:$A$16,"&gt;="&amp;EOMONTH($A34,-1)+1,Meta!$A$5:$A$16,"&lt;="&amp;EOMONTH($A34,0)),semanas,COUNTIFS($A$5:$A$35,"&gt;="&amp;EOMONTH($A34,-1)+1,$A$5:$A$35,"&lt;="&amp;EOMONTH($A34,0)),posicion,COUNTIFS($A$5:$A34,"&gt;="&amp;EOMONTH($A34,-1)+1,$A$5:$A34,"&lt;="&amp;EOMONTH($A34,0)),QUOTIENT(meta,semanas)+IF(posicion&lt;=MOD(meta,semanas),1,0)),"")</f>
        <v>0</v>
      </c>
      <c r="D34" s="41">
        <f>IFERROR(LET(meta,SUMIFS(Meta!$Q$5:$Q$16,Meta!$A$5:$A$16,"&gt;="&amp;EOMONTH($A34,-1)+1,Meta!$A$5:$A$16,"&lt;="&amp;EOMONTH($A34,0)),semanas,COUNTIFS($A$5:$A$35,"&gt;="&amp;EOMONTH($A34,-1)+1,$A$5:$A$35,"&lt;="&amp;EOMONTH($A34,0)),posicion,COUNTIFS($A$5:$A34,"&gt;="&amp;EOMONTH($A34,-1)+1,$A$5:$A34,"&lt;="&amp;EOMONTH($A34,0)),QUOTIENT(meta,semanas)+IF(posicion&lt;=MOD(meta,semanas),1,0)),"")</f>
        <v>0</v>
      </c>
      <c r="E34" s="41">
        <f>IFERROR(LET(meta,SUMIFS(Meta!$C$5:$C$16,Meta!$A$5:$A$16,"&gt;="&amp;EOMONTH($A34,-1)+1,Meta!$A$5:$A$16,"&lt;="&amp;EOMONTH($A34,0)),semanas,COUNTIFS($A$5:$A$35,"&gt;="&amp;EOMONTH($A34,-1)+1,$A$5:$A$35,"&lt;="&amp;EOMONTH($A34,0)),posicion,COUNTIFS($A$5:$A34,"&gt;="&amp;EOMONTH($A34,-1)+1,$A$5:$A34,"&lt;="&amp;EOMONTH($A34,0)),QUOTIENT(meta,semanas)+IF(posicion&lt;=MOD(meta,semanas),1,0)),"")</f>
        <v>0</v>
      </c>
      <c r="F34" s="50">
        <f>IFERROR(SUMIFS(Meta!$B$5:$B$16,Meta!$A$5:$A$16,"&gt;="&amp;EOMONTH($A34,-1)+1,Meta!$A$5:$A$16,"&lt;="&amp;EOMONTH($A34,0))/COUNTIFS($A$5:$A$35,"&gt;="&amp;EOMONTH($A34,-1)+1,$A$5:$A$35,"&lt;="&amp;EOMONTH($A34,0)),"")</f>
        <v>0</v>
      </c>
      <c r="G34" s="41">
        <f>COUNTIFS(Data_Ventas!$E$2:$E1001,"&gt;="&amp;A34,Data_Ventas!$E$2:$E1001,"&lt;="&amp;A34+6)</f>
        <v>0</v>
      </c>
      <c r="H34" s="41">
        <f>COUNTIFS(Data_Ventas!$A$2:$A1001,"&gt;="&amp;A34,Data_Ventas!$A$2:$A1001,"&lt;="&amp;A34+6,Data_Ventas!$H$2:$H1001,"Visitó proyecto")</f>
        <v>0</v>
      </c>
      <c r="I34" s="41">
        <f>COUNTIFS(Data_Ventas!$A$2:$A1001,"&gt;="&amp;A34,Data_Ventas!$A$2:$A1001,"&lt;="&amp;A34+6,Data_Ventas!$H$2:$H1001,"Separado")</f>
        <v>0</v>
      </c>
      <c r="J34" s="41">
        <f>COUNTIFS(Data_Ventas!$A$2:$A1001,"&gt;="&amp;A34,Data_Ventas!$A$2:$A1001,"&lt;="&amp;A34+6,Data_Ventas!$H$2:$H1001,"Venta")</f>
        <v>0</v>
      </c>
      <c r="K34" s="51">
        <f>SUMIFS(Data_Ventas!$N$2:$N1001,Data_Ventas!$A$2:$A1001,"&gt;="&amp;A34,Data_Ventas!$A$2:$A1001,"&lt;="&amp;A34+6,Data_Ventas!$H$2:$H1001,"Venta")</f>
        <v>0</v>
      </c>
      <c r="L34" s="52" t="str">
        <f t="shared" si="1"/>
        <v>0%</v>
      </c>
    </row>
    <row r="35" ht="15.75" customHeight="1">
      <c r="A35" s="82">
        <f t="shared" si="2"/>
        <v>46425</v>
      </c>
      <c r="B35" s="41">
        <f>IFERROR(LET(meta,SUMIFS(Meta!$N$5:$N$16,Meta!$A$5:$A$16,"&gt;="&amp;EOMONTH($A35,-1)+1,Meta!$A$5:$A$16,"&lt;="&amp;EOMONTH($A35,0)),semanas,COUNTIFS($A$5:$A$35,"&gt;="&amp;EOMONTH($A35,-1)+1,$A$5:$A$35,"&lt;="&amp;EOMONTH($A35,0)),posicion,COUNTIFS($A$5:$A35,"&gt;="&amp;EOMONTH($A35,-1)+1,$A$5:$A35,"&lt;="&amp;EOMONTH($A35,0)),QUOTIENT(meta,semanas)+IF(posicion&lt;=MOD(meta,semanas),1,0)),"")</f>
        <v>0</v>
      </c>
      <c r="C35" s="41">
        <f>IFERROR(LET(meta,SUMIFS(Meta!$P$5:$P$16,Meta!$A$5:$A$16,"&gt;="&amp;EOMONTH($A35,-1)+1,Meta!$A$5:$A$16,"&lt;="&amp;EOMONTH($A35,0)),semanas,COUNTIFS($A$5:$A$35,"&gt;="&amp;EOMONTH($A35,-1)+1,$A$5:$A$35,"&lt;="&amp;EOMONTH($A35,0)),posicion,COUNTIFS($A$5:$A35,"&gt;="&amp;EOMONTH($A35,-1)+1,$A$5:$A35,"&lt;="&amp;EOMONTH($A35,0)),QUOTIENT(meta,semanas)+IF(posicion&lt;=MOD(meta,semanas),1,0)),"")</f>
        <v>0</v>
      </c>
      <c r="D35" s="41">
        <f>IFERROR(LET(meta,SUMIFS(Meta!$Q$5:$Q$16,Meta!$A$5:$A$16,"&gt;="&amp;EOMONTH($A35,-1)+1,Meta!$A$5:$A$16,"&lt;="&amp;EOMONTH($A35,0)),semanas,COUNTIFS($A$5:$A$35,"&gt;="&amp;EOMONTH($A35,-1)+1,$A$5:$A$35,"&lt;="&amp;EOMONTH($A35,0)),posicion,COUNTIFS($A$5:$A35,"&gt;="&amp;EOMONTH($A35,-1)+1,$A$5:$A35,"&lt;="&amp;EOMONTH($A35,0)),QUOTIENT(meta,semanas)+IF(posicion&lt;=MOD(meta,semanas),1,0)),"")</f>
        <v>0</v>
      </c>
      <c r="E35" s="41">
        <f>IFERROR(LET(meta,SUMIFS(Meta!$C$5:$C$16,Meta!$A$5:$A$16,"&gt;="&amp;EOMONTH($A35,-1)+1,Meta!$A$5:$A$16,"&lt;="&amp;EOMONTH($A35,0)),semanas,COUNTIFS($A$5:$A$35,"&gt;="&amp;EOMONTH($A35,-1)+1,$A$5:$A$35,"&lt;="&amp;EOMONTH($A35,0)),posicion,COUNTIFS($A$5:$A35,"&gt;="&amp;EOMONTH($A35,-1)+1,$A$5:$A35,"&lt;="&amp;EOMONTH($A35,0)),QUOTIENT(meta,semanas)+IF(posicion&lt;=MOD(meta,semanas),1,0)),"")</f>
        <v>0</v>
      </c>
      <c r="F35" s="50">
        <f>IFERROR(SUMIFS(Meta!$B$5:$B$16,Meta!$A$5:$A$16,"&gt;="&amp;EOMONTH($A35,-1)+1,Meta!$A$5:$A$16,"&lt;="&amp;EOMONTH($A35,0))/COUNTIFS($A$5:$A$35,"&gt;="&amp;EOMONTH($A35,-1)+1,$A$5:$A$35,"&lt;="&amp;EOMONTH($A35,0)),"")</f>
        <v>0</v>
      </c>
      <c r="G35" s="41">
        <f>COUNTIFS(Data_Ventas!$E$2:$E1001,"&gt;="&amp;A35,Data_Ventas!$E$2:$E1001,"&lt;="&amp;A35+6)</f>
        <v>0</v>
      </c>
      <c r="H35" s="41">
        <f>COUNTIFS(Data_Ventas!$A$2:$A1001,"&gt;="&amp;A35,Data_Ventas!$A$2:$A1001,"&lt;="&amp;A35+6,Data_Ventas!$H$2:$H1001,"Visitó proyecto")</f>
        <v>0</v>
      </c>
      <c r="I35" s="41">
        <f>COUNTIFS(Data_Ventas!$A$2:$A1001,"&gt;="&amp;A35,Data_Ventas!$A$2:$A1001,"&lt;="&amp;A35+6,Data_Ventas!$H$2:$H1001,"Separado")</f>
        <v>0</v>
      </c>
      <c r="J35" s="41">
        <f>COUNTIFS(Data_Ventas!$A$2:$A1001,"&gt;="&amp;A35,Data_Ventas!$A$2:$A1001,"&lt;="&amp;A35+6,Data_Ventas!$H$2:$H1001,"Venta")</f>
        <v>0</v>
      </c>
      <c r="K35" s="51">
        <f>SUMIFS(Data_Ventas!$N$2:$N1001,Data_Ventas!$A$2:$A1001,"&gt;="&amp;A35,Data_Ventas!$A$2:$A1001,"&lt;="&amp;A35+6,Data_Ventas!$H$2:$H1001,"Venta")</f>
        <v>0</v>
      </c>
      <c r="L35" s="52" t="str">
        <f t="shared" si="1"/>
        <v>0%</v>
      </c>
    </row>
    <row r="36" ht="15.75" customHeight="1">
      <c r="F36" s="6"/>
    </row>
    <row r="37" ht="15.75" customHeight="1">
      <c r="F37" s="6"/>
    </row>
    <row r="38" ht="15.75" customHeight="1">
      <c r="F38" s="6"/>
    </row>
    <row r="39" ht="15.75" customHeight="1">
      <c r="F39" s="6"/>
    </row>
    <row r="40" ht="15.75" customHeight="1">
      <c r="F40" s="6"/>
    </row>
    <row r="41" ht="15.75" customHeight="1">
      <c r="F41" s="6"/>
    </row>
    <row r="42" ht="15.75" customHeight="1">
      <c r="F42" s="6"/>
    </row>
    <row r="43" ht="15.75" customHeight="1">
      <c r="F43" s="6"/>
    </row>
    <row r="44" ht="15.75" customHeight="1">
      <c r="F44" s="6"/>
    </row>
    <row r="45" ht="15.75" customHeight="1">
      <c r="F45" s="6"/>
    </row>
    <row r="46" ht="15.75" customHeight="1">
      <c r="F46" s="6"/>
    </row>
    <row r="47" ht="15.75" customHeight="1">
      <c r="F47" s="6"/>
    </row>
    <row r="48" ht="15.75" customHeight="1">
      <c r="F48" s="6"/>
    </row>
    <row r="49" ht="15.75" customHeight="1">
      <c r="F49" s="6"/>
    </row>
    <row r="50" ht="15.75" customHeight="1">
      <c r="F50" s="6"/>
    </row>
    <row r="51" ht="15.75" customHeight="1">
      <c r="F51" s="6"/>
    </row>
    <row r="52" ht="15.75" customHeight="1">
      <c r="F52" s="6"/>
    </row>
    <row r="53" ht="15.75" customHeight="1">
      <c r="F53" s="6"/>
    </row>
    <row r="54" ht="15.75" customHeight="1">
      <c r="F54" s="6"/>
    </row>
    <row r="55" ht="15.75" customHeight="1">
      <c r="F55" s="6"/>
    </row>
    <row r="56" ht="15.75" customHeight="1">
      <c r="F56" s="6"/>
    </row>
    <row r="57" ht="15.75" customHeight="1">
      <c r="F57" s="6"/>
    </row>
    <row r="58" ht="15.75" customHeight="1">
      <c r="F58" s="6"/>
    </row>
    <row r="59" ht="15.75" customHeight="1">
      <c r="F59" s="6"/>
    </row>
    <row r="60" ht="15.75" customHeight="1">
      <c r="F60" s="6"/>
    </row>
    <row r="61" ht="15.75" customHeight="1">
      <c r="F61" s="6"/>
    </row>
    <row r="62" ht="15.75" customHeight="1">
      <c r="F62" s="6"/>
    </row>
    <row r="63" ht="15.75" customHeight="1">
      <c r="F63" s="6"/>
    </row>
    <row r="64" ht="15.75" customHeight="1">
      <c r="F64" s="6"/>
    </row>
    <row r="65" ht="15.75" customHeight="1">
      <c r="F65" s="6"/>
    </row>
    <row r="66" ht="15.75" customHeight="1">
      <c r="F66" s="6"/>
    </row>
    <row r="67" ht="15.75" customHeight="1">
      <c r="F67" s="6"/>
    </row>
    <row r="68" ht="15.75" customHeight="1">
      <c r="F68" s="6"/>
    </row>
    <row r="69" ht="15.75" customHeight="1">
      <c r="F69" s="6"/>
    </row>
    <row r="70" ht="15.75" customHeight="1">
      <c r="F70" s="6"/>
    </row>
    <row r="71" ht="15.75" customHeight="1">
      <c r="F71" s="6"/>
    </row>
    <row r="72" ht="15.75" customHeight="1">
      <c r="F72" s="6"/>
    </row>
    <row r="73" ht="15.75" customHeight="1">
      <c r="F73" s="6"/>
    </row>
    <row r="74" ht="15.75" customHeight="1">
      <c r="F74" s="6"/>
    </row>
    <row r="75" ht="15.75" customHeight="1">
      <c r="F75" s="6"/>
    </row>
    <row r="76" ht="15.75" customHeight="1">
      <c r="F76" s="6"/>
    </row>
    <row r="77" ht="15.75" customHeight="1">
      <c r="F77" s="6"/>
    </row>
    <row r="78" ht="15.75" customHeight="1">
      <c r="F78" s="6"/>
    </row>
    <row r="79" ht="15.75" customHeight="1">
      <c r="F79" s="6"/>
    </row>
    <row r="80" ht="15.75" customHeight="1">
      <c r="F80" s="6"/>
    </row>
    <row r="81" ht="15.75" customHeight="1">
      <c r="F81" s="6"/>
    </row>
    <row r="82" ht="15.75" customHeight="1">
      <c r="F82" s="6"/>
    </row>
    <row r="83" ht="15.75" customHeight="1">
      <c r="F83" s="6"/>
    </row>
    <row r="84" ht="15.75" customHeight="1">
      <c r="F84" s="6"/>
    </row>
    <row r="85" ht="15.75" customHeight="1">
      <c r="F85" s="6"/>
    </row>
    <row r="86" ht="15.75" customHeight="1">
      <c r="F86" s="6"/>
    </row>
    <row r="87" ht="15.75" customHeight="1">
      <c r="F87" s="6"/>
    </row>
    <row r="88" ht="15.75" customHeight="1">
      <c r="F88" s="6"/>
    </row>
    <row r="89" ht="15.75" customHeight="1">
      <c r="F89" s="6"/>
    </row>
    <row r="90" ht="15.75" customHeight="1">
      <c r="F90" s="6"/>
    </row>
    <row r="91" ht="15.75" customHeight="1">
      <c r="F91" s="6"/>
    </row>
    <row r="92" ht="15.75" customHeight="1">
      <c r="F92" s="6"/>
    </row>
    <row r="93" ht="15.75" customHeight="1">
      <c r="F93" s="6"/>
    </row>
    <row r="94" ht="15.75" customHeight="1">
      <c r="F94" s="6"/>
    </row>
    <row r="95" ht="15.75" customHeight="1">
      <c r="F95" s="6"/>
    </row>
    <row r="96" ht="15.75" customHeight="1">
      <c r="F96" s="6"/>
    </row>
    <row r="97" ht="15.75" customHeight="1">
      <c r="F97" s="6"/>
    </row>
    <row r="98" ht="15.75" customHeight="1">
      <c r="F98" s="6"/>
    </row>
    <row r="99" ht="15.75" customHeight="1">
      <c r="F99" s="6"/>
    </row>
    <row r="100" ht="15.75" customHeight="1">
      <c r="F100" s="6"/>
    </row>
    <row r="101" ht="15.75" customHeight="1">
      <c r="F101" s="6"/>
    </row>
    <row r="102" ht="15.75" customHeight="1">
      <c r="F102" s="6"/>
    </row>
    <row r="103" ht="15.75" customHeight="1">
      <c r="F103" s="6"/>
    </row>
    <row r="104" ht="15.75" customHeight="1">
      <c r="F104" s="6"/>
    </row>
    <row r="105" ht="15.75" customHeight="1">
      <c r="F105" s="6"/>
    </row>
    <row r="106" ht="15.75" customHeight="1">
      <c r="F106" s="6"/>
    </row>
    <row r="107" ht="15.75" customHeight="1">
      <c r="F107" s="6"/>
    </row>
    <row r="108" ht="15.75" customHeight="1">
      <c r="F108" s="6"/>
    </row>
    <row r="109" ht="15.75" customHeight="1">
      <c r="F109" s="6"/>
    </row>
    <row r="110" ht="15.75" customHeight="1">
      <c r="F110" s="6"/>
    </row>
    <row r="111" ht="15.75" customHeight="1">
      <c r="F111" s="6"/>
    </row>
    <row r="112" ht="15.75" customHeight="1">
      <c r="F112" s="6"/>
    </row>
    <row r="113" ht="15.75" customHeight="1">
      <c r="F113" s="6"/>
    </row>
    <row r="114" ht="15.75" customHeight="1">
      <c r="F114" s="6"/>
    </row>
    <row r="115" ht="15.75" customHeight="1">
      <c r="F115" s="6"/>
    </row>
    <row r="116" ht="15.75" customHeight="1">
      <c r="F116" s="6"/>
    </row>
    <row r="117" ht="15.75" customHeight="1">
      <c r="F117" s="6"/>
    </row>
    <row r="118" ht="15.75" customHeight="1">
      <c r="F118" s="6"/>
    </row>
    <row r="119" ht="15.75" customHeight="1">
      <c r="F119" s="6"/>
    </row>
    <row r="120" ht="15.75" customHeight="1">
      <c r="F120" s="6"/>
    </row>
    <row r="121" ht="15.75" customHeight="1">
      <c r="F121" s="6"/>
    </row>
    <row r="122" ht="15.75" customHeight="1">
      <c r="F122" s="6"/>
    </row>
    <row r="123" ht="15.75" customHeight="1">
      <c r="F123" s="6"/>
    </row>
    <row r="124" ht="15.75" customHeight="1">
      <c r="F124" s="6"/>
    </row>
    <row r="125" ht="15.75" customHeight="1">
      <c r="F125" s="6"/>
    </row>
    <row r="126" ht="15.75" customHeight="1">
      <c r="F126" s="6"/>
    </row>
    <row r="127" ht="15.75" customHeight="1">
      <c r="F127" s="6"/>
    </row>
    <row r="128" ht="15.75" customHeight="1">
      <c r="F128" s="6"/>
    </row>
    <row r="129" ht="15.75" customHeight="1">
      <c r="F129" s="6"/>
    </row>
    <row r="130" ht="15.75" customHeight="1">
      <c r="F130" s="6"/>
    </row>
    <row r="131" ht="15.75" customHeight="1">
      <c r="F131" s="6"/>
    </row>
    <row r="132" ht="15.75" customHeight="1">
      <c r="F132" s="6"/>
    </row>
    <row r="133" ht="15.75" customHeight="1">
      <c r="F133" s="6"/>
    </row>
    <row r="134" ht="15.75" customHeight="1">
      <c r="F134" s="6"/>
    </row>
    <row r="135" ht="15.75" customHeight="1">
      <c r="F135" s="6"/>
    </row>
    <row r="136" ht="15.75" customHeight="1">
      <c r="F136" s="6"/>
    </row>
    <row r="137" ht="15.75" customHeight="1">
      <c r="F137" s="6"/>
    </row>
    <row r="138" ht="15.75" customHeight="1">
      <c r="F138" s="6"/>
    </row>
    <row r="139" ht="15.75" customHeight="1">
      <c r="F139" s="6"/>
    </row>
    <row r="140" ht="15.75" customHeight="1">
      <c r="F140" s="6"/>
    </row>
    <row r="141" ht="15.75" customHeight="1">
      <c r="F141" s="6"/>
    </row>
    <row r="142" ht="15.75" customHeight="1">
      <c r="F142" s="6"/>
    </row>
    <row r="143" ht="15.75" customHeight="1">
      <c r="F143" s="6"/>
    </row>
    <row r="144" ht="15.75" customHeight="1">
      <c r="F144" s="6"/>
    </row>
    <row r="145" ht="15.75" customHeight="1">
      <c r="F145" s="6"/>
    </row>
    <row r="146" ht="15.75" customHeight="1">
      <c r="F146" s="6"/>
    </row>
    <row r="147" ht="15.75" customHeight="1">
      <c r="F147" s="6"/>
    </row>
    <row r="148" ht="15.75" customHeight="1">
      <c r="F148" s="6"/>
    </row>
    <row r="149" ht="15.75" customHeight="1">
      <c r="F149" s="6"/>
    </row>
    <row r="150" ht="15.75" customHeight="1">
      <c r="F150" s="6"/>
    </row>
    <row r="151" ht="15.75" customHeight="1">
      <c r="F151" s="6"/>
    </row>
    <row r="152" ht="15.75" customHeight="1">
      <c r="F152" s="6"/>
    </row>
    <row r="153" ht="15.75" customHeight="1">
      <c r="F153" s="6"/>
    </row>
    <row r="154" ht="15.75" customHeight="1">
      <c r="F154" s="6"/>
    </row>
    <row r="155" ht="15.75" customHeight="1">
      <c r="F155" s="6"/>
    </row>
    <row r="156" ht="15.75" customHeight="1">
      <c r="F156" s="6"/>
    </row>
    <row r="157" ht="15.75" customHeight="1">
      <c r="F157" s="6"/>
    </row>
    <row r="158" ht="15.75" customHeight="1">
      <c r="F158" s="6"/>
    </row>
    <row r="159" ht="15.75" customHeight="1">
      <c r="F159" s="6"/>
    </row>
    <row r="160" ht="15.75" customHeight="1">
      <c r="F160" s="6"/>
    </row>
    <row r="161" ht="15.75" customHeight="1">
      <c r="F161" s="6"/>
    </row>
    <row r="162" ht="15.75" customHeight="1">
      <c r="F162" s="6"/>
    </row>
    <row r="163" ht="15.75" customHeight="1">
      <c r="F163" s="6"/>
    </row>
    <row r="164" ht="15.75" customHeight="1">
      <c r="F164" s="6"/>
    </row>
    <row r="165" ht="15.75" customHeight="1">
      <c r="F165" s="6"/>
    </row>
    <row r="166" ht="15.75" customHeight="1">
      <c r="F166" s="6"/>
    </row>
    <row r="167" ht="15.75" customHeight="1">
      <c r="F167" s="6"/>
    </row>
    <row r="168" ht="15.75" customHeight="1">
      <c r="F168" s="6"/>
    </row>
    <row r="169" ht="15.75" customHeight="1">
      <c r="F169" s="6"/>
    </row>
    <row r="170" ht="15.75" customHeight="1">
      <c r="F170" s="6"/>
    </row>
    <row r="171" ht="15.75" customHeight="1">
      <c r="F171" s="6"/>
    </row>
    <row r="172" ht="15.75" customHeight="1">
      <c r="F172" s="6"/>
    </row>
    <row r="173" ht="15.75" customHeight="1">
      <c r="F173" s="6"/>
    </row>
    <row r="174" ht="15.75" customHeight="1">
      <c r="F174" s="6"/>
    </row>
    <row r="175" ht="15.75" customHeight="1">
      <c r="F175" s="6"/>
    </row>
    <row r="176" ht="15.75" customHeight="1">
      <c r="F176" s="6"/>
    </row>
    <row r="177" ht="15.75" customHeight="1">
      <c r="F177" s="6"/>
    </row>
    <row r="178" ht="15.75" customHeight="1">
      <c r="F178" s="6"/>
    </row>
    <row r="179" ht="15.75" customHeight="1">
      <c r="F179" s="6"/>
    </row>
    <row r="180" ht="15.75" customHeight="1">
      <c r="F180" s="6"/>
    </row>
    <row r="181" ht="15.75" customHeight="1">
      <c r="F181" s="6"/>
    </row>
    <row r="182" ht="15.75" customHeight="1">
      <c r="F182" s="6"/>
    </row>
    <row r="183" ht="15.75" customHeight="1">
      <c r="F183" s="6"/>
    </row>
    <row r="184" ht="15.75" customHeight="1">
      <c r="F184" s="6"/>
    </row>
    <row r="185" ht="15.75" customHeight="1">
      <c r="F185" s="6"/>
    </row>
    <row r="186" ht="15.75" customHeight="1">
      <c r="F186" s="6"/>
    </row>
    <row r="187" ht="15.75" customHeight="1">
      <c r="F187" s="6"/>
    </row>
    <row r="188" ht="15.75" customHeight="1">
      <c r="F188" s="6"/>
    </row>
    <row r="189" ht="15.75" customHeight="1">
      <c r="F189" s="6"/>
    </row>
    <row r="190" ht="15.75" customHeight="1">
      <c r="F190" s="6"/>
    </row>
    <row r="191" ht="15.75" customHeight="1">
      <c r="F191" s="6"/>
    </row>
    <row r="192" ht="15.75" customHeight="1">
      <c r="F192" s="6"/>
    </row>
    <row r="193" ht="15.75" customHeight="1">
      <c r="F193" s="6"/>
    </row>
    <row r="194" ht="15.75" customHeight="1">
      <c r="F194" s="6"/>
    </row>
    <row r="195" ht="15.75" customHeight="1">
      <c r="F195" s="6"/>
    </row>
    <row r="196" ht="15.75" customHeight="1">
      <c r="F196" s="6"/>
    </row>
    <row r="197" ht="15.75" customHeight="1">
      <c r="F197" s="6"/>
    </row>
    <row r="198" ht="15.75" customHeight="1">
      <c r="F198" s="6"/>
    </row>
    <row r="199" ht="15.75" customHeight="1">
      <c r="F199" s="6"/>
    </row>
    <row r="200" ht="15.75" customHeight="1">
      <c r="F200" s="6"/>
    </row>
    <row r="201" ht="15.75" customHeight="1">
      <c r="F201" s="6"/>
    </row>
    <row r="202" ht="15.75" customHeight="1">
      <c r="F202" s="6"/>
    </row>
    <row r="203" ht="15.75" customHeight="1">
      <c r="F203" s="6"/>
    </row>
    <row r="204" ht="15.75" customHeight="1">
      <c r="F204" s="6"/>
    </row>
    <row r="205" ht="15.75" customHeight="1">
      <c r="F205" s="6"/>
    </row>
    <row r="206" ht="15.75" customHeight="1">
      <c r="F206" s="6"/>
    </row>
    <row r="207" ht="15.75" customHeight="1">
      <c r="F207" s="6"/>
    </row>
    <row r="208" ht="15.75" customHeight="1">
      <c r="F208" s="6"/>
    </row>
    <row r="209" ht="15.75" customHeight="1">
      <c r="F209" s="6"/>
    </row>
    <row r="210" ht="15.75" customHeight="1">
      <c r="F210" s="6"/>
    </row>
    <row r="211" ht="15.75" customHeight="1">
      <c r="F211" s="6"/>
    </row>
    <row r="212" ht="15.75" customHeight="1">
      <c r="F212" s="6"/>
    </row>
    <row r="213" ht="15.75" customHeight="1">
      <c r="F213" s="6"/>
    </row>
    <row r="214" ht="15.75" customHeight="1">
      <c r="F214" s="6"/>
    </row>
    <row r="215" ht="15.75" customHeight="1">
      <c r="F215" s="6"/>
    </row>
    <row r="216" ht="15.75" customHeight="1">
      <c r="F216" s="6"/>
    </row>
    <row r="217" ht="15.75" customHeight="1">
      <c r="F217" s="6"/>
    </row>
    <row r="218" ht="15.75" customHeight="1">
      <c r="F218" s="6"/>
    </row>
    <row r="219" ht="15.75" customHeight="1">
      <c r="F219" s="6"/>
    </row>
    <row r="220" ht="15.75" customHeight="1">
      <c r="F220" s="6"/>
    </row>
    <row r="221" ht="15.75" customHeight="1">
      <c r="F221" s="6"/>
    </row>
    <row r="222" ht="15.75" customHeight="1">
      <c r="F222" s="6"/>
    </row>
    <row r="223" ht="15.75" customHeight="1">
      <c r="F223" s="6"/>
    </row>
    <row r="224" ht="15.75" customHeight="1">
      <c r="F224" s="6"/>
    </row>
    <row r="225" ht="15.75" customHeight="1">
      <c r="F225" s="6"/>
    </row>
    <row r="226" ht="15.75" customHeight="1">
      <c r="F226" s="6"/>
    </row>
    <row r="227" ht="15.75" customHeight="1">
      <c r="F227" s="6"/>
    </row>
    <row r="228" ht="15.75" customHeight="1">
      <c r="F228" s="6"/>
    </row>
    <row r="229" ht="15.75" customHeight="1">
      <c r="F229" s="6"/>
    </row>
    <row r="230" ht="15.75" customHeight="1">
      <c r="F230" s="6"/>
    </row>
    <row r="231" ht="15.75" customHeight="1">
      <c r="F231" s="6"/>
    </row>
    <row r="232" ht="15.75" customHeight="1">
      <c r="F232" s="6"/>
    </row>
    <row r="233" ht="15.75" customHeight="1">
      <c r="F233" s="6"/>
    </row>
    <row r="234" ht="15.75" customHeight="1">
      <c r="F234" s="6"/>
    </row>
    <row r="235" ht="15.75" customHeight="1">
      <c r="F235" s="6"/>
    </row>
    <row r="236" ht="15.75" customHeight="1">
      <c r="F236" s="6"/>
    </row>
    <row r="237" ht="15.75" customHeight="1">
      <c r="F237" s="6"/>
    </row>
    <row r="238" ht="15.75" customHeight="1">
      <c r="F238" s="6"/>
    </row>
    <row r="239" ht="15.75" customHeight="1">
      <c r="F239" s="6"/>
    </row>
    <row r="240" ht="15.75" customHeight="1">
      <c r="F240" s="6"/>
    </row>
    <row r="241" ht="15.75" customHeight="1">
      <c r="F241" s="6"/>
    </row>
    <row r="242" ht="15.75" customHeight="1">
      <c r="F242" s="6"/>
    </row>
    <row r="243" ht="15.75" customHeight="1">
      <c r="F243" s="6"/>
    </row>
    <row r="244" ht="15.75" customHeight="1">
      <c r="F244" s="6"/>
    </row>
    <row r="245" ht="15.75" customHeight="1">
      <c r="F245" s="6"/>
    </row>
    <row r="246" ht="15.75" customHeight="1">
      <c r="F246" s="6"/>
    </row>
    <row r="247" ht="15.75" customHeight="1">
      <c r="F247" s="6"/>
    </row>
    <row r="248" ht="15.75" customHeight="1">
      <c r="F248" s="6"/>
    </row>
    <row r="249" ht="15.75" customHeight="1">
      <c r="F249" s="6"/>
    </row>
    <row r="250" ht="15.75" customHeight="1">
      <c r="F250" s="6"/>
    </row>
    <row r="251" ht="15.75" customHeight="1">
      <c r="F251" s="6"/>
    </row>
    <row r="252" ht="15.75" customHeight="1">
      <c r="F252" s="6"/>
    </row>
    <row r="253" ht="15.75" customHeight="1">
      <c r="F253" s="6"/>
    </row>
    <row r="254" ht="15.75" customHeight="1">
      <c r="F254" s="6"/>
    </row>
    <row r="255" ht="15.75" customHeight="1">
      <c r="F255" s="6"/>
    </row>
    <row r="256" ht="15.75" customHeight="1">
      <c r="F256" s="6"/>
    </row>
    <row r="257" ht="15.75" customHeight="1">
      <c r="F257" s="6"/>
    </row>
    <row r="258" ht="15.75" customHeight="1">
      <c r="F258" s="6"/>
    </row>
    <row r="259" ht="15.75" customHeight="1">
      <c r="F259" s="6"/>
    </row>
    <row r="260" ht="15.75" customHeight="1">
      <c r="F260" s="6"/>
    </row>
    <row r="261" ht="15.75" customHeight="1">
      <c r="F261" s="6"/>
    </row>
    <row r="262" ht="15.75" customHeight="1">
      <c r="F262" s="6"/>
    </row>
    <row r="263" ht="15.75" customHeight="1">
      <c r="F263" s="6"/>
    </row>
    <row r="264" ht="15.75" customHeight="1">
      <c r="F264" s="6"/>
    </row>
    <row r="265" ht="15.75" customHeight="1">
      <c r="F265" s="6"/>
    </row>
    <row r="266" ht="15.75" customHeight="1">
      <c r="F266" s="6"/>
    </row>
    <row r="267" ht="15.75" customHeight="1">
      <c r="F267" s="6"/>
    </row>
    <row r="268" ht="15.75" customHeight="1">
      <c r="F268" s="6"/>
    </row>
    <row r="269" ht="15.75" customHeight="1">
      <c r="F269" s="6"/>
    </row>
    <row r="270" ht="15.75" customHeight="1">
      <c r="F270" s="6"/>
    </row>
    <row r="271" ht="15.75" customHeight="1">
      <c r="F271" s="6"/>
    </row>
    <row r="272" ht="15.75" customHeight="1">
      <c r="F272" s="6"/>
    </row>
    <row r="273" ht="15.75" customHeight="1">
      <c r="F273" s="6"/>
    </row>
    <row r="274" ht="15.75" customHeight="1">
      <c r="F274" s="6"/>
    </row>
    <row r="275" ht="15.75" customHeight="1">
      <c r="F275" s="6"/>
    </row>
    <row r="276" ht="15.75" customHeight="1">
      <c r="F276" s="6"/>
    </row>
    <row r="277" ht="15.75" customHeight="1">
      <c r="F277" s="6"/>
    </row>
    <row r="278" ht="15.75" customHeight="1">
      <c r="F278" s="6"/>
    </row>
    <row r="279" ht="15.75" customHeight="1">
      <c r="F279" s="6"/>
    </row>
    <row r="280" ht="15.75" customHeight="1">
      <c r="F280" s="6"/>
    </row>
    <row r="281" ht="15.75" customHeight="1">
      <c r="F281" s="6"/>
    </row>
    <row r="282" ht="15.75" customHeight="1">
      <c r="F282" s="6"/>
    </row>
    <row r="283" ht="15.75" customHeight="1">
      <c r="F283" s="6"/>
    </row>
    <row r="284" ht="15.75" customHeight="1">
      <c r="F284" s="6"/>
    </row>
    <row r="285" ht="15.75" customHeight="1">
      <c r="F285" s="6"/>
    </row>
    <row r="286" ht="15.75" customHeight="1">
      <c r="F286" s="6"/>
    </row>
    <row r="287" ht="15.75" customHeight="1">
      <c r="F287" s="6"/>
    </row>
    <row r="288" ht="15.75" customHeight="1">
      <c r="F288" s="6"/>
    </row>
    <row r="289" ht="15.75" customHeight="1">
      <c r="F289" s="6"/>
    </row>
    <row r="290" ht="15.75" customHeight="1">
      <c r="F290" s="6"/>
    </row>
    <row r="291" ht="15.75" customHeight="1">
      <c r="F291" s="6"/>
    </row>
    <row r="292" ht="15.75" customHeight="1">
      <c r="F292" s="6"/>
    </row>
    <row r="293" ht="15.75" customHeight="1">
      <c r="F293" s="6"/>
    </row>
    <row r="294" ht="15.75" customHeight="1">
      <c r="F294" s="6"/>
    </row>
    <row r="295" ht="15.75" customHeight="1">
      <c r="F295" s="6"/>
    </row>
    <row r="296" ht="15.75" customHeight="1">
      <c r="F296" s="6"/>
    </row>
    <row r="297" ht="15.75" customHeight="1">
      <c r="F297" s="6"/>
    </row>
    <row r="298" ht="15.75" customHeight="1">
      <c r="F298" s="6"/>
    </row>
    <row r="299" ht="15.75" customHeight="1">
      <c r="F299" s="6"/>
    </row>
    <row r="300" ht="15.75" customHeight="1">
      <c r="F300" s="6"/>
    </row>
    <row r="301" ht="15.75" customHeight="1">
      <c r="F301" s="6"/>
    </row>
    <row r="302" ht="15.75" customHeight="1">
      <c r="F302" s="6"/>
    </row>
    <row r="303" ht="15.75" customHeight="1">
      <c r="F303" s="6"/>
    </row>
    <row r="304" ht="15.75" customHeight="1">
      <c r="F304" s="6"/>
    </row>
    <row r="305" ht="15.75" customHeight="1">
      <c r="F305" s="6"/>
    </row>
    <row r="306" ht="15.75" customHeight="1">
      <c r="F306" s="6"/>
    </row>
    <row r="307" ht="15.75" customHeight="1">
      <c r="F307" s="6"/>
    </row>
    <row r="308" ht="15.75" customHeight="1">
      <c r="F308" s="6"/>
    </row>
    <row r="309" ht="15.75" customHeight="1">
      <c r="F309" s="6"/>
    </row>
    <row r="310" ht="15.75" customHeight="1">
      <c r="F310" s="6"/>
    </row>
    <row r="311" ht="15.75" customHeight="1">
      <c r="F311" s="6"/>
    </row>
    <row r="312" ht="15.75" customHeight="1">
      <c r="F312" s="6"/>
    </row>
    <row r="313" ht="15.75" customHeight="1">
      <c r="F313" s="6"/>
    </row>
    <row r="314" ht="15.75" customHeight="1">
      <c r="F314" s="6"/>
    </row>
    <row r="315" ht="15.75" customHeight="1">
      <c r="F315" s="6"/>
    </row>
    <row r="316" ht="15.75" customHeight="1">
      <c r="F316" s="6"/>
    </row>
    <row r="317" ht="15.75" customHeight="1">
      <c r="F317" s="6"/>
    </row>
    <row r="318" ht="15.75" customHeight="1">
      <c r="F318" s="6"/>
    </row>
    <row r="319" ht="15.75" customHeight="1">
      <c r="F319" s="6"/>
    </row>
    <row r="320" ht="15.75" customHeight="1">
      <c r="F320" s="6"/>
    </row>
    <row r="321" ht="15.75" customHeight="1">
      <c r="F321" s="6"/>
    </row>
    <row r="322" ht="15.75" customHeight="1">
      <c r="F322" s="6"/>
    </row>
    <row r="323" ht="15.75" customHeight="1">
      <c r="F323" s="6"/>
    </row>
    <row r="324" ht="15.75" customHeight="1">
      <c r="F324" s="6"/>
    </row>
    <row r="325" ht="15.75" customHeight="1">
      <c r="F325" s="6"/>
    </row>
    <row r="326" ht="15.75" customHeight="1">
      <c r="F326" s="6"/>
    </row>
    <row r="327" ht="15.75" customHeight="1">
      <c r="F327" s="6"/>
    </row>
    <row r="328" ht="15.75" customHeight="1">
      <c r="F328" s="6"/>
    </row>
    <row r="329" ht="15.75" customHeight="1">
      <c r="F329" s="6"/>
    </row>
    <row r="330" ht="15.75" customHeight="1">
      <c r="F330" s="6"/>
    </row>
    <row r="331" ht="15.75" customHeight="1">
      <c r="F331" s="6"/>
    </row>
    <row r="332" ht="15.75" customHeight="1">
      <c r="F332" s="6"/>
    </row>
    <row r="333" ht="15.75" customHeight="1">
      <c r="F333" s="6"/>
    </row>
    <row r="334" ht="15.75" customHeight="1">
      <c r="F334" s="6"/>
    </row>
    <row r="335" ht="15.75" customHeight="1">
      <c r="F335" s="6"/>
    </row>
    <row r="336" ht="15.75" customHeight="1">
      <c r="F336" s="6"/>
    </row>
    <row r="337" ht="15.75" customHeight="1">
      <c r="F337" s="6"/>
    </row>
    <row r="338" ht="15.75" customHeight="1">
      <c r="F338" s="6"/>
    </row>
    <row r="339" ht="15.75" customHeight="1">
      <c r="F339" s="6"/>
    </row>
    <row r="340" ht="15.75" customHeight="1">
      <c r="F340" s="6"/>
    </row>
    <row r="341" ht="15.75" customHeight="1">
      <c r="F341" s="6"/>
    </row>
    <row r="342" ht="15.75" customHeight="1">
      <c r="F342" s="6"/>
    </row>
    <row r="343" ht="15.75" customHeight="1">
      <c r="F343" s="6"/>
    </row>
    <row r="344" ht="15.75" customHeight="1">
      <c r="F344" s="6"/>
    </row>
    <row r="345" ht="15.75" customHeight="1">
      <c r="F345" s="6"/>
    </row>
    <row r="346" ht="15.75" customHeight="1">
      <c r="F346" s="6"/>
    </row>
    <row r="347" ht="15.75" customHeight="1">
      <c r="F347" s="6"/>
    </row>
    <row r="348" ht="15.75" customHeight="1">
      <c r="F348" s="6"/>
    </row>
    <row r="349" ht="15.75" customHeight="1">
      <c r="F349" s="6"/>
    </row>
    <row r="350" ht="15.75" customHeight="1">
      <c r="F350" s="6"/>
    </row>
    <row r="351" ht="15.75" customHeight="1">
      <c r="F351" s="6"/>
    </row>
    <row r="352" ht="15.75" customHeight="1">
      <c r="F352" s="6"/>
    </row>
    <row r="353" ht="15.75" customHeight="1">
      <c r="F353" s="6"/>
    </row>
    <row r="354" ht="15.75" customHeight="1">
      <c r="F354" s="6"/>
    </row>
    <row r="355" ht="15.75" customHeight="1">
      <c r="F355" s="6"/>
    </row>
    <row r="356" ht="15.75" customHeight="1">
      <c r="F356" s="6"/>
    </row>
    <row r="357" ht="15.75" customHeight="1">
      <c r="F357" s="6"/>
    </row>
    <row r="358" ht="15.75" customHeight="1">
      <c r="F358" s="6"/>
    </row>
    <row r="359" ht="15.75" customHeight="1">
      <c r="F359" s="6"/>
    </row>
    <row r="360" ht="15.75" customHeight="1">
      <c r="F360" s="6"/>
    </row>
    <row r="361" ht="15.75" customHeight="1">
      <c r="F361" s="6"/>
    </row>
    <row r="362" ht="15.75" customHeight="1">
      <c r="F362" s="6"/>
    </row>
    <row r="363" ht="15.75" customHeight="1">
      <c r="F363" s="6"/>
    </row>
    <row r="364" ht="15.75" customHeight="1">
      <c r="F364" s="6"/>
    </row>
    <row r="365" ht="15.75" customHeight="1">
      <c r="F365" s="6"/>
    </row>
    <row r="366" ht="15.75" customHeight="1">
      <c r="F366" s="6"/>
    </row>
    <row r="367" ht="15.75" customHeight="1">
      <c r="F367" s="6"/>
    </row>
    <row r="368" ht="15.75" customHeight="1">
      <c r="F368" s="6"/>
    </row>
    <row r="369" ht="15.75" customHeight="1">
      <c r="F369" s="6"/>
    </row>
    <row r="370" ht="15.75" customHeight="1">
      <c r="F370" s="6"/>
    </row>
    <row r="371" ht="15.75" customHeight="1">
      <c r="F371" s="6"/>
    </row>
    <row r="372" ht="15.75" customHeight="1">
      <c r="F372" s="6"/>
    </row>
    <row r="373" ht="15.75" customHeight="1">
      <c r="F373" s="6"/>
    </row>
    <row r="374" ht="15.75" customHeight="1">
      <c r="F374" s="6"/>
    </row>
    <row r="375" ht="15.75" customHeight="1">
      <c r="F375" s="6"/>
    </row>
    <row r="376" ht="15.75" customHeight="1">
      <c r="F376" s="6"/>
    </row>
    <row r="377" ht="15.75" customHeight="1">
      <c r="F377" s="6"/>
    </row>
    <row r="378" ht="15.75" customHeight="1">
      <c r="F378" s="6"/>
    </row>
    <row r="379" ht="15.75" customHeight="1">
      <c r="F379" s="6"/>
    </row>
    <row r="380" ht="15.75" customHeight="1">
      <c r="F380" s="6"/>
    </row>
    <row r="381" ht="15.75" customHeight="1">
      <c r="F381" s="6"/>
    </row>
    <row r="382" ht="15.75" customHeight="1">
      <c r="F382" s="6"/>
    </row>
    <row r="383" ht="15.75" customHeight="1">
      <c r="F383" s="6"/>
    </row>
    <row r="384" ht="15.75" customHeight="1">
      <c r="F384" s="6"/>
    </row>
    <row r="385" ht="15.75" customHeight="1">
      <c r="F385" s="6"/>
    </row>
    <row r="386" ht="15.75" customHeight="1">
      <c r="F386" s="6"/>
    </row>
    <row r="387" ht="15.75" customHeight="1">
      <c r="F387" s="6"/>
    </row>
    <row r="388" ht="15.75" customHeight="1">
      <c r="F388" s="6"/>
    </row>
    <row r="389" ht="15.75" customHeight="1">
      <c r="F389" s="6"/>
    </row>
    <row r="390" ht="15.75" customHeight="1">
      <c r="F390" s="6"/>
    </row>
    <row r="391" ht="15.75" customHeight="1">
      <c r="F391" s="6"/>
    </row>
    <row r="392" ht="15.75" customHeight="1">
      <c r="F392" s="6"/>
    </row>
    <row r="393" ht="15.75" customHeight="1">
      <c r="F393" s="6"/>
    </row>
    <row r="394" ht="15.75" customHeight="1">
      <c r="F394" s="6"/>
    </row>
    <row r="395" ht="15.75" customHeight="1">
      <c r="F395" s="6"/>
    </row>
    <row r="396" ht="15.75" customHeight="1">
      <c r="F396" s="6"/>
    </row>
    <row r="397" ht="15.75" customHeight="1">
      <c r="F397" s="6"/>
    </row>
    <row r="398" ht="15.75" customHeight="1">
      <c r="F398" s="6"/>
    </row>
    <row r="399" ht="15.75" customHeight="1">
      <c r="F399" s="6"/>
    </row>
    <row r="400" ht="15.75" customHeight="1">
      <c r="F400" s="6"/>
    </row>
    <row r="401" ht="15.75" customHeight="1">
      <c r="F401" s="6"/>
    </row>
    <row r="402" ht="15.75" customHeight="1">
      <c r="F402" s="6"/>
    </row>
    <row r="403" ht="15.75" customHeight="1">
      <c r="F403" s="6"/>
    </row>
    <row r="404" ht="15.75" customHeight="1">
      <c r="F404" s="6"/>
    </row>
    <row r="405" ht="15.75" customHeight="1">
      <c r="F405" s="6"/>
    </row>
    <row r="406" ht="15.75" customHeight="1">
      <c r="F406" s="6"/>
    </row>
    <row r="407" ht="15.75" customHeight="1">
      <c r="F407" s="6"/>
    </row>
    <row r="408" ht="15.75" customHeight="1">
      <c r="F408" s="6"/>
    </row>
    <row r="409" ht="15.75" customHeight="1">
      <c r="F409" s="6"/>
    </row>
    <row r="410" ht="15.75" customHeight="1">
      <c r="F410" s="6"/>
    </row>
    <row r="411" ht="15.75" customHeight="1">
      <c r="F411" s="6"/>
    </row>
    <row r="412" ht="15.75" customHeight="1">
      <c r="F412" s="6"/>
    </row>
    <row r="413" ht="15.75" customHeight="1">
      <c r="F413" s="6"/>
    </row>
    <row r="414" ht="15.75" customHeight="1">
      <c r="F414" s="6"/>
    </row>
    <row r="415" ht="15.75" customHeight="1">
      <c r="F415" s="6"/>
    </row>
    <row r="416" ht="15.75" customHeight="1">
      <c r="F416" s="6"/>
    </row>
    <row r="417" ht="15.75" customHeight="1">
      <c r="F417" s="6"/>
    </row>
    <row r="418" ht="15.75" customHeight="1">
      <c r="F418" s="6"/>
    </row>
    <row r="419" ht="15.75" customHeight="1">
      <c r="F419" s="6"/>
    </row>
    <row r="420" ht="15.75" customHeight="1">
      <c r="F420" s="6"/>
    </row>
    <row r="421" ht="15.75" customHeight="1">
      <c r="F421" s="6"/>
    </row>
    <row r="422" ht="15.75" customHeight="1">
      <c r="F422" s="6"/>
    </row>
    <row r="423" ht="15.75" customHeight="1">
      <c r="F423" s="6"/>
    </row>
    <row r="424" ht="15.75" customHeight="1">
      <c r="F424" s="6"/>
    </row>
    <row r="425" ht="15.75" customHeight="1">
      <c r="F425" s="6"/>
    </row>
    <row r="426" ht="15.75" customHeight="1">
      <c r="F426" s="6"/>
    </row>
    <row r="427" ht="15.75" customHeight="1">
      <c r="F427" s="6"/>
    </row>
    <row r="428" ht="15.75" customHeight="1">
      <c r="F428" s="6"/>
    </row>
    <row r="429" ht="15.75" customHeight="1">
      <c r="F429" s="6"/>
    </row>
    <row r="430" ht="15.75" customHeight="1">
      <c r="F430" s="6"/>
    </row>
    <row r="431" ht="15.75" customHeight="1">
      <c r="F431" s="6"/>
    </row>
    <row r="432" ht="15.75" customHeight="1">
      <c r="F432" s="6"/>
    </row>
    <row r="433" ht="15.75" customHeight="1">
      <c r="F433" s="6"/>
    </row>
    <row r="434" ht="15.75" customHeight="1">
      <c r="F434" s="6"/>
    </row>
    <row r="435" ht="15.75" customHeight="1">
      <c r="F435" s="6"/>
    </row>
    <row r="436" ht="15.75" customHeight="1">
      <c r="F436" s="6"/>
    </row>
    <row r="437" ht="15.75" customHeight="1">
      <c r="F437" s="6"/>
    </row>
    <row r="438" ht="15.75" customHeight="1">
      <c r="F438" s="6"/>
    </row>
    <row r="439" ht="15.75" customHeight="1">
      <c r="F439" s="6"/>
    </row>
    <row r="440" ht="15.75" customHeight="1">
      <c r="F440" s="6"/>
    </row>
    <row r="441" ht="15.75" customHeight="1">
      <c r="F441" s="6"/>
    </row>
    <row r="442" ht="15.75" customHeight="1">
      <c r="F442" s="6"/>
    </row>
    <row r="443" ht="15.75" customHeight="1">
      <c r="F443" s="6"/>
    </row>
    <row r="444" ht="15.75" customHeight="1">
      <c r="F444" s="6"/>
    </row>
    <row r="445" ht="15.75" customHeight="1">
      <c r="F445" s="6"/>
    </row>
    <row r="446" ht="15.75" customHeight="1">
      <c r="F446" s="6"/>
    </row>
    <row r="447" ht="15.75" customHeight="1">
      <c r="F447" s="6"/>
    </row>
    <row r="448" ht="15.75" customHeight="1">
      <c r="F448" s="6"/>
    </row>
    <row r="449" ht="15.75" customHeight="1">
      <c r="F449" s="6"/>
    </row>
    <row r="450" ht="15.75" customHeight="1">
      <c r="F450" s="6"/>
    </row>
    <row r="451" ht="15.75" customHeight="1">
      <c r="F451" s="6"/>
    </row>
    <row r="452" ht="15.75" customHeight="1">
      <c r="F452" s="6"/>
    </row>
    <row r="453" ht="15.75" customHeight="1">
      <c r="F453" s="6"/>
    </row>
    <row r="454" ht="15.75" customHeight="1">
      <c r="F454" s="6"/>
    </row>
    <row r="455" ht="15.75" customHeight="1">
      <c r="F455" s="6"/>
    </row>
    <row r="456" ht="15.75" customHeight="1">
      <c r="F456" s="6"/>
    </row>
    <row r="457" ht="15.75" customHeight="1">
      <c r="F457" s="6"/>
    </row>
    <row r="458" ht="15.75" customHeight="1">
      <c r="F458" s="6"/>
    </row>
    <row r="459" ht="15.75" customHeight="1">
      <c r="F459" s="6"/>
    </row>
    <row r="460" ht="15.75" customHeight="1">
      <c r="F460" s="6"/>
    </row>
    <row r="461" ht="15.75" customHeight="1">
      <c r="F461" s="6"/>
    </row>
    <row r="462" ht="15.75" customHeight="1">
      <c r="F462" s="6"/>
    </row>
    <row r="463" ht="15.75" customHeight="1">
      <c r="F463" s="6"/>
    </row>
    <row r="464" ht="15.75" customHeight="1">
      <c r="F464" s="6"/>
    </row>
    <row r="465" ht="15.75" customHeight="1">
      <c r="F465" s="6"/>
    </row>
    <row r="466" ht="15.75" customHeight="1">
      <c r="F466" s="6"/>
    </row>
    <row r="467" ht="15.75" customHeight="1">
      <c r="F467" s="6"/>
    </row>
    <row r="468" ht="15.75" customHeight="1">
      <c r="F468" s="6"/>
    </row>
    <row r="469" ht="15.75" customHeight="1">
      <c r="F469" s="6"/>
    </row>
    <row r="470" ht="15.75" customHeight="1">
      <c r="F470" s="6"/>
    </row>
    <row r="471" ht="15.75" customHeight="1">
      <c r="F471" s="6"/>
    </row>
    <row r="472" ht="15.75" customHeight="1">
      <c r="F472" s="6"/>
    </row>
    <row r="473" ht="15.75" customHeight="1">
      <c r="F473" s="6"/>
    </row>
    <row r="474" ht="15.75" customHeight="1">
      <c r="F474" s="6"/>
    </row>
    <row r="475" ht="15.75" customHeight="1">
      <c r="F475" s="6"/>
    </row>
    <row r="476" ht="15.75" customHeight="1">
      <c r="F476" s="6"/>
    </row>
    <row r="477" ht="15.75" customHeight="1">
      <c r="F477" s="6"/>
    </row>
    <row r="478" ht="15.75" customHeight="1">
      <c r="F478" s="6"/>
    </row>
    <row r="479" ht="15.75" customHeight="1">
      <c r="F479" s="6"/>
    </row>
    <row r="480" ht="15.75" customHeight="1">
      <c r="F480" s="6"/>
    </row>
    <row r="481" ht="15.75" customHeight="1">
      <c r="F481" s="6"/>
    </row>
    <row r="482" ht="15.75" customHeight="1">
      <c r="F482" s="6"/>
    </row>
    <row r="483" ht="15.75" customHeight="1">
      <c r="F483" s="6"/>
    </row>
    <row r="484" ht="15.75" customHeight="1">
      <c r="F484" s="6"/>
    </row>
    <row r="485" ht="15.75" customHeight="1">
      <c r="F485" s="6"/>
    </row>
    <row r="486" ht="15.75" customHeight="1">
      <c r="F486" s="6"/>
    </row>
    <row r="487" ht="15.75" customHeight="1">
      <c r="F487" s="6"/>
    </row>
    <row r="488" ht="15.75" customHeight="1">
      <c r="F488" s="6"/>
    </row>
    <row r="489" ht="15.75" customHeight="1">
      <c r="F489" s="6"/>
    </row>
    <row r="490" ht="15.75" customHeight="1">
      <c r="F490" s="6"/>
    </row>
    <row r="491" ht="15.75" customHeight="1">
      <c r="F491" s="6"/>
    </row>
    <row r="492" ht="15.75" customHeight="1">
      <c r="F492" s="6"/>
    </row>
    <row r="493" ht="15.75" customHeight="1">
      <c r="F493" s="6"/>
    </row>
    <row r="494" ht="15.75" customHeight="1">
      <c r="F494" s="6"/>
    </row>
    <row r="495" ht="15.75" customHeight="1">
      <c r="F495" s="6"/>
    </row>
    <row r="496" ht="15.75" customHeight="1">
      <c r="F496" s="6"/>
    </row>
    <row r="497" ht="15.75" customHeight="1">
      <c r="F497" s="6"/>
    </row>
    <row r="498" ht="15.75" customHeight="1">
      <c r="F498" s="6"/>
    </row>
    <row r="499" ht="15.75" customHeight="1">
      <c r="F499" s="6"/>
    </row>
    <row r="500" ht="15.75" customHeight="1">
      <c r="F500" s="6"/>
    </row>
    <row r="501" ht="15.75" customHeight="1">
      <c r="F501" s="6"/>
    </row>
    <row r="502" ht="15.75" customHeight="1">
      <c r="F502" s="6"/>
    </row>
    <row r="503" ht="15.75" customHeight="1">
      <c r="F503" s="6"/>
    </row>
    <row r="504" ht="15.75" customHeight="1">
      <c r="F504" s="6"/>
    </row>
    <row r="505" ht="15.75" customHeight="1">
      <c r="F505" s="6"/>
    </row>
    <row r="506" ht="15.75" customHeight="1">
      <c r="F506" s="6"/>
    </row>
    <row r="507" ht="15.75" customHeight="1">
      <c r="F507" s="6"/>
    </row>
    <row r="508" ht="15.75" customHeight="1">
      <c r="F508" s="6"/>
    </row>
    <row r="509" ht="15.75" customHeight="1">
      <c r="F509" s="6"/>
    </row>
    <row r="510" ht="15.75" customHeight="1">
      <c r="F510" s="6"/>
    </row>
    <row r="511" ht="15.75" customHeight="1">
      <c r="F511" s="6"/>
    </row>
    <row r="512" ht="15.75" customHeight="1">
      <c r="F512" s="6"/>
    </row>
    <row r="513" ht="15.75" customHeight="1">
      <c r="F513" s="6"/>
    </row>
    <row r="514" ht="15.75" customHeight="1">
      <c r="F514" s="6"/>
    </row>
    <row r="515" ht="15.75" customHeight="1">
      <c r="F515" s="6"/>
    </row>
    <row r="516" ht="15.75" customHeight="1">
      <c r="F516" s="6"/>
    </row>
    <row r="517" ht="15.75" customHeight="1">
      <c r="F517" s="6"/>
    </row>
    <row r="518" ht="15.75" customHeight="1">
      <c r="F518" s="6"/>
    </row>
    <row r="519" ht="15.75" customHeight="1">
      <c r="F519" s="6"/>
    </row>
    <row r="520" ht="15.75" customHeight="1">
      <c r="F520" s="6"/>
    </row>
    <row r="521" ht="15.75" customHeight="1">
      <c r="F521" s="6"/>
    </row>
    <row r="522" ht="15.75" customHeight="1">
      <c r="F522" s="6"/>
    </row>
    <row r="523" ht="15.75" customHeight="1">
      <c r="F523" s="6"/>
    </row>
    <row r="524" ht="15.75" customHeight="1">
      <c r="F524" s="6"/>
    </row>
    <row r="525" ht="15.75" customHeight="1">
      <c r="F525" s="6"/>
    </row>
    <row r="526" ht="15.75" customHeight="1">
      <c r="F526" s="6"/>
    </row>
    <row r="527" ht="15.75" customHeight="1">
      <c r="F527" s="6"/>
    </row>
    <row r="528" ht="15.75" customHeight="1">
      <c r="F528" s="6"/>
    </row>
    <row r="529" ht="15.75" customHeight="1">
      <c r="F529" s="6"/>
    </row>
    <row r="530" ht="15.75" customHeight="1">
      <c r="F530" s="6"/>
    </row>
    <row r="531" ht="15.75" customHeight="1">
      <c r="F531" s="6"/>
    </row>
    <row r="532" ht="15.75" customHeight="1">
      <c r="F532" s="6"/>
    </row>
    <row r="533" ht="15.75" customHeight="1">
      <c r="F533" s="6"/>
    </row>
    <row r="534" ht="15.75" customHeight="1">
      <c r="F534" s="6"/>
    </row>
    <row r="535" ht="15.75" customHeight="1">
      <c r="F535" s="6"/>
    </row>
    <row r="536" ht="15.75" customHeight="1">
      <c r="F536" s="6"/>
    </row>
    <row r="537" ht="15.75" customHeight="1">
      <c r="F537" s="6"/>
    </row>
    <row r="538" ht="15.75" customHeight="1">
      <c r="F538" s="6"/>
    </row>
    <row r="539" ht="15.75" customHeight="1">
      <c r="F539" s="6"/>
    </row>
    <row r="540" ht="15.75" customHeight="1">
      <c r="F540" s="6"/>
    </row>
    <row r="541" ht="15.75" customHeight="1">
      <c r="F541" s="6"/>
    </row>
    <row r="542" ht="15.75" customHeight="1">
      <c r="F542" s="6"/>
    </row>
    <row r="543" ht="15.75" customHeight="1">
      <c r="F543" s="6"/>
    </row>
    <row r="544" ht="15.75" customHeight="1">
      <c r="F544" s="6"/>
    </row>
    <row r="545" ht="15.75" customHeight="1">
      <c r="F545" s="6"/>
    </row>
    <row r="546" ht="15.75" customHeight="1">
      <c r="F546" s="6"/>
    </row>
    <row r="547" ht="15.75" customHeight="1">
      <c r="F547" s="6"/>
    </row>
    <row r="548" ht="15.75" customHeight="1">
      <c r="F548" s="6"/>
    </row>
    <row r="549" ht="15.75" customHeight="1">
      <c r="F549" s="6"/>
    </row>
    <row r="550" ht="15.75" customHeight="1">
      <c r="F550" s="6"/>
    </row>
    <row r="551" ht="15.75" customHeight="1">
      <c r="F551" s="6"/>
    </row>
    <row r="552" ht="15.75" customHeight="1">
      <c r="F552" s="6"/>
    </row>
    <row r="553" ht="15.75" customHeight="1">
      <c r="F553" s="6"/>
    </row>
    <row r="554" ht="15.75" customHeight="1">
      <c r="F554" s="6"/>
    </row>
    <row r="555" ht="15.75" customHeight="1">
      <c r="F555" s="6"/>
    </row>
    <row r="556" ht="15.75" customHeight="1">
      <c r="F556" s="6"/>
    </row>
    <row r="557" ht="15.75" customHeight="1">
      <c r="F557" s="6"/>
    </row>
    <row r="558" ht="15.75" customHeight="1">
      <c r="F558" s="6"/>
    </row>
    <row r="559" ht="15.75" customHeight="1">
      <c r="F559" s="6"/>
    </row>
    <row r="560" ht="15.75" customHeight="1">
      <c r="F560" s="6"/>
    </row>
    <row r="561" ht="15.75" customHeight="1">
      <c r="F561" s="6"/>
    </row>
    <row r="562" ht="15.75" customHeight="1">
      <c r="F562" s="6"/>
    </row>
    <row r="563" ht="15.75" customHeight="1">
      <c r="F563" s="6"/>
    </row>
    <row r="564" ht="15.75" customHeight="1">
      <c r="F564" s="6"/>
    </row>
    <row r="565" ht="15.75" customHeight="1">
      <c r="F565" s="6"/>
    </row>
    <row r="566" ht="15.75" customHeight="1">
      <c r="F566" s="6"/>
    </row>
    <row r="567" ht="15.75" customHeight="1">
      <c r="F567" s="6"/>
    </row>
    <row r="568" ht="15.75" customHeight="1">
      <c r="F568" s="6"/>
    </row>
    <row r="569" ht="15.75" customHeight="1">
      <c r="F569" s="6"/>
    </row>
    <row r="570" ht="15.75" customHeight="1">
      <c r="F570" s="6"/>
    </row>
    <row r="571" ht="15.75" customHeight="1">
      <c r="F571" s="6"/>
    </row>
    <row r="572" ht="15.75" customHeight="1">
      <c r="F572" s="6"/>
    </row>
    <row r="573" ht="15.75" customHeight="1">
      <c r="F573" s="6"/>
    </row>
    <row r="574" ht="15.75" customHeight="1">
      <c r="F574" s="6"/>
    </row>
    <row r="575" ht="15.75" customHeight="1">
      <c r="F575" s="6"/>
    </row>
    <row r="576" ht="15.75" customHeight="1">
      <c r="F576" s="6"/>
    </row>
    <row r="577" ht="15.75" customHeight="1">
      <c r="F577" s="6"/>
    </row>
    <row r="578" ht="15.75" customHeight="1">
      <c r="F578" s="6"/>
    </row>
    <row r="579" ht="15.75" customHeight="1">
      <c r="F579" s="6"/>
    </row>
    <row r="580" ht="15.75" customHeight="1">
      <c r="F580" s="6"/>
    </row>
    <row r="581" ht="15.75" customHeight="1">
      <c r="F581" s="6"/>
    </row>
    <row r="582" ht="15.75" customHeight="1">
      <c r="F582" s="6"/>
    </row>
    <row r="583" ht="15.75" customHeight="1">
      <c r="F583" s="6"/>
    </row>
    <row r="584" ht="15.75" customHeight="1">
      <c r="F584" s="6"/>
    </row>
    <row r="585" ht="15.75" customHeight="1">
      <c r="F585" s="6"/>
    </row>
    <row r="586" ht="15.75" customHeight="1">
      <c r="F586" s="6"/>
    </row>
    <row r="587" ht="15.75" customHeight="1">
      <c r="F587" s="6"/>
    </row>
    <row r="588" ht="15.75" customHeight="1">
      <c r="F588" s="6"/>
    </row>
    <row r="589" ht="15.75" customHeight="1">
      <c r="F589" s="6"/>
    </row>
    <row r="590" ht="15.75" customHeight="1">
      <c r="F590" s="6"/>
    </row>
    <row r="591" ht="15.75" customHeight="1">
      <c r="F591" s="6"/>
    </row>
    <row r="592" ht="15.75" customHeight="1">
      <c r="F592" s="6"/>
    </row>
    <row r="593" ht="15.75" customHeight="1">
      <c r="F593" s="6"/>
    </row>
    <row r="594" ht="15.75" customHeight="1">
      <c r="F594" s="6"/>
    </row>
    <row r="595" ht="15.75" customHeight="1">
      <c r="F595" s="6"/>
    </row>
    <row r="596" ht="15.75" customHeight="1">
      <c r="F596" s="6"/>
    </row>
    <row r="597" ht="15.75" customHeight="1">
      <c r="F597" s="6"/>
    </row>
    <row r="598" ht="15.75" customHeight="1">
      <c r="F598" s="6"/>
    </row>
    <row r="599" ht="15.75" customHeight="1">
      <c r="F599" s="6"/>
    </row>
    <row r="600" ht="15.75" customHeight="1">
      <c r="F600" s="6"/>
    </row>
    <row r="601" ht="15.75" customHeight="1">
      <c r="F601" s="6"/>
    </row>
    <row r="602" ht="15.75" customHeight="1">
      <c r="F602" s="6"/>
    </row>
    <row r="603" ht="15.75" customHeight="1">
      <c r="F603" s="6"/>
    </row>
    <row r="604" ht="15.75" customHeight="1">
      <c r="F604" s="6"/>
    </row>
    <row r="605" ht="15.75" customHeight="1">
      <c r="F605" s="6"/>
    </row>
    <row r="606" ht="15.75" customHeight="1">
      <c r="F606" s="6"/>
    </row>
    <row r="607" ht="15.75" customHeight="1">
      <c r="F607" s="6"/>
    </row>
    <row r="608" ht="15.75" customHeight="1">
      <c r="F608" s="6"/>
    </row>
    <row r="609" ht="15.75" customHeight="1">
      <c r="F609" s="6"/>
    </row>
    <row r="610" ht="15.75" customHeight="1">
      <c r="F610" s="6"/>
    </row>
    <row r="611" ht="15.75" customHeight="1">
      <c r="F611" s="6"/>
    </row>
    <row r="612" ht="15.75" customHeight="1">
      <c r="F612" s="6"/>
    </row>
    <row r="613" ht="15.75" customHeight="1">
      <c r="F613" s="6"/>
    </row>
    <row r="614" ht="15.75" customHeight="1">
      <c r="F614" s="6"/>
    </row>
    <row r="615" ht="15.75" customHeight="1">
      <c r="F615" s="6"/>
    </row>
    <row r="616" ht="15.75" customHeight="1">
      <c r="F616" s="6"/>
    </row>
    <row r="617" ht="15.75" customHeight="1">
      <c r="F617" s="6"/>
    </row>
    <row r="618" ht="15.75" customHeight="1">
      <c r="F618" s="6"/>
    </row>
    <row r="619" ht="15.75" customHeight="1">
      <c r="F619" s="6"/>
    </row>
    <row r="620" ht="15.75" customHeight="1">
      <c r="F620" s="6"/>
    </row>
    <row r="621" ht="15.75" customHeight="1">
      <c r="F621" s="6"/>
    </row>
    <row r="622" ht="15.75" customHeight="1">
      <c r="F622" s="6"/>
    </row>
    <row r="623" ht="15.75" customHeight="1">
      <c r="F623" s="6"/>
    </row>
    <row r="624" ht="15.75" customHeight="1">
      <c r="F624" s="6"/>
    </row>
    <row r="625" ht="15.75" customHeight="1">
      <c r="F625" s="6"/>
    </row>
    <row r="626" ht="15.75" customHeight="1">
      <c r="F626" s="6"/>
    </row>
    <row r="627" ht="15.75" customHeight="1">
      <c r="F627" s="6"/>
    </row>
    <row r="628" ht="15.75" customHeight="1">
      <c r="F628" s="6"/>
    </row>
    <row r="629" ht="15.75" customHeight="1">
      <c r="F629" s="6"/>
    </row>
    <row r="630" ht="15.75" customHeight="1">
      <c r="F630" s="6"/>
    </row>
    <row r="631" ht="15.75" customHeight="1">
      <c r="F631" s="6"/>
    </row>
    <row r="632" ht="15.75" customHeight="1">
      <c r="F632" s="6"/>
    </row>
    <row r="633" ht="15.75" customHeight="1">
      <c r="F633" s="6"/>
    </row>
    <row r="634" ht="15.75" customHeight="1">
      <c r="F634" s="6"/>
    </row>
    <row r="635" ht="15.75" customHeight="1">
      <c r="F635" s="6"/>
    </row>
    <row r="636" ht="15.75" customHeight="1">
      <c r="F636" s="6"/>
    </row>
    <row r="637" ht="15.75" customHeight="1">
      <c r="F637" s="6"/>
    </row>
    <row r="638" ht="15.75" customHeight="1">
      <c r="F638" s="6"/>
    </row>
    <row r="639" ht="15.75" customHeight="1">
      <c r="F639" s="6"/>
    </row>
    <row r="640" ht="15.75" customHeight="1">
      <c r="F640" s="6"/>
    </row>
    <row r="641" ht="15.75" customHeight="1">
      <c r="F641" s="6"/>
    </row>
    <row r="642" ht="15.75" customHeight="1">
      <c r="F642" s="6"/>
    </row>
    <row r="643" ht="15.75" customHeight="1">
      <c r="F643" s="6"/>
    </row>
    <row r="644" ht="15.75" customHeight="1">
      <c r="F644" s="6"/>
    </row>
    <row r="645" ht="15.75" customHeight="1">
      <c r="F645" s="6"/>
    </row>
    <row r="646" ht="15.75" customHeight="1">
      <c r="F646" s="6"/>
    </row>
    <row r="647" ht="15.75" customHeight="1">
      <c r="F647" s="6"/>
    </row>
    <row r="648" ht="15.75" customHeight="1">
      <c r="F648" s="6"/>
    </row>
    <row r="649" ht="15.75" customHeight="1">
      <c r="F649" s="6"/>
    </row>
    <row r="650" ht="15.75" customHeight="1">
      <c r="F650" s="6"/>
    </row>
    <row r="651" ht="15.75" customHeight="1">
      <c r="F651" s="6"/>
    </row>
    <row r="652" ht="15.75" customHeight="1">
      <c r="F652" s="6"/>
    </row>
    <row r="653" ht="15.75" customHeight="1">
      <c r="F653" s="6"/>
    </row>
    <row r="654" ht="15.75" customHeight="1">
      <c r="F654" s="6"/>
    </row>
    <row r="655" ht="15.75" customHeight="1">
      <c r="F655" s="6"/>
    </row>
    <row r="656" ht="15.75" customHeight="1">
      <c r="F656" s="6"/>
    </row>
    <row r="657" ht="15.75" customHeight="1">
      <c r="F657" s="6"/>
    </row>
    <row r="658" ht="15.75" customHeight="1">
      <c r="F658" s="6"/>
    </row>
    <row r="659" ht="15.75" customHeight="1">
      <c r="F659" s="6"/>
    </row>
    <row r="660" ht="15.75" customHeight="1">
      <c r="F660" s="6"/>
    </row>
    <row r="661" ht="15.75" customHeight="1">
      <c r="F661" s="6"/>
    </row>
    <row r="662" ht="15.75" customHeight="1">
      <c r="F662" s="6"/>
    </row>
    <row r="663" ht="15.75" customHeight="1">
      <c r="F663" s="6"/>
    </row>
    <row r="664" ht="15.75" customHeight="1">
      <c r="F664" s="6"/>
    </row>
    <row r="665" ht="15.75" customHeight="1">
      <c r="F665" s="6"/>
    </row>
    <row r="666" ht="15.75" customHeight="1">
      <c r="F666" s="6"/>
    </row>
    <row r="667" ht="15.75" customHeight="1">
      <c r="F667" s="6"/>
    </row>
    <row r="668" ht="15.75" customHeight="1">
      <c r="F668" s="6"/>
    </row>
    <row r="669" ht="15.75" customHeight="1">
      <c r="F669" s="6"/>
    </row>
    <row r="670" ht="15.75" customHeight="1">
      <c r="F670" s="6"/>
    </row>
    <row r="671" ht="15.75" customHeight="1">
      <c r="F671" s="6"/>
    </row>
    <row r="672" ht="15.75" customHeight="1">
      <c r="F672" s="6"/>
    </row>
    <row r="673" ht="15.75" customHeight="1">
      <c r="F673" s="6"/>
    </row>
    <row r="674" ht="15.75" customHeight="1">
      <c r="F674" s="6"/>
    </row>
    <row r="675" ht="15.75" customHeight="1">
      <c r="F675" s="6"/>
    </row>
    <row r="676" ht="15.75" customHeight="1">
      <c r="F676" s="6"/>
    </row>
    <row r="677" ht="15.75" customHeight="1">
      <c r="F677" s="6"/>
    </row>
    <row r="678" ht="15.75" customHeight="1">
      <c r="F678" s="6"/>
    </row>
    <row r="679" ht="15.75" customHeight="1">
      <c r="F679" s="6"/>
    </row>
    <row r="680" ht="15.75" customHeight="1">
      <c r="F680" s="6"/>
    </row>
    <row r="681" ht="15.75" customHeight="1">
      <c r="F681" s="6"/>
    </row>
    <row r="682" ht="15.75" customHeight="1">
      <c r="F682" s="6"/>
    </row>
    <row r="683" ht="15.75" customHeight="1">
      <c r="F683" s="6"/>
    </row>
    <row r="684" ht="15.75" customHeight="1">
      <c r="F684" s="6"/>
    </row>
    <row r="685" ht="15.75" customHeight="1">
      <c r="F685" s="6"/>
    </row>
    <row r="686" ht="15.75" customHeight="1">
      <c r="F686" s="6"/>
    </row>
    <row r="687" ht="15.75" customHeight="1">
      <c r="F687" s="6"/>
    </row>
    <row r="688" ht="15.75" customHeight="1">
      <c r="F688" s="6"/>
    </row>
    <row r="689" ht="15.75" customHeight="1">
      <c r="F689" s="6"/>
    </row>
    <row r="690" ht="15.75" customHeight="1">
      <c r="F690" s="6"/>
    </row>
    <row r="691" ht="15.75" customHeight="1">
      <c r="F691" s="6"/>
    </row>
    <row r="692" ht="15.75" customHeight="1">
      <c r="F692" s="6"/>
    </row>
    <row r="693" ht="15.75" customHeight="1">
      <c r="F693" s="6"/>
    </row>
    <row r="694" ht="15.75" customHeight="1">
      <c r="F694" s="6"/>
    </row>
    <row r="695" ht="15.75" customHeight="1">
      <c r="F695" s="6"/>
    </row>
    <row r="696" ht="15.75" customHeight="1">
      <c r="F696" s="6"/>
    </row>
    <row r="697" ht="15.75" customHeight="1">
      <c r="F697" s="6"/>
    </row>
    <row r="698" ht="15.75" customHeight="1">
      <c r="F698" s="6"/>
    </row>
    <row r="699" ht="15.75" customHeight="1">
      <c r="F699" s="6"/>
    </row>
    <row r="700" ht="15.75" customHeight="1">
      <c r="F700" s="6"/>
    </row>
    <row r="701" ht="15.75" customHeight="1">
      <c r="F701" s="6"/>
    </row>
    <row r="702" ht="15.75" customHeight="1">
      <c r="F702" s="6"/>
    </row>
    <row r="703" ht="15.75" customHeight="1">
      <c r="F703" s="6"/>
    </row>
    <row r="704" ht="15.75" customHeight="1">
      <c r="F704" s="6"/>
    </row>
    <row r="705" ht="15.75" customHeight="1">
      <c r="F705" s="6"/>
    </row>
    <row r="706" ht="15.75" customHeight="1">
      <c r="F706" s="6"/>
    </row>
    <row r="707" ht="15.75" customHeight="1">
      <c r="F707" s="6"/>
    </row>
    <row r="708" ht="15.75" customHeight="1">
      <c r="F708" s="6"/>
    </row>
    <row r="709" ht="15.75" customHeight="1">
      <c r="F709" s="6"/>
    </row>
    <row r="710" ht="15.75" customHeight="1">
      <c r="F710" s="6"/>
    </row>
    <row r="711" ht="15.75" customHeight="1">
      <c r="F711" s="6"/>
    </row>
    <row r="712" ht="15.75" customHeight="1">
      <c r="F712" s="6"/>
    </row>
    <row r="713" ht="15.75" customHeight="1">
      <c r="F713" s="6"/>
    </row>
    <row r="714" ht="15.75" customHeight="1">
      <c r="F714" s="6"/>
    </row>
    <row r="715" ht="15.75" customHeight="1">
      <c r="F715" s="6"/>
    </row>
    <row r="716" ht="15.75" customHeight="1">
      <c r="F716" s="6"/>
    </row>
    <row r="717" ht="15.75" customHeight="1">
      <c r="F717" s="6"/>
    </row>
    <row r="718" ht="15.75" customHeight="1">
      <c r="F718" s="6"/>
    </row>
    <row r="719" ht="15.75" customHeight="1">
      <c r="F719" s="6"/>
    </row>
    <row r="720" ht="15.75" customHeight="1">
      <c r="F720" s="6"/>
    </row>
    <row r="721" ht="15.75" customHeight="1">
      <c r="F721" s="6"/>
    </row>
    <row r="722" ht="15.75" customHeight="1">
      <c r="F722" s="6"/>
    </row>
    <row r="723" ht="15.75" customHeight="1">
      <c r="F723" s="6"/>
    </row>
    <row r="724" ht="15.75" customHeight="1">
      <c r="F724" s="6"/>
    </row>
    <row r="725" ht="15.75" customHeight="1">
      <c r="F725" s="6"/>
    </row>
    <row r="726" ht="15.75" customHeight="1">
      <c r="F726" s="6"/>
    </row>
    <row r="727" ht="15.75" customHeight="1">
      <c r="F727" s="6"/>
    </row>
    <row r="728" ht="15.75" customHeight="1">
      <c r="F728" s="6"/>
    </row>
    <row r="729" ht="15.75" customHeight="1">
      <c r="F729" s="6"/>
    </row>
    <row r="730" ht="15.75" customHeight="1">
      <c r="F730" s="6"/>
    </row>
    <row r="731" ht="15.75" customHeight="1">
      <c r="F731" s="6"/>
    </row>
    <row r="732" ht="15.75" customHeight="1">
      <c r="F732" s="6"/>
    </row>
    <row r="733" ht="15.75" customHeight="1">
      <c r="F733" s="6"/>
    </row>
    <row r="734" ht="15.75" customHeight="1">
      <c r="F734" s="6"/>
    </row>
    <row r="735" ht="15.75" customHeight="1">
      <c r="F735" s="6"/>
    </row>
    <row r="736" ht="15.75" customHeight="1">
      <c r="F736" s="6"/>
    </row>
    <row r="737" ht="15.75" customHeight="1">
      <c r="F737" s="6"/>
    </row>
    <row r="738" ht="15.75" customHeight="1">
      <c r="F738" s="6"/>
    </row>
    <row r="739" ht="15.75" customHeight="1">
      <c r="F739" s="6"/>
    </row>
    <row r="740" ht="15.75" customHeight="1">
      <c r="F740" s="6"/>
    </row>
    <row r="741" ht="15.75" customHeight="1">
      <c r="F741" s="6"/>
    </row>
    <row r="742" ht="15.75" customHeight="1">
      <c r="F742" s="6"/>
    </row>
    <row r="743" ht="15.75" customHeight="1">
      <c r="F743" s="6"/>
    </row>
    <row r="744" ht="15.75" customHeight="1">
      <c r="F744" s="6"/>
    </row>
    <row r="745" ht="15.75" customHeight="1">
      <c r="F745" s="6"/>
    </row>
    <row r="746" ht="15.75" customHeight="1">
      <c r="F746" s="6"/>
    </row>
    <row r="747" ht="15.75" customHeight="1">
      <c r="F747" s="6"/>
    </row>
    <row r="748" ht="15.75" customHeight="1">
      <c r="F748" s="6"/>
    </row>
    <row r="749" ht="15.75" customHeight="1">
      <c r="F749" s="6"/>
    </row>
    <row r="750" ht="15.75" customHeight="1">
      <c r="F750" s="6"/>
    </row>
    <row r="751" ht="15.75" customHeight="1">
      <c r="F751" s="6"/>
    </row>
    <row r="752" ht="15.75" customHeight="1">
      <c r="F752" s="6"/>
    </row>
    <row r="753" ht="15.75" customHeight="1">
      <c r="F753" s="6"/>
    </row>
    <row r="754" ht="15.75" customHeight="1">
      <c r="F754" s="6"/>
    </row>
    <row r="755" ht="15.75" customHeight="1">
      <c r="F755" s="6"/>
    </row>
    <row r="756" ht="15.75" customHeight="1">
      <c r="F756" s="6"/>
    </row>
    <row r="757" ht="15.75" customHeight="1">
      <c r="F757" s="6"/>
    </row>
    <row r="758" ht="15.75" customHeight="1">
      <c r="F758" s="6"/>
    </row>
    <row r="759" ht="15.75" customHeight="1">
      <c r="F759" s="6"/>
    </row>
    <row r="760" ht="15.75" customHeight="1">
      <c r="F760" s="6"/>
    </row>
    <row r="761" ht="15.75" customHeight="1">
      <c r="F761" s="6"/>
    </row>
    <row r="762" ht="15.75" customHeight="1">
      <c r="F762" s="6"/>
    </row>
    <row r="763" ht="15.75" customHeight="1">
      <c r="F763" s="6"/>
    </row>
    <row r="764" ht="15.75" customHeight="1">
      <c r="F764" s="6"/>
    </row>
    <row r="765" ht="15.75" customHeight="1">
      <c r="F765" s="6"/>
    </row>
    <row r="766" ht="15.75" customHeight="1">
      <c r="F766" s="6"/>
    </row>
    <row r="767" ht="15.75" customHeight="1">
      <c r="F767" s="6"/>
    </row>
    <row r="768" ht="15.75" customHeight="1">
      <c r="F768" s="6"/>
    </row>
    <row r="769" ht="15.75" customHeight="1">
      <c r="F769" s="6"/>
    </row>
    <row r="770" ht="15.75" customHeight="1">
      <c r="F770" s="6"/>
    </row>
    <row r="771" ht="15.75" customHeight="1">
      <c r="F771" s="6"/>
    </row>
    <row r="772" ht="15.75" customHeight="1">
      <c r="F772" s="6"/>
    </row>
    <row r="773" ht="15.75" customHeight="1">
      <c r="F773" s="6"/>
    </row>
    <row r="774" ht="15.75" customHeight="1">
      <c r="F774" s="6"/>
    </row>
    <row r="775" ht="15.75" customHeight="1">
      <c r="F775" s="6"/>
    </row>
    <row r="776" ht="15.75" customHeight="1">
      <c r="F776" s="6"/>
    </row>
    <row r="777" ht="15.75" customHeight="1">
      <c r="F777" s="6"/>
    </row>
    <row r="778" ht="15.75" customHeight="1">
      <c r="F778" s="6"/>
    </row>
    <row r="779" ht="15.75" customHeight="1">
      <c r="F779" s="6"/>
    </row>
    <row r="780" ht="15.75" customHeight="1">
      <c r="F780" s="6"/>
    </row>
    <row r="781" ht="15.75" customHeight="1">
      <c r="F781" s="6"/>
    </row>
    <row r="782" ht="15.75" customHeight="1">
      <c r="F782" s="6"/>
    </row>
    <row r="783" ht="15.75" customHeight="1">
      <c r="F783" s="6"/>
    </row>
    <row r="784" ht="15.75" customHeight="1">
      <c r="F784" s="6"/>
    </row>
    <row r="785" ht="15.75" customHeight="1">
      <c r="F785" s="6"/>
    </row>
    <row r="786" ht="15.75" customHeight="1">
      <c r="F786" s="6"/>
    </row>
    <row r="787" ht="15.75" customHeight="1">
      <c r="F787" s="6"/>
    </row>
    <row r="788" ht="15.75" customHeight="1">
      <c r="F788" s="6"/>
    </row>
    <row r="789" ht="15.75" customHeight="1">
      <c r="F789" s="6"/>
    </row>
    <row r="790" ht="15.75" customHeight="1">
      <c r="F790" s="6"/>
    </row>
    <row r="791" ht="15.75" customHeight="1">
      <c r="F791" s="6"/>
    </row>
    <row r="792" ht="15.75" customHeight="1">
      <c r="F792" s="6"/>
    </row>
    <row r="793" ht="15.75" customHeight="1">
      <c r="F793" s="6"/>
    </row>
    <row r="794" ht="15.75" customHeight="1">
      <c r="F794" s="6"/>
    </row>
    <row r="795" ht="15.75" customHeight="1">
      <c r="F795" s="6"/>
    </row>
    <row r="796" ht="15.75" customHeight="1">
      <c r="F796" s="6"/>
    </row>
    <row r="797" ht="15.75" customHeight="1">
      <c r="F797" s="6"/>
    </row>
    <row r="798" ht="15.75" customHeight="1">
      <c r="F798" s="6"/>
    </row>
    <row r="799" ht="15.75" customHeight="1">
      <c r="F799" s="6"/>
    </row>
    <row r="800" ht="15.75" customHeight="1">
      <c r="F800" s="6"/>
    </row>
    <row r="801" ht="15.75" customHeight="1">
      <c r="F801" s="6"/>
    </row>
    <row r="802" ht="15.75" customHeight="1">
      <c r="F802" s="6"/>
    </row>
    <row r="803" ht="15.75" customHeight="1">
      <c r="F803" s="6"/>
    </row>
    <row r="804" ht="15.75" customHeight="1">
      <c r="F804" s="6"/>
    </row>
    <row r="805" ht="15.75" customHeight="1">
      <c r="F805" s="6"/>
    </row>
    <row r="806" ht="15.75" customHeight="1">
      <c r="F806" s="6"/>
    </row>
    <row r="807" ht="15.75" customHeight="1">
      <c r="F807" s="6"/>
    </row>
    <row r="808" ht="15.75" customHeight="1">
      <c r="F808" s="6"/>
    </row>
    <row r="809" ht="15.75" customHeight="1">
      <c r="F809" s="6"/>
    </row>
    <row r="810" ht="15.75" customHeight="1">
      <c r="F810" s="6"/>
    </row>
    <row r="811" ht="15.75" customHeight="1">
      <c r="F811" s="6"/>
    </row>
    <row r="812" ht="15.75" customHeight="1">
      <c r="F812" s="6"/>
    </row>
    <row r="813" ht="15.75" customHeight="1">
      <c r="F813" s="6"/>
    </row>
    <row r="814" ht="15.75" customHeight="1">
      <c r="F814" s="6"/>
    </row>
    <row r="815" ht="15.75" customHeight="1">
      <c r="F815" s="6"/>
    </row>
    <row r="816" ht="15.75" customHeight="1">
      <c r="F816" s="6"/>
    </row>
    <row r="817" ht="15.75" customHeight="1">
      <c r="F817" s="6"/>
    </row>
    <row r="818" ht="15.75" customHeight="1">
      <c r="F818" s="6"/>
    </row>
    <row r="819" ht="15.75" customHeight="1">
      <c r="F819" s="6"/>
    </row>
    <row r="820" ht="15.75" customHeight="1">
      <c r="F820" s="6"/>
    </row>
    <row r="821" ht="15.75" customHeight="1">
      <c r="F821" s="6"/>
    </row>
    <row r="822" ht="15.75" customHeight="1">
      <c r="F822" s="6"/>
    </row>
    <row r="823" ht="15.75" customHeight="1">
      <c r="F823" s="6"/>
    </row>
    <row r="824" ht="15.75" customHeight="1">
      <c r="F824" s="6"/>
    </row>
    <row r="825" ht="15.75" customHeight="1">
      <c r="F825" s="6"/>
    </row>
    <row r="826" ht="15.75" customHeight="1">
      <c r="F826" s="6"/>
    </row>
    <row r="827" ht="15.75" customHeight="1">
      <c r="F827" s="6"/>
    </row>
    <row r="828" ht="15.75" customHeight="1">
      <c r="F828" s="6"/>
    </row>
    <row r="829" ht="15.75" customHeight="1">
      <c r="F829" s="6"/>
    </row>
    <row r="830" ht="15.75" customHeight="1">
      <c r="F830" s="6"/>
    </row>
    <row r="831" ht="15.75" customHeight="1">
      <c r="F831" s="6"/>
    </row>
    <row r="832" ht="15.75" customHeight="1">
      <c r="F832" s="6"/>
    </row>
    <row r="833" ht="15.75" customHeight="1">
      <c r="F833" s="6"/>
    </row>
    <row r="834" ht="15.75" customHeight="1">
      <c r="F834" s="6"/>
    </row>
    <row r="835" ht="15.75" customHeight="1">
      <c r="F835" s="6"/>
    </row>
    <row r="836" ht="15.75" customHeight="1">
      <c r="F836" s="6"/>
    </row>
    <row r="837" ht="15.75" customHeight="1">
      <c r="F837" s="6"/>
    </row>
    <row r="838" ht="15.75" customHeight="1">
      <c r="F838" s="6"/>
    </row>
    <row r="839" ht="15.75" customHeight="1">
      <c r="F839" s="6"/>
    </row>
    <row r="840" ht="15.75" customHeight="1">
      <c r="F840" s="6"/>
    </row>
    <row r="841" ht="15.75" customHeight="1">
      <c r="F841" s="6"/>
    </row>
    <row r="842" ht="15.75" customHeight="1">
      <c r="F842" s="6"/>
    </row>
    <row r="843" ht="15.75" customHeight="1">
      <c r="F843" s="6"/>
    </row>
    <row r="844" ht="15.75" customHeight="1">
      <c r="F844" s="6"/>
    </row>
    <row r="845" ht="15.75" customHeight="1">
      <c r="F845" s="6"/>
    </row>
    <row r="846" ht="15.75" customHeight="1">
      <c r="F846" s="6"/>
    </row>
    <row r="847" ht="15.75" customHeight="1">
      <c r="F847" s="6"/>
    </row>
    <row r="848" ht="15.75" customHeight="1">
      <c r="F848" s="6"/>
    </row>
    <row r="849" ht="15.75" customHeight="1">
      <c r="F849" s="6"/>
    </row>
    <row r="850" ht="15.75" customHeight="1">
      <c r="F850" s="6"/>
    </row>
    <row r="851" ht="15.75" customHeight="1">
      <c r="F851" s="6"/>
    </row>
    <row r="852" ht="15.75" customHeight="1">
      <c r="F852" s="6"/>
    </row>
    <row r="853" ht="15.75" customHeight="1">
      <c r="F853" s="6"/>
    </row>
    <row r="854" ht="15.75" customHeight="1">
      <c r="F854" s="6"/>
    </row>
    <row r="855" ht="15.75" customHeight="1">
      <c r="F855" s="6"/>
    </row>
    <row r="856" ht="15.75" customHeight="1">
      <c r="F856" s="6"/>
    </row>
    <row r="857" ht="15.75" customHeight="1">
      <c r="F857" s="6"/>
    </row>
    <row r="858" ht="15.75" customHeight="1">
      <c r="F858" s="6"/>
    </row>
    <row r="859" ht="15.75" customHeight="1">
      <c r="F859" s="6"/>
    </row>
    <row r="860" ht="15.75" customHeight="1">
      <c r="F860" s="6"/>
    </row>
    <row r="861" ht="15.75" customHeight="1">
      <c r="F861" s="6"/>
    </row>
    <row r="862" ht="15.75" customHeight="1">
      <c r="F862" s="6"/>
    </row>
    <row r="863" ht="15.75" customHeight="1">
      <c r="F863" s="6"/>
    </row>
    <row r="864" ht="15.75" customHeight="1">
      <c r="F864" s="6"/>
    </row>
    <row r="865" ht="15.75" customHeight="1">
      <c r="F865" s="6"/>
    </row>
    <row r="866" ht="15.75" customHeight="1">
      <c r="F866" s="6"/>
    </row>
    <row r="867" ht="15.75" customHeight="1">
      <c r="F867" s="6"/>
    </row>
    <row r="868" ht="15.75" customHeight="1">
      <c r="F868" s="6"/>
    </row>
    <row r="869" ht="15.75" customHeight="1">
      <c r="F869" s="6"/>
    </row>
    <row r="870" ht="15.75" customHeight="1">
      <c r="F870" s="6"/>
    </row>
    <row r="871" ht="15.75" customHeight="1">
      <c r="F871" s="6"/>
    </row>
    <row r="872" ht="15.75" customHeight="1">
      <c r="F872" s="6"/>
    </row>
    <row r="873" ht="15.75" customHeight="1">
      <c r="F873" s="6"/>
    </row>
    <row r="874" ht="15.75" customHeight="1">
      <c r="F874" s="6"/>
    </row>
    <row r="875" ht="15.75" customHeight="1">
      <c r="F875" s="6"/>
    </row>
    <row r="876" ht="15.75" customHeight="1">
      <c r="F876" s="6"/>
    </row>
    <row r="877" ht="15.75" customHeight="1">
      <c r="F877" s="6"/>
    </row>
    <row r="878" ht="15.75" customHeight="1">
      <c r="F878" s="6"/>
    </row>
    <row r="879" ht="15.75" customHeight="1">
      <c r="F879" s="6"/>
    </row>
    <row r="880" ht="15.75" customHeight="1">
      <c r="F880" s="6"/>
    </row>
    <row r="881" ht="15.75" customHeight="1">
      <c r="F881" s="6"/>
    </row>
    <row r="882" ht="15.75" customHeight="1">
      <c r="F882" s="6"/>
    </row>
    <row r="883" ht="15.75" customHeight="1">
      <c r="F883" s="6"/>
    </row>
    <row r="884" ht="15.75" customHeight="1">
      <c r="F884" s="6"/>
    </row>
    <row r="885" ht="15.75" customHeight="1">
      <c r="F885" s="6"/>
    </row>
    <row r="886" ht="15.75" customHeight="1">
      <c r="F886" s="6"/>
    </row>
    <row r="887" ht="15.75" customHeight="1">
      <c r="F887" s="6"/>
    </row>
    <row r="888" ht="15.75" customHeight="1">
      <c r="F888" s="6"/>
    </row>
    <row r="889" ht="15.75" customHeight="1">
      <c r="F889" s="6"/>
    </row>
    <row r="890" ht="15.75" customHeight="1">
      <c r="F890" s="6"/>
    </row>
    <row r="891" ht="15.75" customHeight="1">
      <c r="F891" s="6"/>
    </row>
    <row r="892" ht="15.75" customHeight="1">
      <c r="F892" s="6"/>
    </row>
    <row r="893" ht="15.75" customHeight="1">
      <c r="F893" s="6"/>
    </row>
    <row r="894" ht="15.75" customHeight="1">
      <c r="F894" s="6"/>
    </row>
    <row r="895" ht="15.75" customHeight="1">
      <c r="F895" s="6"/>
    </row>
    <row r="896" ht="15.75" customHeight="1">
      <c r="F896" s="6"/>
    </row>
    <row r="897" ht="15.75" customHeight="1">
      <c r="F897" s="6"/>
    </row>
    <row r="898" ht="15.75" customHeight="1">
      <c r="F898" s="6"/>
    </row>
    <row r="899" ht="15.75" customHeight="1">
      <c r="F899" s="6"/>
    </row>
    <row r="900" ht="15.75" customHeight="1">
      <c r="F900" s="6"/>
    </row>
    <row r="901" ht="15.75" customHeight="1">
      <c r="F901" s="6"/>
    </row>
    <row r="902" ht="15.75" customHeight="1">
      <c r="F902" s="6"/>
    </row>
    <row r="903" ht="15.75" customHeight="1">
      <c r="F903" s="6"/>
    </row>
    <row r="904" ht="15.75" customHeight="1">
      <c r="F904" s="6"/>
    </row>
    <row r="905" ht="15.75" customHeight="1">
      <c r="F905" s="6"/>
    </row>
    <row r="906" ht="15.75" customHeight="1">
      <c r="F906" s="6"/>
    </row>
    <row r="907" ht="15.75" customHeight="1">
      <c r="F907" s="6"/>
    </row>
    <row r="908" ht="15.75" customHeight="1">
      <c r="F908" s="6"/>
    </row>
    <row r="909" ht="15.75" customHeight="1">
      <c r="F909" s="6"/>
    </row>
    <row r="910" ht="15.75" customHeight="1">
      <c r="F910" s="6"/>
    </row>
    <row r="911" ht="15.75" customHeight="1">
      <c r="F911" s="6"/>
    </row>
    <row r="912" ht="15.75" customHeight="1">
      <c r="F912" s="6"/>
    </row>
    <row r="913" ht="15.75" customHeight="1">
      <c r="F913" s="6"/>
    </row>
    <row r="914" ht="15.75" customHeight="1">
      <c r="F914" s="6"/>
    </row>
    <row r="915" ht="15.75" customHeight="1">
      <c r="F915" s="6"/>
    </row>
    <row r="916" ht="15.75" customHeight="1">
      <c r="F916" s="6"/>
    </row>
    <row r="917" ht="15.75" customHeight="1">
      <c r="F917" s="6"/>
    </row>
    <row r="918" ht="15.75" customHeight="1">
      <c r="F918" s="6"/>
    </row>
    <row r="919" ht="15.75" customHeight="1">
      <c r="F919" s="6"/>
    </row>
    <row r="920" ht="15.75" customHeight="1">
      <c r="F920" s="6"/>
    </row>
    <row r="921" ht="15.75" customHeight="1">
      <c r="F921" s="6"/>
    </row>
    <row r="922" ht="15.75" customHeight="1">
      <c r="F922" s="6"/>
    </row>
    <row r="923" ht="15.75" customHeight="1">
      <c r="F923" s="6"/>
    </row>
    <row r="924" ht="15.75" customHeight="1">
      <c r="F924" s="6"/>
    </row>
    <row r="925" ht="15.75" customHeight="1">
      <c r="F925" s="6"/>
    </row>
    <row r="926" ht="15.75" customHeight="1">
      <c r="F926" s="6"/>
    </row>
    <row r="927" ht="15.75" customHeight="1">
      <c r="F927" s="6"/>
    </row>
    <row r="928" ht="15.75" customHeight="1">
      <c r="F928" s="6"/>
    </row>
    <row r="929" ht="15.75" customHeight="1">
      <c r="F929" s="6"/>
    </row>
    <row r="930" ht="15.75" customHeight="1">
      <c r="F930" s="6"/>
    </row>
    <row r="931" ht="15.75" customHeight="1">
      <c r="F931" s="6"/>
    </row>
    <row r="932" ht="15.75" customHeight="1">
      <c r="F932" s="6"/>
    </row>
    <row r="933" ht="15.75" customHeight="1">
      <c r="F933" s="6"/>
    </row>
    <row r="934" ht="15.75" customHeight="1">
      <c r="F934" s="6"/>
    </row>
    <row r="935" ht="15.75" customHeight="1">
      <c r="F935" s="6"/>
    </row>
    <row r="936" ht="15.75" customHeight="1">
      <c r="F936" s="6"/>
    </row>
    <row r="937" ht="15.75" customHeight="1">
      <c r="F937" s="6"/>
    </row>
    <row r="938" ht="15.75" customHeight="1">
      <c r="F938" s="6"/>
    </row>
    <row r="939" ht="15.75" customHeight="1">
      <c r="F939" s="6"/>
    </row>
    <row r="940" ht="15.75" customHeight="1">
      <c r="F940" s="6"/>
    </row>
    <row r="941" ht="15.75" customHeight="1">
      <c r="F941" s="6"/>
    </row>
    <row r="942" ht="15.75" customHeight="1">
      <c r="F942" s="6"/>
    </row>
    <row r="943" ht="15.75" customHeight="1">
      <c r="F943" s="6"/>
    </row>
    <row r="944" ht="15.75" customHeight="1">
      <c r="F944" s="6"/>
    </row>
    <row r="945" ht="15.75" customHeight="1">
      <c r="F945" s="6"/>
    </row>
    <row r="946" ht="15.75" customHeight="1">
      <c r="F946" s="6"/>
    </row>
    <row r="947" ht="15.75" customHeight="1">
      <c r="F947" s="6"/>
    </row>
    <row r="948" ht="15.75" customHeight="1">
      <c r="F948" s="6"/>
    </row>
    <row r="949" ht="15.75" customHeight="1">
      <c r="F949" s="6"/>
    </row>
    <row r="950" ht="15.75" customHeight="1">
      <c r="F950" s="6"/>
    </row>
    <row r="951" ht="15.75" customHeight="1">
      <c r="F951" s="6"/>
    </row>
    <row r="952" ht="15.75" customHeight="1">
      <c r="F952" s="6"/>
    </row>
    <row r="953" ht="15.75" customHeight="1">
      <c r="F953" s="6"/>
    </row>
    <row r="954" ht="15.75" customHeight="1">
      <c r="F954" s="6"/>
    </row>
    <row r="955" ht="15.75" customHeight="1">
      <c r="F955" s="6"/>
    </row>
    <row r="956" ht="15.75" customHeight="1">
      <c r="F956" s="6"/>
    </row>
    <row r="957" ht="15.75" customHeight="1">
      <c r="F957" s="6"/>
    </row>
    <row r="958" ht="15.75" customHeight="1">
      <c r="F958" s="6"/>
    </row>
    <row r="959" ht="15.75" customHeight="1">
      <c r="F959" s="6"/>
    </row>
    <row r="960" ht="15.75" customHeight="1">
      <c r="F960" s="6"/>
    </row>
    <row r="961" ht="15.75" customHeight="1">
      <c r="F961" s="6"/>
    </row>
    <row r="962" ht="15.75" customHeight="1">
      <c r="F962" s="6"/>
    </row>
    <row r="963" ht="15.75" customHeight="1">
      <c r="F963" s="6"/>
    </row>
    <row r="964" ht="15.75" customHeight="1">
      <c r="F964" s="6"/>
    </row>
    <row r="965" ht="15.75" customHeight="1">
      <c r="F965" s="6"/>
    </row>
    <row r="966" ht="15.75" customHeight="1">
      <c r="F966" s="6"/>
    </row>
    <row r="967" ht="15.75" customHeight="1">
      <c r="F967" s="6"/>
    </row>
    <row r="968" ht="15.75" customHeight="1">
      <c r="F968" s="6"/>
    </row>
    <row r="969" ht="15.75" customHeight="1">
      <c r="F969" s="6"/>
    </row>
    <row r="970" ht="15.75" customHeight="1">
      <c r="F970" s="6"/>
    </row>
    <row r="971" ht="15.75" customHeight="1">
      <c r="F971" s="6"/>
    </row>
    <row r="972" ht="15.75" customHeight="1">
      <c r="F972" s="6"/>
    </row>
    <row r="973" ht="15.75" customHeight="1">
      <c r="F973" s="6"/>
    </row>
    <row r="974" ht="15.75" customHeight="1">
      <c r="F974" s="6"/>
    </row>
    <row r="975" ht="15.75" customHeight="1">
      <c r="F975" s="6"/>
    </row>
    <row r="976" ht="15.75" customHeight="1">
      <c r="F976" s="6"/>
    </row>
    <row r="977" ht="15.75" customHeight="1">
      <c r="F977" s="6"/>
    </row>
    <row r="978" ht="15.75" customHeight="1">
      <c r="F978" s="6"/>
    </row>
    <row r="979" ht="15.75" customHeight="1">
      <c r="F979" s="6"/>
    </row>
    <row r="980" ht="15.75" customHeight="1">
      <c r="F980" s="6"/>
    </row>
    <row r="981" ht="15.75" customHeight="1">
      <c r="F981" s="6"/>
    </row>
    <row r="982" ht="15.75" customHeight="1">
      <c r="F982" s="6"/>
    </row>
    <row r="983" ht="15.75" customHeight="1">
      <c r="F983" s="6"/>
    </row>
    <row r="984" ht="15.75" customHeight="1">
      <c r="F984" s="6"/>
    </row>
    <row r="985" ht="15.75" customHeight="1">
      <c r="F985" s="6"/>
    </row>
    <row r="986" ht="15.75" customHeight="1">
      <c r="F986" s="6"/>
    </row>
    <row r="987" ht="15.75" customHeight="1">
      <c r="F987" s="6"/>
    </row>
    <row r="988" ht="15.75" customHeight="1">
      <c r="F988" s="6"/>
    </row>
    <row r="989" ht="15.75" customHeight="1">
      <c r="F989" s="6"/>
    </row>
    <row r="990" ht="15.75" customHeight="1">
      <c r="F990" s="6"/>
    </row>
    <row r="991" ht="15.75" customHeight="1">
      <c r="F991" s="6"/>
    </row>
    <row r="992" ht="15.75" customHeight="1">
      <c r="F992" s="6"/>
    </row>
    <row r="993" ht="15.75" customHeight="1">
      <c r="F993" s="6"/>
    </row>
    <row r="994" ht="15.75" customHeight="1">
      <c r="F994" s="6"/>
    </row>
    <row r="995" ht="15.75" customHeight="1">
      <c r="F995" s="6"/>
    </row>
    <row r="996" ht="15.75" customHeight="1">
      <c r="F996" s="6"/>
    </row>
    <row r="997" ht="15.75" customHeight="1">
      <c r="F997" s="6"/>
    </row>
    <row r="998" ht="15.75" customHeight="1">
      <c r="F998" s="6"/>
    </row>
    <row r="999" ht="15.75" customHeight="1">
      <c r="F999" s="6"/>
    </row>
    <row r="1000" ht="15.75" customHeight="1">
      <c r="F1000" s="6"/>
    </row>
    <row r="1001" ht="15.75" customHeight="1">
      <c r="F1001" s="6"/>
    </row>
  </sheetData>
  <mergeCells count="3">
    <mergeCell ref="A1:K1"/>
    <mergeCell ref="B3:F3"/>
    <mergeCell ref="G3:K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0.63"/>
    <col customWidth="1" min="3" max="3" width="21.0"/>
    <col customWidth="1" min="4" max="4" width="19.88"/>
    <col customWidth="1" min="5" max="5" width="20.5"/>
    <col customWidth="1" min="6" max="6" width="13.13"/>
    <col customWidth="1" min="7" max="7" width="13.5"/>
    <col customWidth="1" min="8" max="8" width="11.75"/>
    <col customWidth="1" min="9" max="9" width="12.63"/>
    <col customWidth="1" min="10" max="10" width="13.5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7"/>
    </row>
    <row r="2">
      <c r="A2" s="10"/>
      <c r="B2" s="14"/>
      <c r="C2" s="10"/>
      <c r="D2" s="10"/>
      <c r="E2" s="10"/>
      <c r="F2" s="10"/>
      <c r="G2" s="10"/>
      <c r="H2" s="10"/>
      <c r="I2" s="10"/>
      <c r="J2" s="10"/>
      <c r="K2" s="10"/>
      <c r="L2" s="10"/>
      <c r="M2" s="17"/>
      <c r="N2" s="17"/>
      <c r="O2" s="17"/>
      <c r="P2" s="17"/>
      <c r="Q2" s="17"/>
      <c r="R2" s="17"/>
      <c r="S2" s="17"/>
      <c r="T2" s="10"/>
      <c r="U2" s="10"/>
      <c r="V2" s="10"/>
      <c r="W2" s="10"/>
    </row>
    <row r="3" ht="29.25" customHeight="1">
      <c r="A3" s="20" t="s">
        <v>11</v>
      </c>
      <c r="B3" s="25" t="s">
        <v>13</v>
      </c>
      <c r="C3" s="26" t="s">
        <v>14</v>
      </c>
      <c r="D3" s="26" t="s">
        <v>15</v>
      </c>
      <c r="E3" s="26" t="s">
        <v>16</v>
      </c>
      <c r="F3" s="26" t="s">
        <v>17</v>
      </c>
      <c r="G3" s="26" t="s">
        <v>18</v>
      </c>
      <c r="H3" s="26" t="s">
        <v>19</v>
      </c>
      <c r="I3" s="26" t="s">
        <v>20</v>
      </c>
      <c r="J3" s="26" t="s">
        <v>21</v>
      </c>
      <c r="K3" s="26" t="s">
        <v>22</v>
      </c>
      <c r="L3" s="26" t="s">
        <v>23</v>
      </c>
      <c r="M3" s="27" t="s">
        <v>25</v>
      </c>
      <c r="N3" s="27" t="s">
        <v>26</v>
      </c>
      <c r="O3" s="27" t="s">
        <v>27</v>
      </c>
      <c r="P3" s="27" t="s">
        <v>28</v>
      </c>
      <c r="Q3" s="27" t="s">
        <v>29</v>
      </c>
      <c r="R3" s="27" t="s">
        <v>30</v>
      </c>
      <c r="S3" s="27" t="s">
        <v>31</v>
      </c>
      <c r="T3" s="26" t="s">
        <v>32</v>
      </c>
      <c r="U3" s="26" t="s">
        <v>33</v>
      </c>
      <c r="V3" s="26" t="s">
        <v>34</v>
      </c>
      <c r="W3" s="31" t="s">
        <v>35</v>
      </c>
    </row>
    <row r="4">
      <c r="A4" s="33" t="s">
        <v>37</v>
      </c>
      <c r="B4" s="36">
        <v>46288.0</v>
      </c>
      <c r="C4" s="33" t="s">
        <v>44</v>
      </c>
      <c r="D4" s="33" t="s">
        <v>53</v>
      </c>
      <c r="E4" s="33" t="s">
        <v>54</v>
      </c>
      <c r="F4" s="33"/>
      <c r="G4" s="33"/>
      <c r="H4" s="33"/>
      <c r="I4" s="33"/>
      <c r="J4" s="42" t="str">
        <f t="shared" ref="J4:J12" si="2">IFERROR(I4/G4,"")</f>
        <v/>
      </c>
      <c r="K4" s="43"/>
      <c r="L4" s="33"/>
      <c r="M4" s="44"/>
      <c r="N4" s="45">
        <f t="shared" ref="N4:N32" si="3">H4*K4*M4</f>
        <v>0</v>
      </c>
      <c r="O4" s="44"/>
      <c r="P4" s="44"/>
      <c r="Q4" s="44"/>
      <c r="R4" s="44"/>
      <c r="S4" s="44"/>
      <c r="T4" s="42" t="str">
        <f t="shared" ref="T4:U4" si="1">IFERROR((N4-P4)/P4,"")</f>
        <v/>
      </c>
      <c r="U4" s="42" t="str">
        <f t="shared" si="1"/>
        <v/>
      </c>
      <c r="V4" s="45" t="str">
        <f t="shared" ref="V4:V33" si="5">IFERROR(O4/Q4,"")</f>
        <v/>
      </c>
      <c r="W4" s="45" t="str">
        <f t="shared" ref="W4:W33" si="6">IFERROR(S4/Q4,"")</f>
        <v/>
      </c>
    </row>
    <row r="5">
      <c r="A5" s="33" t="s">
        <v>55</v>
      </c>
      <c r="B5" s="36">
        <v>46292.0</v>
      </c>
      <c r="C5" s="33" t="s">
        <v>44</v>
      </c>
      <c r="D5" s="33" t="s">
        <v>53</v>
      </c>
      <c r="E5" s="33" t="s">
        <v>54</v>
      </c>
      <c r="F5" s="33"/>
      <c r="G5" s="33"/>
      <c r="H5" s="33"/>
      <c r="I5" s="33"/>
      <c r="J5" s="42" t="str">
        <f t="shared" si="2"/>
        <v/>
      </c>
      <c r="K5" s="43"/>
      <c r="L5" s="33"/>
      <c r="M5" s="44"/>
      <c r="N5" s="45">
        <f t="shared" si="3"/>
        <v>0</v>
      </c>
      <c r="O5" s="44"/>
      <c r="P5" s="44"/>
      <c r="Q5" s="44"/>
      <c r="R5" s="44"/>
      <c r="S5" s="44"/>
      <c r="T5" s="42" t="str">
        <f t="shared" ref="T5:U5" si="4">IFERROR((N5-P5)/P5,"")</f>
        <v/>
      </c>
      <c r="U5" s="42" t="str">
        <f t="shared" si="4"/>
        <v/>
      </c>
      <c r="V5" s="45" t="str">
        <f t="shared" si="5"/>
        <v/>
      </c>
      <c r="W5" s="45" t="str">
        <f t="shared" si="6"/>
        <v/>
      </c>
    </row>
    <row r="6">
      <c r="A6" s="33" t="s">
        <v>56</v>
      </c>
      <c r="B6" s="36">
        <v>46295.0</v>
      </c>
      <c r="C6" s="33" t="s">
        <v>44</v>
      </c>
      <c r="D6" s="33" t="s">
        <v>53</v>
      </c>
      <c r="E6" s="33" t="s">
        <v>54</v>
      </c>
      <c r="F6" s="33"/>
      <c r="G6" s="33"/>
      <c r="H6" s="33"/>
      <c r="I6" s="33"/>
      <c r="J6" s="42" t="str">
        <f t="shared" si="2"/>
        <v/>
      </c>
      <c r="K6" s="43"/>
      <c r="L6" s="33"/>
      <c r="M6" s="44"/>
      <c r="N6" s="45">
        <f t="shared" si="3"/>
        <v>0</v>
      </c>
      <c r="O6" s="44"/>
      <c r="P6" s="44"/>
      <c r="Q6" s="44"/>
      <c r="R6" s="44"/>
      <c r="S6" s="44"/>
      <c r="T6" s="42" t="str">
        <f t="shared" ref="T6:U6" si="7">IFERROR((N6-P6)/P6,"")</f>
        <v/>
      </c>
      <c r="U6" s="42" t="str">
        <f t="shared" si="7"/>
        <v/>
      </c>
      <c r="V6" s="45" t="str">
        <f t="shared" si="5"/>
        <v/>
      </c>
      <c r="W6" s="45" t="str">
        <f t="shared" si="6"/>
        <v/>
      </c>
    </row>
    <row r="7">
      <c r="A7" s="33" t="s">
        <v>57</v>
      </c>
      <c r="B7" s="36">
        <v>46299.0</v>
      </c>
      <c r="C7" s="33" t="s">
        <v>44</v>
      </c>
      <c r="D7" s="33" t="s">
        <v>53</v>
      </c>
      <c r="E7" s="33" t="s">
        <v>54</v>
      </c>
      <c r="F7" s="33"/>
      <c r="G7" s="33"/>
      <c r="H7" s="33"/>
      <c r="I7" s="33"/>
      <c r="J7" s="42" t="str">
        <f t="shared" si="2"/>
        <v/>
      </c>
      <c r="K7" s="43"/>
      <c r="L7" s="33"/>
      <c r="M7" s="44"/>
      <c r="N7" s="45">
        <f t="shared" si="3"/>
        <v>0</v>
      </c>
      <c r="O7" s="44"/>
      <c r="P7" s="44"/>
      <c r="Q7" s="44"/>
      <c r="R7" s="44"/>
      <c r="S7" s="44"/>
      <c r="T7" s="42" t="str">
        <f t="shared" ref="T7:U7" si="8">IFERROR((N7-P7)/P7,"")</f>
        <v/>
      </c>
      <c r="U7" s="42" t="str">
        <f t="shared" si="8"/>
        <v/>
      </c>
      <c r="V7" s="45" t="str">
        <f t="shared" si="5"/>
        <v/>
      </c>
      <c r="W7" s="45" t="str">
        <f t="shared" si="6"/>
        <v/>
      </c>
    </row>
    <row r="8">
      <c r="A8" s="33" t="s">
        <v>58</v>
      </c>
      <c r="B8" s="36">
        <v>46302.0</v>
      </c>
      <c r="C8" s="33" t="s">
        <v>44</v>
      </c>
      <c r="D8" s="33" t="s">
        <v>53</v>
      </c>
      <c r="E8" s="33" t="s">
        <v>54</v>
      </c>
      <c r="F8" s="33"/>
      <c r="G8" s="33"/>
      <c r="H8" s="33"/>
      <c r="I8" s="33"/>
      <c r="J8" s="42" t="str">
        <f t="shared" si="2"/>
        <v/>
      </c>
      <c r="K8" s="43"/>
      <c r="L8" s="33"/>
      <c r="M8" s="44"/>
      <c r="N8" s="45">
        <f t="shared" si="3"/>
        <v>0</v>
      </c>
      <c r="O8" s="44"/>
      <c r="P8" s="44"/>
      <c r="Q8" s="44"/>
      <c r="R8" s="44"/>
      <c r="S8" s="44"/>
      <c r="T8" s="42" t="str">
        <f t="shared" ref="T8:U8" si="9">IFERROR((N8-P8)/P8,"")</f>
        <v/>
      </c>
      <c r="U8" s="42" t="str">
        <f t="shared" si="9"/>
        <v/>
      </c>
      <c r="V8" s="45" t="str">
        <f t="shared" si="5"/>
        <v/>
      </c>
      <c r="W8" s="45" t="str">
        <f t="shared" si="6"/>
        <v/>
      </c>
    </row>
    <row r="9">
      <c r="A9" s="33" t="s">
        <v>59</v>
      </c>
      <c r="B9" s="36">
        <v>46306.0</v>
      </c>
      <c r="C9" s="33" t="s">
        <v>44</v>
      </c>
      <c r="D9" s="33" t="s">
        <v>53</v>
      </c>
      <c r="E9" s="33" t="s">
        <v>54</v>
      </c>
      <c r="F9" s="33"/>
      <c r="G9" s="33"/>
      <c r="H9" s="33"/>
      <c r="I9" s="33"/>
      <c r="J9" s="42" t="str">
        <f t="shared" si="2"/>
        <v/>
      </c>
      <c r="K9" s="43"/>
      <c r="L9" s="33"/>
      <c r="M9" s="44"/>
      <c r="N9" s="45">
        <f t="shared" si="3"/>
        <v>0</v>
      </c>
      <c r="O9" s="44"/>
      <c r="P9" s="44"/>
      <c r="Q9" s="44"/>
      <c r="R9" s="44"/>
      <c r="S9" s="44"/>
      <c r="T9" s="42" t="str">
        <f t="shared" ref="T9:U9" si="10">IFERROR((N9-P9)/P9,"")</f>
        <v/>
      </c>
      <c r="U9" s="42" t="str">
        <f t="shared" si="10"/>
        <v/>
      </c>
      <c r="V9" s="45" t="str">
        <f t="shared" si="5"/>
        <v/>
      </c>
      <c r="W9" s="45" t="str">
        <f t="shared" si="6"/>
        <v/>
      </c>
    </row>
    <row r="10">
      <c r="A10" s="33" t="s">
        <v>60</v>
      </c>
      <c r="B10" s="36">
        <v>46309.0</v>
      </c>
      <c r="C10" s="33" t="s">
        <v>44</v>
      </c>
      <c r="D10" s="33" t="s">
        <v>53</v>
      </c>
      <c r="E10" s="33" t="s">
        <v>54</v>
      </c>
      <c r="F10" s="33"/>
      <c r="G10" s="33"/>
      <c r="H10" s="33"/>
      <c r="I10" s="33"/>
      <c r="J10" s="42" t="str">
        <f t="shared" si="2"/>
        <v/>
      </c>
      <c r="K10" s="43"/>
      <c r="L10" s="33"/>
      <c r="M10" s="44"/>
      <c r="N10" s="45">
        <f t="shared" si="3"/>
        <v>0</v>
      </c>
      <c r="O10" s="44"/>
      <c r="P10" s="44"/>
      <c r="Q10" s="44"/>
      <c r="R10" s="44"/>
      <c r="S10" s="44"/>
      <c r="T10" s="42" t="str">
        <f t="shared" ref="T10:U10" si="11">IFERROR((N10-P10)/P10,"")</f>
        <v/>
      </c>
      <c r="U10" s="42" t="str">
        <f t="shared" si="11"/>
        <v/>
      </c>
      <c r="V10" s="45" t="str">
        <f t="shared" si="5"/>
        <v/>
      </c>
      <c r="W10" s="45" t="str">
        <f t="shared" si="6"/>
        <v/>
      </c>
    </row>
    <row r="11">
      <c r="A11" s="33" t="s">
        <v>61</v>
      </c>
      <c r="B11" s="36">
        <v>46311.0</v>
      </c>
      <c r="C11" s="33" t="s">
        <v>62</v>
      </c>
      <c r="D11" s="33" t="s">
        <v>63</v>
      </c>
      <c r="E11" s="33" t="s">
        <v>54</v>
      </c>
      <c r="F11" s="33">
        <v>80.0</v>
      </c>
      <c r="G11" s="33">
        <v>60.0</v>
      </c>
      <c r="H11" s="33">
        <v>40.0</v>
      </c>
      <c r="I11" s="33">
        <v>40.0</v>
      </c>
      <c r="J11" s="42">
        <f t="shared" si="2"/>
        <v>0.6666666667</v>
      </c>
      <c r="K11" s="43">
        <v>0.12</v>
      </c>
      <c r="L11" s="33"/>
      <c r="M11" s="44">
        <v>39000.0</v>
      </c>
      <c r="N11" s="45">
        <f t="shared" si="3"/>
        <v>187200</v>
      </c>
      <c r="O11" s="44">
        <v>200000.0</v>
      </c>
      <c r="P11" s="44">
        <v>6000.0</v>
      </c>
      <c r="Q11" s="44">
        <v>5600.0</v>
      </c>
      <c r="R11" s="44">
        <v>84525.0</v>
      </c>
      <c r="S11" s="44">
        <v>76000.0</v>
      </c>
      <c r="T11" s="42">
        <f t="shared" ref="T11:U11" si="12">IFERROR((N11-P11)/P11,"")</f>
        <v>30.2</v>
      </c>
      <c r="U11" s="42">
        <f t="shared" si="12"/>
        <v>34.71428571</v>
      </c>
      <c r="V11" s="45">
        <f t="shared" si="5"/>
        <v>35.71428571</v>
      </c>
      <c r="W11" s="45">
        <f t="shared" si="6"/>
        <v>13.57142857</v>
      </c>
    </row>
    <row r="12">
      <c r="A12" s="33" t="s">
        <v>64</v>
      </c>
      <c r="B12" s="36">
        <v>46313.0</v>
      </c>
      <c r="C12" s="33" t="s">
        <v>65</v>
      </c>
      <c r="D12" s="33" t="s">
        <v>66</v>
      </c>
      <c r="E12" s="33" t="s">
        <v>54</v>
      </c>
      <c r="F12" s="33">
        <v>90.0</v>
      </c>
      <c r="G12" s="33">
        <v>82.0</v>
      </c>
      <c r="H12" s="33">
        <v>50.0</v>
      </c>
      <c r="I12" s="33">
        <v>48.0</v>
      </c>
      <c r="J12" s="42">
        <f t="shared" si="2"/>
        <v>0.5853658537</v>
      </c>
      <c r="K12" s="43">
        <v>0.14</v>
      </c>
      <c r="L12" s="33"/>
      <c r="M12" s="44"/>
      <c r="N12" s="45">
        <f t="shared" si="3"/>
        <v>0</v>
      </c>
      <c r="O12" s="44">
        <v>287500.0</v>
      </c>
      <c r="P12" s="44">
        <v>8000.0</v>
      </c>
      <c r="Q12" s="44">
        <v>7600.0</v>
      </c>
      <c r="R12" s="44">
        <v>140875.0</v>
      </c>
      <c r="S12" s="44">
        <v>90000.0</v>
      </c>
      <c r="T12" s="42">
        <f t="shared" ref="T12:U12" si="13">IFERROR((N12-P12)/P12,"")</f>
        <v>-1</v>
      </c>
      <c r="U12" s="42">
        <f t="shared" si="13"/>
        <v>36.82894737</v>
      </c>
      <c r="V12" s="45">
        <f t="shared" si="5"/>
        <v>37.82894737</v>
      </c>
      <c r="W12" s="45">
        <f t="shared" si="6"/>
        <v>11.84210526</v>
      </c>
    </row>
    <row r="13">
      <c r="A13" s="33" t="s">
        <v>67</v>
      </c>
      <c r="B13" s="36">
        <v>46316.0</v>
      </c>
      <c r="C13" s="33" t="s">
        <v>68</v>
      </c>
      <c r="D13" s="33" t="s">
        <v>53</v>
      </c>
      <c r="E13" s="33" t="s">
        <v>54</v>
      </c>
      <c r="F13" s="33"/>
      <c r="G13" s="33"/>
      <c r="H13" s="33"/>
      <c r="I13" s="33"/>
      <c r="J13" s="42"/>
      <c r="K13" s="43"/>
      <c r="L13" s="33"/>
      <c r="M13" s="44"/>
      <c r="N13" s="45">
        <f t="shared" si="3"/>
        <v>0</v>
      </c>
      <c r="O13" s="44"/>
      <c r="P13" s="44"/>
      <c r="Q13" s="44"/>
      <c r="R13" s="44"/>
      <c r="S13" s="44"/>
      <c r="T13" s="42" t="str">
        <f t="shared" ref="T13:U13" si="14">IFERROR((N13-P13)/P13,"")</f>
        <v/>
      </c>
      <c r="U13" s="42" t="str">
        <f t="shared" si="14"/>
        <v/>
      </c>
      <c r="V13" s="45" t="str">
        <f t="shared" si="5"/>
        <v/>
      </c>
      <c r="W13" s="45" t="str">
        <f t="shared" si="6"/>
        <v/>
      </c>
    </row>
    <row r="14">
      <c r="A14" s="33" t="s">
        <v>69</v>
      </c>
      <c r="B14" s="36">
        <v>46320.0</v>
      </c>
      <c r="C14" s="33" t="s">
        <v>70</v>
      </c>
      <c r="D14" s="33" t="s">
        <v>66</v>
      </c>
      <c r="E14" s="33" t="s">
        <v>54</v>
      </c>
      <c r="F14" s="33"/>
      <c r="G14" s="33"/>
      <c r="H14" s="33"/>
      <c r="I14" s="33"/>
      <c r="J14" s="42"/>
      <c r="K14" s="43"/>
      <c r="L14" s="33"/>
      <c r="M14" s="44"/>
      <c r="N14" s="45">
        <f t="shared" si="3"/>
        <v>0</v>
      </c>
      <c r="O14" s="44"/>
      <c r="P14" s="44"/>
      <c r="Q14" s="44"/>
      <c r="R14" s="44"/>
      <c r="S14" s="44"/>
      <c r="T14" s="42" t="str">
        <f t="shared" ref="T14:U14" si="15">IFERROR((N14-P14)/P14,"")</f>
        <v/>
      </c>
      <c r="U14" s="42" t="str">
        <f t="shared" si="15"/>
        <v/>
      </c>
      <c r="V14" s="45" t="str">
        <f t="shared" si="5"/>
        <v/>
      </c>
      <c r="W14" s="45" t="str">
        <f t="shared" si="6"/>
        <v/>
      </c>
    </row>
    <row r="15">
      <c r="A15" s="33" t="s">
        <v>71</v>
      </c>
      <c r="B15" s="36">
        <v>46323.0</v>
      </c>
      <c r="C15" s="33" t="s">
        <v>72</v>
      </c>
      <c r="D15" s="33" t="s">
        <v>53</v>
      </c>
      <c r="E15" s="33" t="s">
        <v>54</v>
      </c>
      <c r="F15" s="33"/>
      <c r="G15" s="33"/>
      <c r="H15" s="33"/>
      <c r="I15" s="33"/>
      <c r="J15" s="42"/>
      <c r="K15" s="43"/>
      <c r="L15" s="33"/>
      <c r="M15" s="44"/>
      <c r="N15" s="45">
        <f t="shared" si="3"/>
        <v>0</v>
      </c>
      <c r="O15" s="44"/>
      <c r="P15" s="44"/>
      <c r="Q15" s="44"/>
      <c r="R15" s="44"/>
      <c r="S15" s="44"/>
      <c r="T15" s="42" t="str">
        <f t="shared" ref="T15:U15" si="16">IFERROR((N15-P15)/P15,"")</f>
        <v/>
      </c>
      <c r="U15" s="42" t="str">
        <f t="shared" si="16"/>
        <v/>
      </c>
      <c r="V15" s="45" t="str">
        <f t="shared" si="5"/>
        <v/>
      </c>
      <c r="W15" s="45" t="str">
        <f t="shared" si="6"/>
        <v/>
      </c>
    </row>
    <row r="16">
      <c r="A16" s="33" t="s">
        <v>73</v>
      </c>
      <c r="B16" s="36">
        <v>46326.0</v>
      </c>
      <c r="C16" s="33" t="s">
        <v>72</v>
      </c>
      <c r="D16" s="33" t="s">
        <v>53</v>
      </c>
      <c r="E16" s="33" t="s">
        <v>54</v>
      </c>
      <c r="F16" s="33"/>
      <c r="G16" s="33"/>
      <c r="H16" s="33"/>
      <c r="I16" s="33"/>
      <c r="J16" s="42"/>
      <c r="K16" s="43"/>
      <c r="L16" s="33"/>
      <c r="M16" s="44"/>
      <c r="N16" s="45">
        <f t="shared" si="3"/>
        <v>0</v>
      </c>
      <c r="O16" s="44"/>
      <c r="P16" s="44"/>
      <c r="Q16" s="44"/>
      <c r="R16" s="44"/>
      <c r="S16" s="44"/>
      <c r="T16" s="42" t="str">
        <f t="shared" ref="T16:U16" si="17">IFERROR((N16-P16)/P16,"")</f>
        <v/>
      </c>
      <c r="U16" s="42" t="str">
        <f t="shared" si="17"/>
        <v/>
      </c>
      <c r="V16" s="45" t="str">
        <f t="shared" si="5"/>
        <v/>
      </c>
      <c r="W16" s="45" t="str">
        <f t="shared" si="6"/>
        <v/>
      </c>
    </row>
    <row r="17">
      <c r="A17" s="33" t="s">
        <v>74</v>
      </c>
      <c r="B17" s="36">
        <v>46330.0</v>
      </c>
      <c r="C17" s="33" t="s">
        <v>72</v>
      </c>
      <c r="D17" s="33" t="s">
        <v>53</v>
      </c>
      <c r="E17" s="33" t="s">
        <v>54</v>
      </c>
      <c r="F17" s="33"/>
      <c r="G17" s="33"/>
      <c r="H17" s="33"/>
      <c r="I17" s="33"/>
      <c r="J17" s="42"/>
      <c r="K17" s="43"/>
      <c r="L17" s="33"/>
      <c r="M17" s="44"/>
      <c r="N17" s="45">
        <f t="shared" si="3"/>
        <v>0</v>
      </c>
      <c r="O17" s="44"/>
      <c r="P17" s="44"/>
      <c r="Q17" s="44"/>
      <c r="R17" s="44"/>
      <c r="S17" s="44"/>
      <c r="T17" s="42" t="str">
        <f t="shared" ref="T17:U17" si="18">IFERROR((N17-P17)/P17,"")</f>
        <v/>
      </c>
      <c r="U17" s="42" t="str">
        <f t="shared" si="18"/>
        <v/>
      </c>
      <c r="V17" s="45" t="str">
        <f t="shared" si="5"/>
        <v/>
      </c>
      <c r="W17" s="45" t="str">
        <f t="shared" si="6"/>
        <v/>
      </c>
    </row>
    <row r="18">
      <c r="A18" s="33" t="s">
        <v>75</v>
      </c>
      <c r="B18" s="36">
        <v>46334.0</v>
      </c>
      <c r="C18" s="33" t="s">
        <v>72</v>
      </c>
      <c r="D18" s="33" t="s">
        <v>53</v>
      </c>
      <c r="E18" s="33" t="s">
        <v>54</v>
      </c>
      <c r="F18" s="33"/>
      <c r="G18" s="33"/>
      <c r="H18" s="33"/>
      <c r="I18" s="33"/>
      <c r="J18" s="42"/>
      <c r="K18" s="43"/>
      <c r="L18" s="33"/>
      <c r="M18" s="44"/>
      <c r="N18" s="45">
        <f t="shared" si="3"/>
        <v>0</v>
      </c>
      <c r="O18" s="44"/>
      <c r="P18" s="44"/>
      <c r="Q18" s="44"/>
      <c r="R18" s="44"/>
      <c r="S18" s="44"/>
      <c r="T18" s="42" t="str">
        <f t="shared" ref="T18:U18" si="19">IFERROR((N18-P18)/P18,"")</f>
        <v/>
      </c>
      <c r="U18" s="42" t="str">
        <f t="shared" si="19"/>
        <v/>
      </c>
      <c r="V18" s="45" t="str">
        <f t="shared" si="5"/>
        <v/>
      </c>
      <c r="W18" s="45" t="str">
        <f t="shared" si="6"/>
        <v/>
      </c>
    </row>
    <row r="19">
      <c r="A19" s="33" t="s">
        <v>76</v>
      </c>
      <c r="B19" s="36">
        <v>46337.0</v>
      </c>
      <c r="C19" s="33" t="s">
        <v>72</v>
      </c>
      <c r="D19" s="33" t="s">
        <v>53</v>
      </c>
      <c r="E19" s="33" t="s">
        <v>54</v>
      </c>
      <c r="F19" s="33"/>
      <c r="G19" s="33"/>
      <c r="H19" s="33"/>
      <c r="I19" s="33"/>
      <c r="J19" s="42"/>
      <c r="K19" s="43"/>
      <c r="L19" s="33"/>
      <c r="M19" s="44"/>
      <c r="N19" s="45">
        <f t="shared" si="3"/>
        <v>0</v>
      </c>
      <c r="O19" s="44"/>
      <c r="P19" s="44"/>
      <c r="Q19" s="44"/>
      <c r="R19" s="44"/>
      <c r="S19" s="44"/>
      <c r="T19" s="42" t="str">
        <f t="shared" ref="T19:U19" si="20">IFERROR((N19-P19)/P19,"")</f>
        <v/>
      </c>
      <c r="U19" s="42" t="str">
        <f t="shared" si="20"/>
        <v/>
      </c>
      <c r="V19" s="45" t="str">
        <f t="shared" si="5"/>
        <v/>
      </c>
      <c r="W19" s="45" t="str">
        <f t="shared" si="6"/>
        <v/>
      </c>
    </row>
    <row r="20">
      <c r="A20" s="33" t="s">
        <v>77</v>
      </c>
      <c r="B20" s="36">
        <v>46341.0</v>
      </c>
      <c r="C20" s="33" t="s">
        <v>72</v>
      </c>
      <c r="D20" s="33" t="s">
        <v>53</v>
      </c>
      <c r="E20" s="33" t="s">
        <v>54</v>
      </c>
      <c r="F20" s="33"/>
      <c r="G20" s="33"/>
      <c r="H20" s="33"/>
      <c r="I20" s="33"/>
      <c r="J20" s="42"/>
      <c r="K20" s="43"/>
      <c r="L20" s="33"/>
      <c r="M20" s="44"/>
      <c r="N20" s="45">
        <f t="shared" si="3"/>
        <v>0</v>
      </c>
      <c r="O20" s="44"/>
      <c r="P20" s="44"/>
      <c r="Q20" s="44"/>
      <c r="R20" s="44"/>
      <c r="S20" s="44"/>
      <c r="T20" s="42" t="str">
        <f t="shared" ref="T20:U20" si="21">IFERROR((N20-P20)/P20,"")</f>
        <v/>
      </c>
      <c r="U20" s="42" t="str">
        <f t="shared" si="21"/>
        <v/>
      </c>
      <c r="V20" s="45" t="str">
        <f t="shared" si="5"/>
        <v/>
      </c>
      <c r="W20" s="45" t="str">
        <f t="shared" si="6"/>
        <v/>
      </c>
    </row>
    <row r="21">
      <c r="A21" s="33" t="s">
        <v>78</v>
      </c>
      <c r="B21" s="36">
        <v>46344.0</v>
      </c>
      <c r="C21" s="33" t="s">
        <v>72</v>
      </c>
      <c r="D21" s="33" t="s">
        <v>53</v>
      </c>
      <c r="E21" s="33" t="s">
        <v>54</v>
      </c>
      <c r="F21" s="33"/>
      <c r="G21" s="33"/>
      <c r="H21" s="33"/>
      <c r="I21" s="33"/>
      <c r="J21" s="42"/>
      <c r="K21" s="43"/>
      <c r="L21" s="33"/>
      <c r="M21" s="44"/>
      <c r="N21" s="45">
        <f t="shared" si="3"/>
        <v>0</v>
      </c>
      <c r="O21" s="44"/>
      <c r="P21" s="44"/>
      <c r="Q21" s="44"/>
      <c r="R21" s="44"/>
      <c r="S21" s="44"/>
      <c r="T21" s="42" t="str">
        <f t="shared" ref="T21:U21" si="22">IFERROR((N21-P21)/P21,"")</f>
        <v/>
      </c>
      <c r="U21" s="42" t="str">
        <f t="shared" si="22"/>
        <v/>
      </c>
      <c r="V21" s="45" t="str">
        <f t="shared" si="5"/>
        <v/>
      </c>
      <c r="W21" s="45" t="str">
        <f t="shared" si="6"/>
        <v/>
      </c>
    </row>
    <row r="22">
      <c r="A22" s="33" t="s">
        <v>79</v>
      </c>
      <c r="B22" s="36">
        <v>46346.0</v>
      </c>
      <c r="C22" s="33" t="s">
        <v>80</v>
      </c>
      <c r="D22" s="33" t="s">
        <v>63</v>
      </c>
      <c r="E22" s="33" t="s">
        <v>54</v>
      </c>
      <c r="F22" s="33"/>
      <c r="G22" s="33"/>
      <c r="H22" s="33"/>
      <c r="I22" s="33"/>
      <c r="J22" s="42"/>
      <c r="K22" s="43"/>
      <c r="L22" s="33"/>
      <c r="M22" s="44"/>
      <c r="N22" s="45">
        <f t="shared" si="3"/>
        <v>0</v>
      </c>
      <c r="O22" s="44"/>
      <c r="P22" s="44"/>
      <c r="Q22" s="44"/>
      <c r="R22" s="44"/>
      <c r="S22" s="44"/>
      <c r="T22" s="42" t="str">
        <f t="shared" ref="T22:U22" si="23">IFERROR((N22-P22)/P22,"")</f>
        <v/>
      </c>
      <c r="U22" s="42" t="str">
        <f t="shared" si="23"/>
        <v/>
      </c>
      <c r="V22" s="45" t="str">
        <f t="shared" si="5"/>
        <v/>
      </c>
      <c r="W22" s="45" t="str">
        <f t="shared" si="6"/>
        <v/>
      </c>
    </row>
    <row r="23">
      <c r="A23" s="33" t="s">
        <v>81</v>
      </c>
      <c r="B23" s="36">
        <v>46348.0</v>
      </c>
      <c r="C23" s="33" t="s">
        <v>72</v>
      </c>
      <c r="D23" s="33" t="s">
        <v>53</v>
      </c>
      <c r="E23" s="33" t="s">
        <v>54</v>
      </c>
      <c r="F23" s="54"/>
      <c r="G23" s="54"/>
      <c r="H23" s="54"/>
      <c r="I23" s="54"/>
      <c r="J23" s="42"/>
      <c r="K23" s="54"/>
      <c r="L23" s="54"/>
      <c r="M23" s="55"/>
      <c r="N23" s="45">
        <f t="shared" si="3"/>
        <v>0</v>
      </c>
      <c r="O23" s="55"/>
      <c r="P23" s="55"/>
      <c r="Q23" s="55"/>
      <c r="R23" s="55"/>
      <c r="S23" s="55"/>
      <c r="T23" s="42" t="str">
        <f t="shared" ref="T23:U23" si="24">IFERROR((N23-P23)/P23,"")</f>
        <v/>
      </c>
      <c r="U23" s="42" t="str">
        <f t="shared" si="24"/>
        <v/>
      </c>
      <c r="V23" s="45" t="str">
        <f t="shared" si="5"/>
        <v/>
      </c>
      <c r="W23" s="45" t="str">
        <f t="shared" si="6"/>
        <v/>
      </c>
    </row>
    <row r="24">
      <c r="A24" s="33" t="s">
        <v>82</v>
      </c>
      <c r="B24" s="36">
        <v>46351.0</v>
      </c>
      <c r="C24" s="33" t="s">
        <v>72</v>
      </c>
      <c r="D24" s="33" t="s">
        <v>53</v>
      </c>
      <c r="E24" s="33" t="s">
        <v>54</v>
      </c>
      <c r="F24" s="54"/>
      <c r="G24" s="54"/>
      <c r="H24" s="54"/>
      <c r="I24" s="54"/>
      <c r="J24" s="42"/>
      <c r="K24" s="54"/>
      <c r="L24" s="54"/>
      <c r="M24" s="55"/>
      <c r="N24" s="45">
        <f t="shared" si="3"/>
        <v>0</v>
      </c>
      <c r="O24" s="55"/>
      <c r="P24" s="55"/>
      <c r="Q24" s="55"/>
      <c r="R24" s="55"/>
      <c r="S24" s="55"/>
      <c r="T24" s="42" t="str">
        <f t="shared" ref="T24:U24" si="25">IFERROR((N24-P24)/P24,"")</f>
        <v/>
      </c>
      <c r="U24" s="42" t="str">
        <f t="shared" si="25"/>
        <v/>
      </c>
      <c r="V24" s="45" t="str">
        <f t="shared" si="5"/>
        <v/>
      </c>
      <c r="W24" s="45" t="str">
        <f t="shared" si="6"/>
        <v/>
      </c>
    </row>
    <row r="25">
      <c r="A25" s="33" t="s">
        <v>83</v>
      </c>
      <c r="B25" s="36">
        <v>46355.0</v>
      </c>
      <c r="C25" s="33" t="s">
        <v>84</v>
      </c>
      <c r="D25" s="33" t="s">
        <v>66</v>
      </c>
      <c r="E25" s="33" t="s">
        <v>54</v>
      </c>
      <c r="F25" s="54"/>
      <c r="G25" s="54"/>
      <c r="H25" s="54"/>
      <c r="I25" s="54"/>
      <c r="J25" s="42" t="str">
        <f>IFERROR(I25/G25,"")</f>
        <v/>
      </c>
      <c r="K25" s="54"/>
      <c r="L25" s="54"/>
      <c r="M25" s="55"/>
      <c r="N25" s="45">
        <f t="shared" si="3"/>
        <v>0</v>
      </c>
      <c r="O25" s="55"/>
      <c r="P25" s="55"/>
      <c r="Q25" s="55"/>
      <c r="R25" s="55"/>
      <c r="S25" s="55"/>
      <c r="T25" s="42" t="str">
        <f t="shared" ref="T25:U25" si="26">IFERROR((N25-P25)/P25,"")</f>
        <v/>
      </c>
      <c r="U25" s="42" t="str">
        <f t="shared" si="26"/>
        <v/>
      </c>
      <c r="V25" s="45" t="str">
        <f t="shared" si="5"/>
        <v/>
      </c>
      <c r="W25" s="45" t="str">
        <f t="shared" si="6"/>
        <v/>
      </c>
    </row>
    <row r="26">
      <c r="A26" s="33" t="s">
        <v>85</v>
      </c>
      <c r="B26" s="36">
        <v>46358.0</v>
      </c>
      <c r="C26" s="33" t="s">
        <v>72</v>
      </c>
      <c r="D26" s="33" t="s">
        <v>53</v>
      </c>
      <c r="E26" s="33" t="s">
        <v>54</v>
      </c>
      <c r="F26" s="54"/>
      <c r="G26" s="54"/>
      <c r="H26" s="54"/>
      <c r="I26" s="54"/>
      <c r="J26" s="42"/>
      <c r="K26" s="54"/>
      <c r="L26" s="54"/>
      <c r="M26" s="55"/>
      <c r="N26" s="45">
        <f t="shared" si="3"/>
        <v>0</v>
      </c>
      <c r="O26" s="55"/>
      <c r="P26" s="55"/>
      <c r="Q26" s="55"/>
      <c r="R26" s="55"/>
      <c r="S26" s="55"/>
      <c r="T26" s="42" t="str">
        <f t="shared" ref="T26:U26" si="27">IFERROR((N26-P26)/P26,"")</f>
        <v/>
      </c>
      <c r="U26" s="42" t="str">
        <f t="shared" si="27"/>
        <v/>
      </c>
      <c r="V26" s="45" t="str">
        <f t="shared" si="5"/>
        <v/>
      </c>
      <c r="W26" s="45" t="str">
        <f t="shared" si="6"/>
        <v/>
      </c>
    </row>
    <row r="27">
      <c r="A27" s="33" t="s">
        <v>86</v>
      </c>
      <c r="B27" s="36">
        <v>46362.0</v>
      </c>
      <c r="C27" s="33" t="s">
        <v>72</v>
      </c>
      <c r="D27" s="33" t="s">
        <v>53</v>
      </c>
      <c r="E27" s="33" t="s">
        <v>54</v>
      </c>
      <c r="F27" s="54"/>
      <c r="G27" s="54"/>
      <c r="H27" s="54"/>
      <c r="I27" s="54"/>
      <c r="J27" s="42"/>
      <c r="K27" s="54"/>
      <c r="L27" s="54"/>
      <c r="M27" s="55"/>
      <c r="N27" s="45">
        <f t="shared" si="3"/>
        <v>0</v>
      </c>
      <c r="O27" s="55"/>
      <c r="P27" s="55"/>
      <c r="Q27" s="55"/>
      <c r="R27" s="55"/>
      <c r="S27" s="55"/>
      <c r="T27" s="42" t="str">
        <f t="shared" ref="T27:U27" si="28">IFERROR((N27-P27)/P27,"")</f>
        <v/>
      </c>
      <c r="U27" s="42" t="str">
        <f t="shared" si="28"/>
        <v/>
      </c>
      <c r="V27" s="45" t="str">
        <f t="shared" si="5"/>
        <v/>
      </c>
      <c r="W27" s="45" t="str">
        <f t="shared" si="6"/>
        <v/>
      </c>
    </row>
    <row r="28">
      <c r="A28" s="33" t="s">
        <v>87</v>
      </c>
      <c r="B28" s="36">
        <v>46365.0</v>
      </c>
      <c r="C28" s="33" t="s">
        <v>72</v>
      </c>
      <c r="D28" s="33" t="s">
        <v>53</v>
      </c>
      <c r="E28" s="33" t="s">
        <v>54</v>
      </c>
      <c r="F28" s="54"/>
      <c r="G28" s="54"/>
      <c r="H28" s="54"/>
      <c r="I28" s="54"/>
      <c r="J28" s="42"/>
      <c r="K28" s="54"/>
      <c r="L28" s="54"/>
      <c r="M28" s="55"/>
      <c r="N28" s="45">
        <f t="shared" si="3"/>
        <v>0</v>
      </c>
      <c r="O28" s="55"/>
      <c r="P28" s="55"/>
      <c r="Q28" s="55"/>
      <c r="R28" s="55"/>
      <c r="S28" s="55"/>
      <c r="T28" s="42" t="str">
        <f t="shared" ref="T28:U28" si="29">IFERROR((N28-P28)/P28,"")</f>
        <v/>
      </c>
      <c r="U28" s="42" t="str">
        <f t="shared" si="29"/>
        <v/>
      </c>
      <c r="V28" s="45" t="str">
        <f t="shared" si="5"/>
        <v/>
      </c>
      <c r="W28" s="45" t="str">
        <f t="shared" si="6"/>
        <v/>
      </c>
    </row>
    <row r="29">
      <c r="A29" s="33" t="s">
        <v>88</v>
      </c>
      <c r="B29" s="36">
        <v>46369.0</v>
      </c>
      <c r="C29" s="33" t="s">
        <v>89</v>
      </c>
      <c r="D29" s="33" t="s">
        <v>66</v>
      </c>
      <c r="E29" s="33" t="s">
        <v>54</v>
      </c>
      <c r="F29" s="54"/>
      <c r="G29" s="54"/>
      <c r="H29" s="54"/>
      <c r="I29" s="54"/>
      <c r="J29" s="42" t="str">
        <f>IFERROR(I29/G29,"")</f>
        <v/>
      </c>
      <c r="K29" s="54"/>
      <c r="L29" s="54"/>
      <c r="M29" s="55"/>
      <c r="N29" s="45">
        <f t="shared" si="3"/>
        <v>0</v>
      </c>
      <c r="O29" s="55"/>
      <c r="P29" s="55"/>
      <c r="Q29" s="55"/>
      <c r="R29" s="55"/>
      <c r="S29" s="55"/>
      <c r="T29" s="42" t="str">
        <f t="shared" ref="T29:U29" si="30">IFERROR((N29-P29)/P29,"")</f>
        <v/>
      </c>
      <c r="U29" s="42" t="str">
        <f t="shared" si="30"/>
        <v/>
      </c>
      <c r="V29" s="45" t="str">
        <f t="shared" si="5"/>
        <v/>
      </c>
      <c r="W29" s="45" t="str">
        <f t="shared" si="6"/>
        <v/>
      </c>
    </row>
    <row r="30">
      <c r="A30" s="33" t="s">
        <v>90</v>
      </c>
      <c r="B30" s="36">
        <v>46372.0</v>
      </c>
      <c r="C30" s="33" t="s">
        <v>72</v>
      </c>
      <c r="D30" s="33" t="s">
        <v>53</v>
      </c>
      <c r="E30" s="33" t="s">
        <v>54</v>
      </c>
      <c r="F30" s="54"/>
      <c r="G30" s="54"/>
      <c r="H30" s="54"/>
      <c r="I30" s="54"/>
      <c r="J30" s="56"/>
      <c r="K30" s="54"/>
      <c r="L30" s="54"/>
      <c r="M30" s="55"/>
      <c r="N30" s="45">
        <f t="shared" si="3"/>
        <v>0</v>
      </c>
      <c r="O30" s="55"/>
      <c r="P30" s="55"/>
      <c r="Q30" s="55"/>
      <c r="R30" s="55"/>
      <c r="S30" s="55"/>
      <c r="T30" s="42" t="str">
        <f t="shared" ref="T30:U30" si="31">IFERROR((N30-P30)/P30,"")</f>
        <v/>
      </c>
      <c r="U30" s="42" t="str">
        <f t="shared" si="31"/>
        <v/>
      </c>
      <c r="V30" s="45" t="str">
        <f t="shared" si="5"/>
        <v/>
      </c>
      <c r="W30" s="45" t="str">
        <f t="shared" si="6"/>
        <v/>
      </c>
    </row>
    <row r="31">
      <c r="A31" s="33" t="s">
        <v>91</v>
      </c>
      <c r="B31" s="36">
        <v>46376.0</v>
      </c>
      <c r="C31" s="33" t="s">
        <v>72</v>
      </c>
      <c r="D31" s="33" t="s">
        <v>53</v>
      </c>
      <c r="E31" s="33" t="s">
        <v>54</v>
      </c>
      <c r="F31" s="54"/>
      <c r="G31" s="54"/>
      <c r="H31" s="54"/>
      <c r="I31" s="54"/>
      <c r="J31" s="56"/>
      <c r="K31" s="54"/>
      <c r="L31" s="54"/>
      <c r="M31" s="55"/>
      <c r="N31" s="45">
        <f t="shared" si="3"/>
        <v>0</v>
      </c>
      <c r="O31" s="55"/>
      <c r="P31" s="55"/>
      <c r="Q31" s="55"/>
      <c r="R31" s="55"/>
      <c r="S31" s="55"/>
      <c r="T31" s="42" t="str">
        <f t="shared" ref="T31:U31" si="32">IFERROR((N31-P31)/P31,"")</f>
        <v/>
      </c>
      <c r="U31" s="42" t="str">
        <f t="shared" si="32"/>
        <v/>
      </c>
      <c r="V31" s="45" t="str">
        <f t="shared" si="5"/>
        <v/>
      </c>
      <c r="W31" s="45" t="str">
        <f t="shared" si="6"/>
        <v/>
      </c>
    </row>
    <row r="32">
      <c r="A32" s="33" t="s">
        <v>92</v>
      </c>
      <c r="B32" s="36">
        <v>46383.0</v>
      </c>
      <c r="C32" s="33" t="s">
        <v>72</v>
      </c>
      <c r="D32" s="33" t="s">
        <v>53</v>
      </c>
      <c r="E32" s="33" t="s">
        <v>54</v>
      </c>
      <c r="F32" s="54"/>
      <c r="G32" s="54"/>
      <c r="H32" s="54"/>
      <c r="I32" s="54"/>
      <c r="J32" s="56"/>
      <c r="K32" s="54"/>
      <c r="L32" s="54"/>
      <c r="M32" s="55"/>
      <c r="N32" s="45">
        <f t="shared" si="3"/>
        <v>0</v>
      </c>
      <c r="O32" s="55"/>
      <c r="P32" s="55"/>
      <c r="Q32" s="55"/>
      <c r="R32" s="55"/>
      <c r="S32" s="55"/>
      <c r="T32" s="42" t="str">
        <f t="shared" ref="T32:U32" si="33">IFERROR((N32-P32)/P32,"")</f>
        <v/>
      </c>
      <c r="U32" s="42" t="str">
        <f t="shared" si="33"/>
        <v/>
      </c>
      <c r="V32" s="45" t="str">
        <f t="shared" si="5"/>
        <v/>
      </c>
      <c r="W32" s="45" t="str">
        <f t="shared" si="6"/>
        <v/>
      </c>
    </row>
    <row r="33">
      <c r="A33" s="57"/>
      <c r="B33" s="58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59"/>
      <c r="O33" s="59"/>
      <c r="P33" s="59"/>
      <c r="Q33" s="59"/>
      <c r="R33" s="59"/>
      <c r="S33" s="59"/>
      <c r="T33" s="42" t="str">
        <f t="shared" ref="T33:U33" si="34">IFERROR((N33-P33)/P33,"")</f>
        <v/>
      </c>
      <c r="U33" s="42" t="str">
        <f t="shared" si="34"/>
        <v/>
      </c>
      <c r="V33" s="45" t="str">
        <f t="shared" si="5"/>
        <v/>
      </c>
      <c r="W33" s="45" t="str">
        <f t="shared" si="6"/>
        <v/>
      </c>
    </row>
    <row r="34">
      <c r="A34" s="57"/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59"/>
      <c r="O34" s="59"/>
      <c r="P34" s="59"/>
      <c r="Q34" s="59"/>
      <c r="R34" s="59"/>
      <c r="S34" s="59"/>
      <c r="T34" s="57"/>
      <c r="U34" s="57"/>
      <c r="V34" s="57"/>
      <c r="W34" s="57"/>
    </row>
    <row r="35">
      <c r="A35" s="57"/>
      <c r="B35" s="58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9"/>
      <c r="N35" s="59"/>
      <c r="O35" s="59"/>
      <c r="P35" s="59"/>
      <c r="Q35" s="59"/>
      <c r="R35" s="59"/>
      <c r="S35" s="59"/>
      <c r="T35" s="57"/>
      <c r="U35" s="57"/>
      <c r="V35" s="57"/>
      <c r="W35" s="57"/>
    </row>
    <row r="36">
      <c r="A36" s="57"/>
      <c r="B36" s="58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59"/>
      <c r="O36" s="59"/>
      <c r="P36" s="59"/>
      <c r="Q36" s="59"/>
      <c r="R36" s="59"/>
      <c r="S36" s="59"/>
      <c r="T36" s="57"/>
      <c r="U36" s="57"/>
      <c r="V36" s="57"/>
      <c r="W36" s="57"/>
    </row>
    <row r="37">
      <c r="A37" s="60"/>
      <c r="B37" s="61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2"/>
      <c r="N37" s="62"/>
      <c r="O37" s="62"/>
      <c r="P37" s="62"/>
      <c r="Q37" s="62"/>
      <c r="R37" s="62"/>
      <c r="S37" s="62"/>
      <c r="T37" s="60"/>
      <c r="U37" s="60"/>
      <c r="V37" s="60"/>
      <c r="W37" s="60"/>
    </row>
    <row r="38">
      <c r="A38" s="63"/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5"/>
      <c r="N38" s="65"/>
      <c r="O38" s="65"/>
      <c r="P38" s="65"/>
      <c r="Q38" s="65"/>
      <c r="R38" s="65"/>
      <c r="S38" s="65"/>
      <c r="T38" s="63"/>
      <c r="U38" s="63"/>
      <c r="V38" s="63"/>
      <c r="W38" s="63"/>
    </row>
    <row r="39">
      <c r="A39" s="63"/>
      <c r="B39" s="64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5"/>
      <c r="N39" s="65"/>
      <c r="O39" s="65"/>
      <c r="P39" s="65"/>
      <c r="Q39" s="65"/>
      <c r="R39" s="65"/>
      <c r="S39" s="65"/>
      <c r="T39" s="63"/>
      <c r="U39" s="63"/>
      <c r="V39" s="63"/>
      <c r="W39" s="63"/>
    </row>
    <row r="40">
      <c r="A40" s="63"/>
      <c r="B40" s="64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5"/>
      <c r="N40" s="65"/>
      <c r="O40" s="65"/>
      <c r="P40" s="65"/>
      <c r="Q40" s="65"/>
      <c r="R40" s="65"/>
      <c r="S40" s="65"/>
      <c r="T40" s="63"/>
      <c r="U40" s="63"/>
      <c r="V40" s="63"/>
      <c r="W40" s="63"/>
    </row>
    <row r="41">
      <c r="A41" s="63"/>
      <c r="B41" s="64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5"/>
      <c r="N41" s="65"/>
      <c r="O41" s="65"/>
      <c r="P41" s="65"/>
      <c r="Q41" s="65"/>
      <c r="R41" s="65"/>
      <c r="S41" s="65"/>
      <c r="T41" s="63"/>
      <c r="U41" s="63"/>
      <c r="V41" s="63"/>
      <c r="W41" s="63"/>
    </row>
    <row r="42">
      <c r="A42" s="63"/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5"/>
      <c r="N42" s="65"/>
      <c r="O42" s="65"/>
      <c r="P42" s="65"/>
      <c r="Q42" s="65"/>
      <c r="R42" s="65"/>
      <c r="S42" s="65"/>
      <c r="T42" s="63"/>
      <c r="U42" s="63"/>
      <c r="V42" s="63"/>
      <c r="W42" s="63"/>
    </row>
    <row r="43">
      <c r="A43" s="63"/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5"/>
      <c r="N43" s="65"/>
      <c r="O43" s="65"/>
      <c r="P43" s="65"/>
      <c r="Q43" s="65"/>
      <c r="R43" s="65"/>
      <c r="S43" s="65"/>
      <c r="T43" s="63"/>
      <c r="U43" s="63"/>
      <c r="V43" s="63"/>
      <c r="W43" s="63"/>
    </row>
    <row r="44">
      <c r="A44" s="63"/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5"/>
      <c r="N44" s="65"/>
      <c r="O44" s="65"/>
      <c r="P44" s="65"/>
      <c r="Q44" s="65"/>
      <c r="R44" s="65"/>
      <c r="S44" s="65"/>
      <c r="T44" s="63"/>
      <c r="U44" s="63"/>
      <c r="V44" s="63"/>
      <c r="W44" s="63"/>
    </row>
    <row r="45">
      <c r="A45" s="63"/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5"/>
      <c r="N45" s="65"/>
      <c r="O45" s="65"/>
      <c r="P45" s="65"/>
      <c r="Q45" s="65"/>
      <c r="R45" s="65"/>
      <c r="S45" s="65"/>
      <c r="T45" s="63"/>
      <c r="U45" s="63"/>
      <c r="V45" s="63"/>
      <c r="W45" s="63"/>
    </row>
    <row r="46">
      <c r="A46" s="63"/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5"/>
      <c r="N46" s="65"/>
      <c r="O46" s="65"/>
      <c r="P46" s="65"/>
      <c r="Q46" s="65"/>
      <c r="R46" s="65"/>
      <c r="S46" s="65"/>
      <c r="T46" s="63"/>
      <c r="U46" s="63"/>
      <c r="V46" s="63"/>
      <c r="W46" s="63"/>
    </row>
    <row r="47">
      <c r="A47" s="63"/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5"/>
      <c r="N47" s="65"/>
      <c r="O47" s="65"/>
      <c r="P47" s="65"/>
      <c r="Q47" s="65"/>
      <c r="R47" s="65"/>
      <c r="S47" s="65"/>
      <c r="T47" s="63"/>
      <c r="U47" s="63"/>
      <c r="V47" s="63"/>
      <c r="W47" s="63"/>
    </row>
    <row r="48">
      <c r="A48" s="63"/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5"/>
      <c r="N48" s="65"/>
      <c r="O48" s="65"/>
      <c r="P48" s="65"/>
      <c r="Q48" s="65"/>
      <c r="R48" s="65"/>
      <c r="S48" s="65"/>
      <c r="T48" s="63"/>
      <c r="U48" s="63"/>
      <c r="V48" s="63"/>
      <c r="W48" s="63"/>
    </row>
    <row r="49">
      <c r="A49" s="63"/>
      <c r="B49" s="64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5"/>
      <c r="N49" s="65"/>
      <c r="O49" s="65"/>
      <c r="P49" s="65"/>
      <c r="Q49" s="65"/>
      <c r="R49" s="65"/>
      <c r="S49" s="65"/>
      <c r="T49" s="63"/>
      <c r="U49" s="63"/>
      <c r="V49" s="63"/>
      <c r="W49" s="63"/>
    </row>
    <row r="50">
      <c r="A50" s="63"/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5"/>
      <c r="N50" s="65"/>
      <c r="O50" s="65"/>
      <c r="P50" s="65"/>
      <c r="Q50" s="65"/>
      <c r="R50" s="65"/>
      <c r="S50" s="65"/>
      <c r="T50" s="63"/>
      <c r="U50" s="63"/>
      <c r="V50" s="63"/>
      <c r="W50" s="63"/>
    </row>
    <row r="51">
      <c r="A51" s="63"/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5"/>
      <c r="N51" s="65"/>
      <c r="O51" s="65"/>
      <c r="P51" s="65"/>
      <c r="Q51" s="65"/>
      <c r="R51" s="65"/>
      <c r="S51" s="65"/>
      <c r="T51" s="63"/>
      <c r="U51" s="63"/>
      <c r="V51" s="63"/>
      <c r="W51" s="63"/>
    </row>
    <row r="52">
      <c r="A52" s="63"/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5"/>
      <c r="N52" s="65"/>
      <c r="O52" s="65"/>
      <c r="P52" s="65"/>
      <c r="Q52" s="65"/>
      <c r="R52" s="65"/>
      <c r="S52" s="65"/>
      <c r="T52" s="63"/>
      <c r="U52" s="63"/>
      <c r="V52" s="63"/>
      <c r="W52" s="63"/>
    </row>
    <row r="53">
      <c r="A53" s="63"/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5"/>
      <c r="N53" s="65"/>
      <c r="O53" s="65"/>
      <c r="P53" s="65"/>
      <c r="Q53" s="65"/>
      <c r="R53" s="65"/>
      <c r="S53" s="65"/>
      <c r="T53" s="63"/>
      <c r="U53" s="63"/>
      <c r="V53" s="63"/>
      <c r="W53" s="63"/>
    </row>
    <row r="54">
      <c r="A54" s="63"/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5"/>
      <c r="N54" s="65"/>
      <c r="O54" s="65"/>
      <c r="P54" s="65"/>
      <c r="Q54" s="65"/>
      <c r="R54" s="65"/>
      <c r="S54" s="65"/>
      <c r="T54" s="63"/>
      <c r="U54" s="63"/>
      <c r="V54" s="63"/>
      <c r="W54" s="63"/>
    </row>
    <row r="55">
      <c r="A55" s="63"/>
      <c r="B55" s="64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5"/>
      <c r="N55" s="65"/>
      <c r="O55" s="65"/>
      <c r="P55" s="65"/>
      <c r="Q55" s="65"/>
      <c r="R55" s="65"/>
      <c r="S55" s="65"/>
      <c r="T55" s="63"/>
      <c r="U55" s="63"/>
      <c r="V55" s="63"/>
      <c r="W55" s="63"/>
    </row>
    <row r="56">
      <c r="A56" s="63"/>
      <c r="B56" s="64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5"/>
      <c r="N56" s="65"/>
      <c r="O56" s="65"/>
      <c r="P56" s="65"/>
      <c r="Q56" s="65"/>
      <c r="R56" s="65"/>
      <c r="S56" s="65"/>
      <c r="T56" s="63"/>
      <c r="U56" s="63"/>
      <c r="V56" s="63"/>
      <c r="W56" s="63"/>
    </row>
    <row r="57">
      <c r="A57" s="63"/>
      <c r="B57" s="64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5"/>
      <c r="N57" s="65"/>
      <c r="O57" s="65"/>
      <c r="P57" s="65"/>
      <c r="Q57" s="65"/>
      <c r="R57" s="65"/>
      <c r="S57" s="65"/>
      <c r="T57" s="63"/>
      <c r="U57" s="63"/>
      <c r="V57" s="63"/>
      <c r="W57" s="63"/>
    </row>
    <row r="58">
      <c r="A58" s="63"/>
      <c r="B58" s="64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5"/>
      <c r="N58" s="65"/>
      <c r="O58" s="65"/>
      <c r="P58" s="65"/>
      <c r="Q58" s="65"/>
      <c r="R58" s="65"/>
      <c r="S58" s="65"/>
      <c r="T58" s="63"/>
      <c r="U58" s="63"/>
      <c r="V58" s="63"/>
      <c r="W58" s="63"/>
    </row>
    <row r="59">
      <c r="A59" s="63"/>
      <c r="B59" s="64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5"/>
      <c r="N59" s="65"/>
      <c r="O59" s="65"/>
      <c r="P59" s="65"/>
      <c r="Q59" s="65"/>
      <c r="R59" s="65"/>
      <c r="S59" s="65"/>
      <c r="T59" s="63"/>
      <c r="U59" s="63"/>
      <c r="V59" s="63"/>
      <c r="W59" s="63"/>
    </row>
    <row r="60">
      <c r="A60" s="63"/>
      <c r="B60" s="64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5"/>
      <c r="N60" s="65"/>
      <c r="O60" s="65"/>
      <c r="P60" s="65"/>
      <c r="Q60" s="65"/>
      <c r="R60" s="65"/>
      <c r="S60" s="65"/>
      <c r="T60" s="63"/>
      <c r="U60" s="63"/>
      <c r="V60" s="63"/>
      <c r="W60" s="63"/>
    </row>
    <row r="61">
      <c r="A61" s="63"/>
      <c r="B61" s="64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5"/>
      <c r="N61" s="65"/>
      <c r="O61" s="65"/>
      <c r="P61" s="65"/>
      <c r="Q61" s="65"/>
      <c r="R61" s="65"/>
      <c r="S61" s="65"/>
      <c r="T61" s="63"/>
      <c r="U61" s="63"/>
      <c r="V61" s="63"/>
      <c r="W61" s="63"/>
    </row>
    <row r="62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5"/>
      <c r="N62" s="65"/>
      <c r="O62" s="65"/>
      <c r="P62" s="65"/>
      <c r="Q62" s="65"/>
      <c r="R62" s="65"/>
      <c r="S62" s="65"/>
      <c r="T62" s="63"/>
      <c r="U62" s="63"/>
      <c r="V62" s="63"/>
      <c r="W62" s="63"/>
    </row>
    <row r="63">
      <c r="A63" s="63"/>
      <c r="B63" s="64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5"/>
      <c r="N63" s="65"/>
      <c r="O63" s="65"/>
      <c r="P63" s="65"/>
      <c r="Q63" s="65"/>
      <c r="R63" s="65"/>
      <c r="S63" s="65"/>
      <c r="T63" s="63"/>
      <c r="U63" s="63"/>
      <c r="V63" s="63"/>
      <c r="W63" s="63"/>
    </row>
    <row r="64">
      <c r="A64" s="63"/>
      <c r="B64" s="64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5"/>
      <c r="N64" s="65"/>
      <c r="O64" s="65"/>
      <c r="P64" s="65"/>
      <c r="Q64" s="65"/>
      <c r="R64" s="65"/>
      <c r="S64" s="65"/>
      <c r="T64" s="63"/>
      <c r="U64" s="63"/>
      <c r="V64" s="63"/>
      <c r="W64" s="63"/>
    </row>
    <row r="65">
      <c r="A65" s="63"/>
      <c r="B65" s="64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5"/>
      <c r="N65" s="65"/>
      <c r="O65" s="65"/>
      <c r="P65" s="65"/>
      <c r="Q65" s="65"/>
      <c r="R65" s="65"/>
      <c r="S65" s="65"/>
      <c r="T65" s="63"/>
      <c r="U65" s="63"/>
      <c r="V65" s="63"/>
      <c r="W65" s="63"/>
    </row>
    <row r="66">
      <c r="A66" s="63"/>
      <c r="B66" s="64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5"/>
      <c r="N66" s="65"/>
      <c r="O66" s="65"/>
      <c r="P66" s="65"/>
      <c r="Q66" s="65"/>
      <c r="R66" s="65"/>
      <c r="S66" s="65"/>
      <c r="T66" s="63"/>
      <c r="U66" s="63"/>
      <c r="V66" s="63"/>
      <c r="W66" s="63"/>
    </row>
    <row r="67">
      <c r="A67" s="63"/>
      <c r="B67" s="64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5"/>
      <c r="N67" s="65"/>
      <c r="O67" s="65"/>
      <c r="P67" s="65"/>
      <c r="Q67" s="65"/>
      <c r="R67" s="65"/>
      <c r="S67" s="65"/>
      <c r="T67" s="63"/>
      <c r="U67" s="63"/>
      <c r="V67" s="63"/>
      <c r="W67" s="63"/>
    </row>
    <row r="68">
      <c r="A68" s="63"/>
      <c r="B68" s="64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5"/>
      <c r="N68" s="65"/>
      <c r="O68" s="65"/>
      <c r="P68" s="65"/>
      <c r="Q68" s="65"/>
      <c r="R68" s="65"/>
      <c r="S68" s="65"/>
      <c r="T68" s="63"/>
      <c r="U68" s="63"/>
      <c r="V68" s="63"/>
      <c r="W68" s="63"/>
    </row>
    <row r="69">
      <c r="A69" s="63"/>
      <c r="B69" s="64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5"/>
      <c r="N69" s="65"/>
      <c r="O69" s="65"/>
      <c r="P69" s="65"/>
      <c r="Q69" s="65"/>
      <c r="R69" s="65"/>
      <c r="S69" s="65"/>
      <c r="T69" s="63"/>
      <c r="U69" s="63"/>
      <c r="V69" s="63"/>
      <c r="W69" s="63"/>
    </row>
    <row r="70">
      <c r="A70" s="63"/>
      <c r="B70" s="64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5"/>
      <c r="N70" s="65"/>
      <c r="O70" s="65"/>
      <c r="P70" s="65"/>
      <c r="Q70" s="65"/>
      <c r="R70" s="65"/>
      <c r="S70" s="65"/>
      <c r="T70" s="63"/>
      <c r="U70" s="63"/>
      <c r="V70" s="63"/>
      <c r="W70" s="63"/>
    </row>
    <row r="71">
      <c r="A71" s="63"/>
      <c r="B71" s="64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5"/>
      <c r="N71" s="65"/>
      <c r="O71" s="65"/>
      <c r="P71" s="65"/>
      <c r="Q71" s="65"/>
      <c r="R71" s="65"/>
      <c r="S71" s="65"/>
      <c r="T71" s="63"/>
      <c r="U71" s="63"/>
      <c r="V71" s="63"/>
      <c r="W71" s="63"/>
    </row>
    <row r="72">
      <c r="A72" s="63"/>
      <c r="B72" s="64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5"/>
      <c r="N72" s="65"/>
      <c r="O72" s="65"/>
      <c r="P72" s="65"/>
      <c r="Q72" s="65"/>
      <c r="R72" s="65"/>
      <c r="S72" s="65"/>
      <c r="T72" s="63"/>
      <c r="U72" s="63"/>
      <c r="V72" s="63"/>
      <c r="W72" s="63"/>
    </row>
    <row r="73">
      <c r="A73" s="63"/>
      <c r="B73" s="64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5"/>
      <c r="N73" s="65"/>
      <c r="O73" s="65"/>
      <c r="P73" s="65"/>
      <c r="Q73" s="65"/>
      <c r="R73" s="65"/>
      <c r="S73" s="65"/>
      <c r="T73" s="63"/>
      <c r="U73" s="63"/>
      <c r="V73" s="63"/>
      <c r="W73" s="63"/>
    </row>
    <row r="74">
      <c r="A74" s="63"/>
      <c r="B74" s="64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5"/>
      <c r="N74" s="65"/>
      <c r="O74" s="65"/>
      <c r="P74" s="65"/>
      <c r="Q74" s="65"/>
      <c r="R74" s="65"/>
      <c r="S74" s="65"/>
      <c r="T74" s="63"/>
      <c r="U74" s="63"/>
      <c r="V74" s="63"/>
      <c r="W74" s="63"/>
    </row>
    <row r="75">
      <c r="A75" s="63"/>
      <c r="B75" s="64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5"/>
      <c r="N75" s="65"/>
      <c r="O75" s="65"/>
      <c r="P75" s="65"/>
      <c r="Q75" s="65"/>
      <c r="R75" s="65"/>
      <c r="S75" s="65"/>
      <c r="T75" s="63"/>
      <c r="U75" s="63"/>
      <c r="V75" s="63"/>
      <c r="W75" s="63"/>
    </row>
    <row r="76">
      <c r="A76" s="63"/>
      <c r="B76" s="64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5"/>
      <c r="N76" s="65"/>
      <c r="O76" s="65"/>
      <c r="P76" s="65"/>
      <c r="Q76" s="65"/>
      <c r="R76" s="65"/>
      <c r="S76" s="65"/>
      <c r="T76" s="63"/>
      <c r="U76" s="63"/>
      <c r="V76" s="63"/>
      <c r="W76" s="63"/>
    </row>
    <row r="77">
      <c r="A77" s="63"/>
      <c r="B77" s="64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5"/>
      <c r="N77" s="65"/>
      <c r="O77" s="65"/>
      <c r="P77" s="65"/>
      <c r="Q77" s="65"/>
      <c r="R77" s="65"/>
      <c r="S77" s="65"/>
      <c r="T77" s="63"/>
      <c r="U77" s="63"/>
      <c r="V77" s="63"/>
      <c r="W77" s="63"/>
    </row>
    <row r="78">
      <c r="A78" s="63"/>
      <c r="B78" s="64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5"/>
      <c r="N78" s="65"/>
      <c r="O78" s="65"/>
      <c r="P78" s="65"/>
      <c r="Q78" s="65"/>
      <c r="R78" s="65"/>
      <c r="S78" s="65"/>
      <c r="T78" s="63"/>
      <c r="U78" s="63"/>
      <c r="V78" s="63"/>
      <c r="W78" s="63"/>
    </row>
    <row r="79">
      <c r="A79" s="63"/>
      <c r="B79" s="64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5"/>
      <c r="N79" s="65"/>
      <c r="O79" s="65"/>
      <c r="P79" s="65"/>
      <c r="Q79" s="65"/>
      <c r="R79" s="65"/>
      <c r="S79" s="65"/>
      <c r="T79" s="63"/>
      <c r="U79" s="63"/>
      <c r="V79" s="63"/>
      <c r="W79" s="63"/>
    </row>
    <row r="80">
      <c r="A80" s="63"/>
      <c r="B80" s="64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5"/>
      <c r="N80" s="65"/>
      <c r="O80" s="65"/>
      <c r="P80" s="65"/>
      <c r="Q80" s="65"/>
      <c r="R80" s="65"/>
      <c r="S80" s="65"/>
      <c r="T80" s="63"/>
      <c r="U80" s="63"/>
      <c r="V80" s="63"/>
      <c r="W80" s="63"/>
    </row>
    <row r="81">
      <c r="A81" s="63"/>
      <c r="B81" s="64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5"/>
      <c r="N81" s="65"/>
      <c r="O81" s="65"/>
      <c r="P81" s="65"/>
      <c r="Q81" s="65"/>
      <c r="R81" s="65"/>
      <c r="S81" s="65"/>
      <c r="T81" s="63"/>
      <c r="U81" s="63"/>
      <c r="V81" s="63"/>
      <c r="W81" s="63"/>
    </row>
    <row r="82">
      <c r="A82" s="63"/>
      <c r="B82" s="64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5"/>
      <c r="N82" s="65"/>
      <c r="O82" s="65"/>
      <c r="P82" s="65"/>
      <c r="Q82" s="65"/>
      <c r="R82" s="65"/>
      <c r="S82" s="65"/>
      <c r="T82" s="63"/>
      <c r="U82" s="63"/>
      <c r="V82" s="63"/>
      <c r="W82" s="63"/>
    </row>
    <row r="83">
      <c r="A83" s="63"/>
      <c r="B83" s="64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5"/>
      <c r="N83" s="65"/>
      <c r="O83" s="65"/>
      <c r="P83" s="65"/>
      <c r="Q83" s="65"/>
      <c r="R83" s="65"/>
      <c r="S83" s="65"/>
      <c r="T83" s="63"/>
      <c r="U83" s="63"/>
      <c r="V83" s="63"/>
      <c r="W83" s="63"/>
    </row>
    <row r="84">
      <c r="A84" s="63"/>
      <c r="B84" s="64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5"/>
      <c r="N84" s="65"/>
      <c r="O84" s="65"/>
      <c r="P84" s="65"/>
      <c r="Q84" s="65"/>
      <c r="R84" s="65"/>
      <c r="S84" s="65"/>
      <c r="T84" s="63"/>
      <c r="U84" s="63"/>
      <c r="V84" s="63"/>
      <c r="W84" s="63"/>
    </row>
    <row r="85">
      <c r="A85" s="63"/>
      <c r="B85" s="64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5"/>
      <c r="N85" s="65"/>
      <c r="O85" s="65"/>
      <c r="P85" s="65"/>
      <c r="Q85" s="65"/>
      <c r="R85" s="65"/>
      <c r="S85" s="65"/>
      <c r="T85" s="63"/>
      <c r="U85" s="63"/>
      <c r="V85" s="63"/>
      <c r="W85" s="63"/>
    </row>
    <row r="86">
      <c r="A86" s="63"/>
      <c r="B86" s="64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5"/>
      <c r="N86" s="65"/>
      <c r="O86" s="65"/>
      <c r="P86" s="65"/>
      <c r="Q86" s="65"/>
      <c r="R86" s="65"/>
      <c r="S86" s="65"/>
      <c r="T86" s="63"/>
      <c r="U86" s="63"/>
      <c r="V86" s="63"/>
      <c r="W86" s="63"/>
    </row>
    <row r="87">
      <c r="A87" s="63"/>
      <c r="B87" s="64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5"/>
      <c r="N87" s="65"/>
      <c r="O87" s="65"/>
      <c r="P87" s="65"/>
      <c r="Q87" s="65"/>
      <c r="R87" s="65"/>
      <c r="S87" s="65"/>
      <c r="T87" s="63"/>
      <c r="U87" s="63"/>
      <c r="V87" s="63"/>
      <c r="W87" s="63"/>
    </row>
    <row r="88">
      <c r="A88" s="63"/>
      <c r="B88" s="64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5"/>
      <c r="N88" s="65"/>
      <c r="O88" s="65"/>
      <c r="P88" s="65"/>
      <c r="Q88" s="65"/>
      <c r="R88" s="65"/>
      <c r="S88" s="65"/>
      <c r="T88" s="63"/>
      <c r="U88" s="63"/>
      <c r="V88" s="63"/>
      <c r="W88" s="63"/>
    </row>
    <row r="89">
      <c r="A89" s="63"/>
      <c r="B89" s="64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5"/>
      <c r="N89" s="65"/>
      <c r="O89" s="65"/>
      <c r="P89" s="65"/>
      <c r="Q89" s="65"/>
      <c r="R89" s="65"/>
      <c r="S89" s="65"/>
      <c r="T89" s="63"/>
      <c r="U89" s="63"/>
      <c r="V89" s="63"/>
      <c r="W89" s="63"/>
    </row>
    <row r="90">
      <c r="A90" s="63"/>
      <c r="B90" s="64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5"/>
      <c r="N90" s="65"/>
      <c r="O90" s="65"/>
      <c r="P90" s="65"/>
      <c r="Q90" s="65"/>
      <c r="R90" s="65"/>
      <c r="S90" s="65"/>
      <c r="T90" s="63"/>
      <c r="U90" s="63"/>
      <c r="V90" s="63"/>
      <c r="W90" s="63"/>
    </row>
    <row r="91">
      <c r="A91" s="63"/>
      <c r="B91" s="64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5"/>
      <c r="N91" s="65"/>
      <c r="O91" s="65"/>
      <c r="P91" s="65"/>
      <c r="Q91" s="65"/>
      <c r="R91" s="65"/>
      <c r="S91" s="65"/>
      <c r="T91" s="63"/>
      <c r="U91" s="63"/>
      <c r="V91" s="63"/>
      <c r="W91" s="63"/>
    </row>
    <row r="92">
      <c r="A92" s="63"/>
      <c r="B92" s="64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5"/>
      <c r="N92" s="65"/>
      <c r="O92" s="65"/>
      <c r="P92" s="65"/>
      <c r="Q92" s="65"/>
      <c r="R92" s="65"/>
      <c r="S92" s="65"/>
      <c r="T92" s="63"/>
      <c r="U92" s="63"/>
      <c r="V92" s="63"/>
      <c r="W92" s="63"/>
    </row>
    <row r="93">
      <c r="A93" s="63"/>
      <c r="B93" s="64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5"/>
      <c r="N93" s="65"/>
      <c r="O93" s="65"/>
      <c r="P93" s="65"/>
      <c r="Q93" s="65"/>
      <c r="R93" s="65"/>
      <c r="S93" s="65"/>
      <c r="T93" s="63"/>
      <c r="U93" s="63"/>
      <c r="V93" s="63"/>
      <c r="W93" s="63"/>
    </row>
    <row r="94">
      <c r="A94" s="63"/>
      <c r="B94" s="64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5"/>
      <c r="N94" s="65"/>
      <c r="O94" s="65"/>
      <c r="P94" s="65"/>
      <c r="Q94" s="65"/>
      <c r="R94" s="65"/>
      <c r="S94" s="65"/>
      <c r="T94" s="63"/>
      <c r="U94" s="63"/>
      <c r="V94" s="63"/>
      <c r="W94" s="63"/>
    </row>
    <row r="95">
      <c r="A95" s="63"/>
      <c r="B95" s="64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5"/>
      <c r="N95" s="65"/>
      <c r="O95" s="65"/>
      <c r="P95" s="65"/>
      <c r="Q95" s="65"/>
      <c r="R95" s="65"/>
      <c r="S95" s="65"/>
      <c r="T95" s="63"/>
      <c r="U95" s="63"/>
      <c r="V95" s="63"/>
      <c r="W95" s="63"/>
    </row>
    <row r="96">
      <c r="A96" s="63"/>
      <c r="B96" s="64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5"/>
      <c r="N96" s="65"/>
      <c r="O96" s="65"/>
      <c r="P96" s="65"/>
      <c r="Q96" s="65"/>
      <c r="R96" s="65"/>
      <c r="S96" s="65"/>
      <c r="T96" s="63"/>
      <c r="U96" s="63"/>
      <c r="V96" s="63"/>
      <c r="W96" s="63"/>
    </row>
    <row r="97">
      <c r="A97" s="63"/>
      <c r="B97" s="64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5"/>
      <c r="N97" s="65"/>
      <c r="O97" s="65"/>
      <c r="P97" s="65"/>
      <c r="Q97" s="65"/>
      <c r="R97" s="65"/>
      <c r="S97" s="65"/>
      <c r="T97" s="63"/>
      <c r="U97" s="63"/>
      <c r="V97" s="63"/>
      <c r="W97" s="63"/>
    </row>
    <row r="98">
      <c r="A98" s="63"/>
      <c r="B98" s="64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5"/>
      <c r="N98" s="65"/>
      <c r="O98" s="65"/>
      <c r="P98" s="65"/>
      <c r="Q98" s="65"/>
      <c r="R98" s="65"/>
      <c r="S98" s="65"/>
      <c r="T98" s="63"/>
      <c r="U98" s="63"/>
      <c r="V98" s="63"/>
      <c r="W98" s="63"/>
    </row>
    <row r="99">
      <c r="A99" s="63"/>
      <c r="B99" s="64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5"/>
      <c r="N99" s="65"/>
      <c r="O99" s="65"/>
      <c r="P99" s="65"/>
      <c r="Q99" s="65"/>
      <c r="R99" s="65"/>
      <c r="S99" s="65"/>
      <c r="T99" s="63"/>
      <c r="U99" s="63"/>
      <c r="V99" s="63"/>
      <c r="W99" s="63"/>
    </row>
    <row r="100">
      <c r="A100" s="63"/>
      <c r="B100" s="64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5"/>
      <c r="N100" s="65"/>
      <c r="O100" s="65"/>
      <c r="P100" s="65"/>
      <c r="Q100" s="65"/>
      <c r="R100" s="65"/>
      <c r="S100" s="65"/>
      <c r="T100" s="63"/>
      <c r="U100" s="63"/>
      <c r="V100" s="63"/>
      <c r="W100" s="63"/>
    </row>
    <row r="101">
      <c r="A101" s="63"/>
      <c r="B101" s="64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5"/>
      <c r="N101" s="65"/>
      <c r="O101" s="65"/>
      <c r="P101" s="65"/>
      <c r="Q101" s="65"/>
      <c r="R101" s="65"/>
      <c r="S101" s="65"/>
      <c r="T101" s="63"/>
      <c r="U101" s="63"/>
      <c r="V101" s="63"/>
      <c r="W101" s="63"/>
    </row>
    <row r="102">
      <c r="B102" s="66"/>
      <c r="M102" s="67"/>
      <c r="N102" s="67"/>
      <c r="O102" s="67"/>
      <c r="P102" s="67"/>
      <c r="Q102" s="67"/>
      <c r="R102" s="67"/>
      <c r="S102" s="67"/>
    </row>
    <row r="103">
      <c r="B103" s="66"/>
      <c r="M103" s="67"/>
      <c r="N103" s="67"/>
      <c r="O103" s="67"/>
      <c r="P103" s="67"/>
      <c r="Q103" s="67"/>
      <c r="R103" s="67"/>
      <c r="S103" s="67"/>
    </row>
    <row r="104">
      <c r="B104" s="66"/>
      <c r="M104" s="67"/>
      <c r="N104" s="67"/>
      <c r="O104" s="67"/>
      <c r="P104" s="67"/>
      <c r="Q104" s="67"/>
      <c r="R104" s="67"/>
      <c r="S104" s="67"/>
    </row>
    <row r="105">
      <c r="B105" s="66"/>
      <c r="M105" s="67"/>
      <c r="N105" s="67"/>
      <c r="O105" s="67"/>
      <c r="P105" s="67"/>
      <c r="Q105" s="67"/>
      <c r="R105" s="67"/>
      <c r="S105" s="67"/>
    </row>
    <row r="106">
      <c r="B106" s="66"/>
      <c r="M106" s="67"/>
      <c r="N106" s="67"/>
      <c r="O106" s="67"/>
      <c r="P106" s="67"/>
      <c r="Q106" s="67"/>
      <c r="R106" s="67"/>
      <c r="S106" s="67"/>
    </row>
    <row r="107">
      <c r="B107" s="66"/>
      <c r="M107" s="67"/>
      <c r="N107" s="67"/>
      <c r="O107" s="67"/>
      <c r="P107" s="67"/>
      <c r="Q107" s="67"/>
      <c r="R107" s="67"/>
      <c r="S107" s="67"/>
    </row>
    <row r="108">
      <c r="B108" s="66"/>
      <c r="M108" s="67"/>
      <c r="N108" s="67"/>
      <c r="O108" s="67"/>
      <c r="P108" s="67"/>
      <c r="Q108" s="67"/>
      <c r="R108" s="67"/>
      <c r="S108" s="67"/>
    </row>
    <row r="109">
      <c r="B109" s="66"/>
      <c r="M109" s="67"/>
      <c r="N109" s="67"/>
      <c r="O109" s="67"/>
      <c r="P109" s="67"/>
      <c r="Q109" s="67"/>
      <c r="R109" s="67"/>
      <c r="S109" s="67"/>
    </row>
    <row r="110">
      <c r="B110" s="66"/>
      <c r="M110" s="67"/>
      <c r="N110" s="67"/>
      <c r="O110" s="67"/>
      <c r="P110" s="67"/>
      <c r="Q110" s="67"/>
      <c r="R110" s="67"/>
      <c r="S110" s="67"/>
    </row>
    <row r="111">
      <c r="B111" s="66"/>
      <c r="M111" s="67"/>
      <c r="N111" s="67"/>
      <c r="O111" s="67"/>
      <c r="P111" s="67"/>
      <c r="Q111" s="67"/>
      <c r="R111" s="67"/>
      <c r="S111" s="67"/>
    </row>
    <row r="112">
      <c r="B112" s="66"/>
      <c r="M112" s="67"/>
      <c r="N112" s="67"/>
      <c r="O112" s="67"/>
      <c r="P112" s="67"/>
      <c r="Q112" s="67"/>
      <c r="R112" s="67"/>
      <c r="S112" s="67"/>
    </row>
    <row r="113">
      <c r="B113" s="66"/>
      <c r="M113" s="67"/>
      <c r="N113" s="67"/>
      <c r="O113" s="67"/>
      <c r="P113" s="67"/>
      <c r="Q113" s="67"/>
      <c r="R113" s="67"/>
      <c r="S113" s="67"/>
    </row>
    <row r="114">
      <c r="B114" s="66"/>
      <c r="M114" s="67"/>
      <c r="N114" s="67"/>
      <c r="O114" s="67"/>
      <c r="P114" s="67"/>
      <c r="Q114" s="67"/>
      <c r="R114" s="67"/>
      <c r="S114" s="67"/>
    </row>
    <row r="115">
      <c r="B115" s="66"/>
      <c r="M115" s="67"/>
      <c r="N115" s="67"/>
      <c r="O115" s="67"/>
      <c r="P115" s="67"/>
      <c r="Q115" s="67"/>
      <c r="R115" s="67"/>
      <c r="S115" s="67"/>
    </row>
    <row r="116">
      <c r="B116" s="66"/>
      <c r="M116" s="67"/>
      <c r="N116" s="67"/>
      <c r="O116" s="67"/>
      <c r="P116" s="67"/>
      <c r="Q116" s="67"/>
      <c r="R116" s="67"/>
      <c r="S116" s="67"/>
    </row>
    <row r="117">
      <c r="B117" s="66"/>
      <c r="M117" s="67"/>
      <c r="N117" s="67"/>
      <c r="O117" s="67"/>
      <c r="P117" s="67"/>
      <c r="Q117" s="67"/>
      <c r="R117" s="67"/>
      <c r="S117" s="67"/>
    </row>
    <row r="118">
      <c r="B118" s="66"/>
      <c r="M118" s="67"/>
      <c r="N118" s="67"/>
      <c r="O118" s="67"/>
      <c r="P118" s="67"/>
      <c r="Q118" s="67"/>
      <c r="R118" s="67"/>
      <c r="S118" s="67"/>
    </row>
    <row r="119">
      <c r="B119" s="66"/>
      <c r="M119" s="67"/>
      <c r="N119" s="67"/>
      <c r="O119" s="67"/>
      <c r="P119" s="67"/>
      <c r="Q119" s="67"/>
      <c r="R119" s="67"/>
      <c r="S119" s="67"/>
    </row>
    <row r="120">
      <c r="B120" s="66"/>
      <c r="M120" s="67"/>
      <c r="N120" s="67"/>
      <c r="O120" s="67"/>
      <c r="P120" s="67"/>
      <c r="Q120" s="67"/>
      <c r="R120" s="67"/>
      <c r="S120" s="67"/>
    </row>
    <row r="121">
      <c r="B121" s="66"/>
      <c r="M121" s="67"/>
      <c r="N121" s="67"/>
      <c r="O121" s="67"/>
      <c r="P121" s="67"/>
      <c r="Q121" s="67"/>
      <c r="R121" s="67"/>
      <c r="S121" s="67"/>
    </row>
    <row r="122">
      <c r="B122" s="66"/>
      <c r="M122" s="67"/>
      <c r="N122" s="67"/>
      <c r="O122" s="67"/>
      <c r="P122" s="67"/>
      <c r="Q122" s="67"/>
      <c r="R122" s="67"/>
      <c r="S122" s="67"/>
    </row>
    <row r="123">
      <c r="B123" s="66"/>
      <c r="M123" s="67"/>
      <c r="N123" s="67"/>
      <c r="O123" s="67"/>
      <c r="P123" s="67"/>
      <c r="Q123" s="67"/>
      <c r="R123" s="67"/>
      <c r="S123" s="67"/>
    </row>
    <row r="124">
      <c r="B124" s="66"/>
      <c r="M124" s="67"/>
      <c r="N124" s="67"/>
      <c r="O124" s="67"/>
      <c r="P124" s="67"/>
      <c r="Q124" s="67"/>
      <c r="R124" s="67"/>
      <c r="S124" s="67"/>
    </row>
    <row r="125">
      <c r="B125" s="66"/>
      <c r="M125" s="67"/>
      <c r="N125" s="67"/>
      <c r="O125" s="67"/>
      <c r="P125" s="67"/>
      <c r="Q125" s="67"/>
      <c r="R125" s="67"/>
      <c r="S125" s="67"/>
    </row>
    <row r="126">
      <c r="B126" s="66"/>
      <c r="M126" s="67"/>
      <c r="N126" s="67"/>
      <c r="O126" s="67"/>
      <c r="P126" s="67"/>
      <c r="Q126" s="67"/>
      <c r="R126" s="67"/>
      <c r="S126" s="67"/>
    </row>
    <row r="127">
      <c r="B127" s="66"/>
      <c r="M127" s="67"/>
      <c r="N127" s="67"/>
      <c r="O127" s="67"/>
      <c r="P127" s="67"/>
      <c r="Q127" s="67"/>
      <c r="R127" s="67"/>
      <c r="S127" s="67"/>
    </row>
    <row r="128">
      <c r="B128" s="66"/>
      <c r="M128" s="67"/>
      <c r="N128" s="67"/>
      <c r="O128" s="67"/>
      <c r="P128" s="67"/>
      <c r="Q128" s="67"/>
      <c r="R128" s="67"/>
      <c r="S128" s="67"/>
    </row>
    <row r="129">
      <c r="B129" s="66"/>
      <c r="M129" s="67"/>
      <c r="N129" s="67"/>
      <c r="O129" s="67"/>
      <c r="P129" s="67"/>
      <c r="Q129" s="67"/>
      <c r="R129" s="67"/>
      <c r="S129" s="67"/>
    </row>
    <row r="130">
      <c r="B130" s="66"/>
      <c r="M130" s="67"/>
      <c r="N130" s="67"/>
      <c r="O130" s="67"/>
      <c r="P130" s="67"/>
      <c r="Q130" s="67"/>
      <c r="R130" s="67"/>
      <c r="S130" s="67"/>
    </row>
    <row r="131">
      <c r="B131" s="66"/>
      <c r="M131" s="67"/>
      <c r="N131" s="67"/>
      <c r="O131" s="67"/>
      <c r="P131" s="67"/>
      <c r="Q131" s="67"/>
      <c r="R131" s="67"/>
      <c r="S131" s="67"/>
    </row>
    <row r="132">
      <c r="B132" s="66"/>
      <c r="M132" s="67"/>
      <c r="N132" s="67"/>
      <c r="O132" s="67"/>
      <c r="P132" s="67"/>
      <c r="Q132" s="67"/>
      <c r="R132" s="67"/>
      <c r="S132" s="67"/>
    </row>
    <row r="133">
      <c r="B133" s="66"/>
      <c r="M133" s="67"/>
      <c r="N133" s="67"/>
      <c r="O133" s="67"/>
      <c r="P133" s="67"/>
      <c r="Q133" s="67"/>
      <c r="R133" s="67"/>
      <c r="S133" s="67"/>
    </row>
    <row r="134">
      <c r="B134" s="66"/>
      <c r="M134" s="67"/>
      <c r="N134" s="67"/>
      <c r="O134" s="67"/>
      <c r="P134" s="67"/>
      <c r="Q134" s="67"/>
      <c r="R134" s="67"/>
      <c r="S134" s="67"/>
    </row>
    <row r="135">
      <c r="B135" s="66"/>
      <c r="M135" s="67"/>
      <c r="N135" s="67"/>
      <c r="O135" s="67"/>
      <c r="P135" s="67"/>
      <c r="Q135" s="67"/>
      <c r="R135" s="67"/>
      <c r="S135" s="67"/>
    </row>
    <row r="136">
      <c r="B136" s="66"/>
      <c r="M136" s="67"/>
      <c r="N136" s="67"/>
      <c r="O136" s="67"/>
      <c r="P136" s="67"/>
      <c r="Q136" s="67"/>
      <c r="R136" s="67"/>
      <c r="S136" s="67"/>
    </row>
    <row r="137">
      <c r="B137" s="66"/>
      <c r="M137" s="67"/>
      <c r="N137" s="67"/>
      <c r="O137" s="67"/>
      <c r="P137" s="67"/>
      <c r="Q137" s="67"/>
      <c r="R137" s="67"/>
      <c r="S137" s="67"/>
    </row>
    <row r="138">
      <c r="B138" s="66"/>
      <c r="M138" s="67"/>
      <c r="N138" s="67"/>
      <c r="O138" s="67"/>
      <c r="P138" s="67"/>
      <c r="Q138" s="67"/>
      <c r="R138" s="67"/>
      <c r="S138" s="67"/>
    </row>
    <row r="139">
      <c r="B139" s="66"/>
      <c r="M139" s="67"/>
      <c r="N139" s="67"/>
      <c r="O139" s="67"/>
      <c r="P139" s="67"/>
      <c r="Q139" s="67"/>
      <c r="R139" s="67"/>
      <c r="S139" s="67"/>
    </row>
    <row r="140">
      <c r="B140" s="66"/>
      <c r="M140" s="67"/>
      <c r="N140" s="67"/>
      <c r="O140" s="67"/>
      <c r="P140" s="67"/>
      <c r="Q140" s="67"/>
      <c r="R140" s="67"/>
      <c r="S140" s="67"/>
    </row>
    <row r="141">
      <c r="B141" s="66"/>
      <c r="M141" s="67"/>
      <c r="N141" s="67"/>
      <c r="O141" s="67"/>
      <c r="P141" s="67"/>
      <c r="Q141" s="67"/>
      <c r="R141" s="67"/>
      <c r="S141" s="67"/>
    </row>
    <row r="142">
      <c r="B142" s="66"/>
      <c r="M142" s="67"/>
      <c r="N142" s="67"/>
      <c r="O142" s="67"/>
      <c r="P142" s="67"/>
      <c r="Q142" s="67"/>
      <c r="R142" s="67"/>
      <c r="S142" s="67"/>
    </row>
    <row r="143">
      <c r="B143" s="66"/>
      <c r="M143" s="67"/>
      <c r="N143" s="67"/>
      <c r="O143" s="67"/>
      <c r="P143" s="67"/>
      <c r="Q143" s="67"/>
      <c r="R143" s="67"/>
      <c r="S143" s="67"/>
    </row>
    <row r="144">
      <c r="B144" s="66"/>
      <c r="M144" s="67"/>
      <c r="N144" s="67"/>
      <c r="O144" s="67"/>
      <c r="P144" s="67"/>
      <c r="Q144" s="67"/>
      <c r="R144" s="67"/>
      <c r="S144" s="67"/>
    </row>
    <row r="145">
      <c r="B145" s="66"/>
      <c r="M145" s="67"/>
      <c r="N145" s="67"/>
      <c r="O145" s="67"/>
      <c r="P145" s="67"/>
      <c r="Q145" s="67"/>
      <c r="R145" s="67"/>
      <c r="S145" s="67"/>
    </row>
    <row r="146">
      <c r="B146" s="66"/>
      <c r="M146" s="67"/>
      <c r="N146" s="67"/>
      <c r="O146" s="67"/>
      <c r="P146" s="67"/>
      <c r="Q146" s="67"/>
      <c r="R146" s="67"/>
      <c r="S146" s="67"/>
    </row>
    <row r="147">
      <c r="B147" s="66"/>
      <c r="M147" s="67"/>
      <c r="N147" s="67"/>
      <c r="O147" s="67"/>
      <c r="P147" s="67"/>
      <c r="Q147" s="67"/>
      <c r="R147" s="67"/>
      <c r="S147" s="67"/>
    </row>
    <row r="148">
      <c r="B148" s="66"/>
      <c r="M148" s="67"/>
      <c r="N148" s="67"/>
      <c r="O148" s="67"/>
      <c r="P148" s="67"/>
      <c r="Q148" s="67"/>
      <c r="R148" s="67"/>
      <c r="S148" s="67"/>
    </row>
    <row r="149">
      <c r="B149" s="66"/>
      <c r="M149" s="67"/>
      <c r="N149" s="67"/>
      <c r="O149" s="67"/>
      <c r="P149" s="67"/>
      <c r="Q149" s="67"/>
      <c r="R149" s="67"/>
      <c r="S149" s="67"/>
    </row>
    <row r="150">
      <c r="B150" s="66"/>
      <c r="M150" s="67"/>
      <c r="N150" s="67"/>
      <c r="O150" s="67"/>
      <c r="P150" s="67"/>
      <c r="Q150" s="67"/>
      <c r="R150" s="67"/>
      <c r="S150" s="67"/>
    </row>
    <row r="151">
      <c r="B151" s="66"/>
      <c r="M151" s="67"/>
      <c r="N151" s="67"/>
      <c r="O151" s="67"/>
      <c r="P151" s="67"/>
      <c r="Q151" s="67"/>
      <c r="R151" s="67"/>
      <c r="S151" s="67"/>
    </row>
    <row r="152">
      <c r="B152" s="66"/>
      <c r="M152" s="67"/>
      <c r="N152" s="67"/>
      <c r="O152" s="67"/>
      <c r="P152" s="67"/>
      <c r="Q152" s="67"/>
      <c r="R152" s="67"/>
      <c r="S152" s="67"/>
    </row>
    <row r="153">
      <c r="B153" s="66"/>
      <c r="M153" s="67"/>
      <c r="N153" s="67"/>
      <c r="O153" s="67"/>
      <c r="P153" s="67"/>
      <c r="Q153" s="67"/>
      <c r="R153" s="67"/>
      <c r="S153" s="67"/>
    </row>
    <row r="154">
      <c r="B154" s="66"/>
      <c r="M154" s="67"/>
      <c r="N154" s="67"/>
      <c r="O154" s="67"/>
      <c r="P154" s="67"/>
      <c r="Q154" s="67"/>
      <c r="R154" s="67"/>
      <c r="S154" s="67"/>
    </row>
    <row r="155">
      <c r="B155" s="66"/>
      <c r="M155" s="67"/>
      <c r="N155" s="67"/>
      <c r="O155" s="67"/>
      <c r="P155" s="67"/>
      <c r="Q155" s="67"/>
      <c r="R155" s="67"/>
      <c r="S155" s="67"/>
    </row>
    <row r="156">
      <c r="B156" s="66"/>
      <c r="M156" s="67"/>
      <c r="N156" s="67"/>
      <c r="O156" s="67"/>
      <c r="P156" s="67"/>
      <c r="Q156" s="67"/>
      <c r="R156" s="67"/>
      <c r="S156" s="67"/>
    </row>
    <row r="157">
      <c r="B157" s="66"/>
      <c r="M157" s="67"/>
      <c r="N157" s="67"/>
      <c r="O157" s="67"/>
      <c r="P157" s="67"/>
      <c r="Q157" s="67"/>
      <c r="R157" s="67"/>
      <c r="S157" s="67"/>
    </row>
    <row r="158">
      <c r="B158" s="66"/>
      <c r="M158" s="67"/>
      <c r="N158" s="67"/>
      <c r="O158" s="67"/>
      <c r="P158" s="67"/>
      <c r="Q158" s="67"/>
      <c r="R158" s="67"/>
      <c r="S158" s="67"/>
    </row>
    <row r="159">
      <c r="B159" s="66"/>
      <c r="M159" s="67"/>
      <c r="N159" s="67"/>
      <c r="O159" s="67"/>
      <c r="P159" s="67"/>
      <c r="Q159" s="67"/>
      <c r="R159" s="67"/>
      <c r="S159" s="67"/>
    </row>
    <row r="160">
      <c r="B160" s="66"/>
      <c r="M160" s="67"/>
      <c r="N160" s="67"/>
      <c r="O160" s="67"/>
      <c r="P160" s="67"/>
      <c r="Q160" s="67"/>
      <c r="R160" s="67"/>
      <c r="S160" s="67"/>
    </row>
    <row r="161">
      <c r="B161" s="66"/>
      <c r="M161" s="67"/>
      <c r="N161" s="67"/>
      <c r="O161" s="67"/>
      <c r="P161" s="67"/>
      <c r="Q161" s="67"/>
      <c r="R161" s="67"/>
      <c r="S161" s="67"/>
    </row>
    <row r="162">
      <c r="B162" s="66"/>
      <c r="M162" s="67"/>
      <c r="N162" s="67"/>
      <c r="O162" s="67"/>
      <c r="P162" s="67"/>
      <c r="Q162" s="67"/>
      <c r="R162" s="67"/>
      <c r="S162" s="67"/>
    </row>
    <row r="163">
      <c r="B163" s="66"/>
      <c r="M163" s="67"/>
      <c r="N163" s="67"/>
      <c r="O163" s="67"/>
      <c r="P163" s="67"/>
      <c r="Q163" s="67"/>
      <c r="R163" s="67"/>
      <c r="S163" s="67"/>
    </row>
    <row r="164">
      <c r="B164" s="66"/>
      <c r="M164" s="67"/>
      <c r="N164" s="67"/>
      <c r="O164" s="67"/>
      <c r="P164" s="67"/>
      <c r="Q164" s="67"/>
      <c r="R164" s="67"/>
      <c r="S164" s="67"/>
    </row>
    <row r="165">
      <c r="B165" s="66"/>
      <c r="M165" s="67"/>
      <c r="N165" s="67"/>
      <c r="O165" s="67"/>
      <c r="P165" s="67"/>
      <c r="Q165" s="67"/>
      <c r="R165" s="67"/>
      <c r="S165" s="67"/>
    </row>
    <row r="166">
      <c r="B166" s="66"/>
      <c r="M166" s="67"/>
      <c r="N166" s="67"/>
      <c r="O166" s="67"/>
      <c r="P166" s="67"/>
      <c r="Q166" s="67"/>
      <c r="R166" s="67"/>
      <c r="S166" s="67"/>
    </row>
    <row r="167">
      <c r="B167" s="66"/>
      <c r="M167" s="67"/>
      <c r="N167" s="67"/>
      <c r="O167" s="67"/>
      <c r="P167" s="67"/>
      <c r="Q167" s="67"/>
      <c r="R167" s="67"/>
      <c r="S167" s="67"/>
    </row>
    <row r="168">
      <c r="B168" s="66"/>
      <c r="M168" s="67"/>
      <c r="N168" s="67"/>
      <c r="O168" s="67"/>
      <c r="P168" s="67"/>
      <c r="Q168" s="67"/>
      <c r="R168" s="67"/>
      <c r="S168" s="67"/>
    </row>
    <row r="169">
      <c r="B169" s="66"/>
      <c r="M169" s="67"/>
      <c r="N169" s="67"/>
      <c r="O169" s="67"/>
      <c r="P169" s="67"/>
      <c r="Q169" s="67"/>
      <c r="R169" s="67"/>
      <c r="S169" s="67"/>
    </row>
    <row r="170">
      <c r="B170" s="66"/>
      <c r="M170" s="67"/>
      <c r="N170" s="67"/>
      <c r="O170" s="67"/>
      <c r="P170" s="67"/>
      <c r="Q170" s="67"/>
      <c r="R170" s="67"/>
      <c r="S170" s="67"/>
    </row>
    <row r="171">
      <c r="B171" s="66"/>
      <c r="M171" s="67"/>
      <c r="N171" s="67"/>
      <c r="O171" s="67"/>
      <c r="P171" s="67"/>
      <c r="Q171" s="67"/>
      <c r="R171" s="67"/>
      <c r="S171" s="67"/>
    </row>
    <row r="172">
      <c r="B172" s="66"/>
      <c r="M172" s="67"/>
      <c r="N172" s="67"/>
      <c r="O172" s="67"/>
      <c r="P172" s="67"/>
      <c r="Q172" s="67"/>
      <c r="R172" s="67"/>
      <c r="S172" s="67"/>
    </row>
    <row r="173">
      <c r="B173" s="66"/>
      <c r="M173" s="67"/>
      <c r="N173" s="67"/>
      <c r="O173" s="67"/>
      <c r="P173" s="67"/>
      <c r="Q173" s="67"/>
      <c r="R173" s="67"/>
      <c r="S173" s="67"/>
    </row>
    <row r="174">
      <c r="B174" s="66"/>
      <c r="M174" s="67"/>
      <c r="N174" s="67"/>
      <c r="O174" s="67"/>
      <c r="P174" s="67"/>
      <c r="Q174" s="67"/>
      <c r="R174" s="67"/>
      <c r="S174" s="67"/>
    </row>
    <row r="175">
      <c r="B175" s="66"/>
      <c r="M175" s="67"/>
      <c r="N175" s="67"/>
      <c r="O175" s="67"/>
      <c r="P175" s="67"/>
      <c r="Q175" s="67"/>
      <c r="R175" s="67"/>
      <c r="S175" s="67"/>
    </row>
    <row r="176">
      <c r="B176" s="66"/>
      <c r="M176" s="67"/>
      <c r="N176" s="67"/>
      <c r="O176" s="67"/>
      <c r="P176" s="67"/>
      <c r="Q176" s="67"/>
      <c r="R176" s="67"/>
      <c r="S176" s="67"/>
    </row>
    <row r="177">
      <c r="B177" s="66"/>
      <c r="M177" s="67"/>
      <c r="N177" s="67"/>
      <c r="O177" s="67"/>
      <c r="P177" s="67"/>
      <c r="Q177" s="67"/>
      <c r="R177" s="67"/>
      <c r="S177" s="67"/>
    </row>
    <row r="178">
      <c r="B178" s="66"/>
      <c r="M178" s="67"/>
      <c r="N178" s="67"/>
      <c r="O178" s="67"/>
      <c r="P178" s="67"/>
      <c r="Q178" s="67"/>
      <c r="R178" s="67"/>
      <c r="S178" s="67"/>
    </row>
    <row r="179">
      <c r="B179" s="66"/>
      <c r="M179" s="67"/>
      <c r="N179" s="67"/>
      <c r="O179" s="67"/>
      <c r="P179" s="67"/>
      <c r="Q179" s="67"/>
      <c r="R179" s="67"/>
      <c r="S179" s="67"/>
    </row>
    <row r="180">
      <c r="B180" s="66"/>
      <c r="M180" s="67"/>
      <c r="N180" s="67"/>
      <c r="O180" s="67"/>
      <c r="P180" s="67"/>
      <c r="Q180" s="67"/>
      <c r="R180" s="67"/>
      <c r="S180" s="67"/>
    </row>
    <row r="181">
      <c r="B181" s="66"/>
      <c r="M181" s="67"/>
      <c r="N181" s="67"/>
      <c r="O181" s="67"/>
      <c r="P181" s="67"/>
      <c r="Q181" s="67"/>
      <c r="R181" s="67"/>
      <c r="S181" s="67"/>
    </row>
    <row r="182">
      <c r="B182" s="66"/>
      <c r="M182" s="67"/>
      <c r="N182" s="67"/>
      <c r="O182" s="67"/>
      <c r="P182" s="67"/>
      <c r="Q182" s="67"/>
      <c r="R182" s="67"/>
      <c r="S182" s="67"/>
    </row>
    <row r="183">
      <c r="B183" s="66"/>
      <c r="M183" s="67"/>
      <c r="N183" s="67"/>
      <c r="O183" s="67"/>
      <c r="P183" s="67"/>
      <c r="Q183" s="67"/>
      <c r="R183" s="67"/>
      <c r="S183" s="67"/>
    </row>
    <row r="184">
      <c r="B184" s="66"/>
      <c r="M184" s="67"/>
      <c r="N184" s="67"/>
      <c r="O184" s="67"/>
      <c r="P184" s="67"/>
      <c r="Q184" s="67"/>
      <c r="R184" s="67"/>
      <c r="S184" s="67"/>
    </row>
    <row r="185">
      <c r="B185" s="66"/>
      <c r="M185" s="67"/>
      <c r="N185" s="67"/>
      <c r="O185" s="67"/>
      <c r="P185" s="67"/>
      <c r="Q185" s="67"/>
      <c r="R185" s="67"/>
      <c r="S185" s="67"/>
    </row>
    <row r="186">
      <c r="B186" s="66"/>
      <c r="M186" s="67"/>
      <c r="N186" s="67"/>
      <c r="O186" s="67"/>
      <c r="P186" s="67"/>
      <c r="Q186" s="67"/>
      <c r="R186" s="67"/>
      <c r="S186" s="67"/>
    </row>
    <row r="187">
      <c r="B187" s="66"/>
      <c r="M187" s="67"/>
      <c r="N187" s="67"/>
      <c r="O187" s="67"/>
      <c r="P187" s="67"/>
      <c r="Q187" s="67"/>
      <c r="R187" s="67"/>
      <c r="S187" s="67"/>
    </row>
    <row r="188">
      <c r="B188" s="66"/>
      <c r="M188" s="67"/>
      <c r="N188" s="67"/>
      <c r="O188" s="67"/>
      <c r="P188" s="67"/>
      <c r="Q188" s="67"/>
      <c r="R188" s="67"/>
      <c r="S188" s="67"/>
    </row>
    <row r="189">
      <c r="B189" s="66"/>
      <c r="M189" s="67"/>
      <c r="N189" s="67"/>
      <c r="O189" s="67"/>
      <c r="P189" s="67"/>
      <c r="Q189" s="67"/>
      <c r="R189" s="67"/>
      <c r="S189" s="67"/>
    </row>
    <row r="190">
      <c r="B190" s="66"/>
      <c r="M190" s="67"/>
      <c r="N190" s="67"/>
      <c r="O190" s="67"/>
      <c r="P190" s="67"/>
      <c r="Q190" s="67"/>
      <c r="R190" s="67"/>
      <c r="S190" s="67"/>
    </row>
    <row r="191">
      <c r="B191" s="66"/>
      <c r="M191" s="67"/>
      <c r="N191" s="67"/>
      <c r="O191" s="67"/>
      <c r="P191" s="67"/>
      <c r="Q191" s="67"/>
      <c r="R191" s="67"/>
      <c r="S191" s="67"/>
    </row>
    <row r="192">
      <c r="B192" s="66"/>
      <c r="M192" s="67"/>
      <c r="N192" s="67"/>
      <c r="O192" s="67"/>
      <c r="P192" s="67"/>
      <c r="Q192" s="67"/>
      <c r="R192" s="67"/>
      <c r="S192" s="67"/>
    </row>
    <row r="193">
      <c r="B193" s="66"/>
      <c r="M193" s="67"/>
      <c r="N193" s="67"/>
      <c r="O193" s="67"/>
      <c r="P193" s="67"/>
      <c r="Q193" s="67"/>
      <c r="R193" s="67"/>
      <c r="S193" s="67"/>
    </row>
    <row r="194">
      <c r="B194" s="66"/>
      <c r="M194" s="67"/>
      <c r="N194" s="67"/>
      <c r="O194" s="67"/>
      <c r="P194" s="67"/>
      <c r="Q194" s="67"/>
      <c r="R194" s="67"/>
      <c r="S194" s="67"/>
    </row>
    <row r="195">
      <c r="B195" s="66"/>
      <c r="M195" s="67"/>
      <c r="N195" s="67"/>
      <c r="O195" s="67"/>
      <c r="P195" s="67"/>
      <c r="Q195" s="67"/>
      <c r="R195" s="67"/>
      <c r="S195" s="67"/>
    </row>
    <row r="196">
      <c r="B196" s="66"/>
      <c r="M196" s="67"/>
      <c r="N196" s="67"/>
      <c r="O196" s="67"/>
      <c r="P196" s="67"/>
      <c r="Q196" s="67"/>
      <c r="R196" s="67"/>
      <c r="S196" s="67"/>
    </row>
    <row r="197">
      <c r="B197" s="66"/>
      <c r="M197" s="67"/>
      <c r="N197" s="67"/>
      <c r="O197" s="67"/>
      <c r="P197" s="67"/>
      <c r="Q197" s="67"/>
      <c r="R197" s="67"/>
      <c r="S197" s="67"/>
    </row>
    <row r="198">
      <c r="B198" s="66"/>
      <c r="M198" s="67"/>
      <c r="N198" s="67"/>
      <c r="O198" s="67"/>
      <c r="P198" s="67"/>
      <c r="Q198" s="67"/>
      <c r="R198" s="67"/>
      <c r="S198" s="67"/>
    </row>
    <row r="199">
      <c r="B199" s="66"/>
      <c r="M199" s="67"/>
      <c r="N199" s="67"/>
      <c r="O199" s="67"/>
      <c r="P199" s="67"/>
      <c r="Q199" s="67"/>
      <c r="R199" s="67"/>
      <c r="S199" s="67"/>
    </row>
    <row r="200">
      <c r="B200" s="66"/>
      <c r="M200" s="67"/>
      <c r="N200" s="67"/>
      <c r="O200" s="67"/>
      <c r="P200" s="67"/>
      <c r="Q200" s="67"/>
      <c r="R200" s="67"/>
      <c r="S200" s="67"/>
    </row>
    <row r="201">
      <c r="B201" s="66"/>
      <c r="M201" s="67"/>
      <c r="N201" s="67"/>
      <c r="O201" s="67"/>
      <c r="P201" s="67"/>
      <c r="Q201" s="67"/>
      <c r="R201" s="67"/>
      <c r="S201" s="67"/>
    </row>
    <row r="202">
      <c r="B202" s="66"/>
      <c r="M202" s="67"/>
      <c r="N202" s="67"/>
      <c r="O202" s="67"/>
      <c r="P202" s="67"/>
      <c r="Q202" s="67"/>
      <c r="R202" s="67"/>
      <c r="S202" s="67"/>
    </row>
    <row r="203">
      <c r="B203" s="66"/>
      <c r="M203" s="67"/>
      <c r="N203" s="67"/>
      <c r="O203" s="67"/>
      <c r="P203" s="67"/>
      <c r="Q203" s="67"/>
      <c r="R203" s="67"/>
      <c r="S203" s="67"/>
    </row>
    <row r="204">
      <c r="B204" s="66"/>
      <c r="M204" s="67"/>
      <c r="N204" s="67"/>
      <c r="O204" s="67"/>
      <c r="P204" s="67"/>
      <c r="Q204" s="67"/>
      <c r="R204" s="67"/>
      <c r="S204" s="67"/>
    </row>
    <row r="205">
      <c r="B205" s="66"/>
      <c r="M205" s="67"/>
      <c r="N205" s="67"/>
      <c r="O205" s="67"/>
      <c r="P205" s="67"/>
      <c r="Q205" s="67"/>
      <c r="R205" s="67"/>
      <c r="S205" s="67"/>
    </row>
    <row r="206">
      <c r="B206" s="66"/>
      <c r="M206" s="67"/>
      <c r="N206" s="67"/>
      <c r="O206" s="67"/>
      <c r="P206" s="67"/>
      <c r="Q206" s="67"/>
      <c r="R206" s="67"/>
      <c r="S206" s="67"/>
    </row>
    <row r="207">
      <c r="B207" s="66"/>
      <c r="M207" s="67"/>
      <c r="N207" s="67"/>
      <c r="O207" s="67"/>
      <c r="P207" s="67"/>
      <c r="Q207" s="67"/>
      <c r="R207" s="67"/>
      <c r="S207" s="67"/>
    </row>
    <row r="208">
      <c r="B208" s="66"/>
      <c r="M208" s="67"/>
      <c r="N208" s="67"/>
      <c r="O208" s="67"/>
      <c r="P208" s="67"/>
      <c r="Q208" s="67"/>
      <c r="R208" s="67"/>
      <c r="S208" s="67"/>
    </row>
    <row r="209">
      <c r="B209" s="66"/>
      <c r="M209" s="67"/>
      <c r="N209" s="67"/>
      <c r="O209" s="67"/>
      <c r="P209" s="67"/>
      <c r="Q209" s="67"/>
      <c r="R209" s="67"/>
      <c r="S209" s="67"/>
    </row>
    <row r="210">
      <c r="B210" s="66"/>
      <c r="M210" s="67"/>
      <c r="N210" s="67"/>
      <c r="O210" s="67"/>
      <c r="P210" s="67"/>
      <c r="Q210" s="67"/>
      <c r="R210" s="67"/>
      <c r="S210" s="67"/>
    </row>
    <row r="211">
      <c r="B211" s="66"/>
      <c r="M211" s="67"/>
      <c r="N211" s="67"/>
      <c r="O211" s="67"/>
      <c r="P211" s="67"/>
      <c r="Q211" s="67"/>
      <c r="R211" s="67"/>
      <c r="S211" s="67"/>
    </row>
    <row r="212">
      <c r="B212" s="66"/>
      <c r="M212" s="67"/>
      <c r="N212" s="67"/>
      <c r="O212" s="67"/>
      <c r="P212" s="67"/>
      <c r="Q212" s="67"/>
      <c r="R212" s="67"/>
      <c r="S212" s="67"/>
    </row>
    <row r="213">
      <c r="B213" s="66"/>
      <c r="M213" s="67"/>
      <c r="N213" s="67"/>
      <c r="O213" s="67"/>
      <c r="P213" s="67"/>
      <c r="Q213" s="67"/>
      <c r="R213" s="67"/>
      <c r="S213" s="67"/>
    </row>
    <row r="214">
      <c r="B214" s="66"/>
      <c r="M214" s="67"/>
      <c r="N214" s="67"/>
      <c r="O214" s="67"/>
      <c r="P214" s="67"/>
      <c r="Q214" s="67"/>
      <c r="R214" s="67"/>
      <c r="S214" s="67"/>
    </row>
    <row r="215">
      <c r="B215" s="66"/>
      <c r="M215" s="67"/>
      <c r="N215" s="67"/>
      <c r="O215" s="67"/>
      <c r="P215" s="67"/>
      <c r="Q215" s="67"/>
      <c r="R215" s="67"/>
      <c r="S215" s="67"/>
    </row>
    <row r="216">
      <c r="B216" s="66"/>
      <c r="M216" s="67"/>
      <c r="N216" s="67"/>
      <c r="O216" s="67"/>
      <c r="P216" s="67"/>
      <c r="Q216" s="67"/>
      <c r="R216" s="67"/>
      <c r="S216" s="67"/>
    </row>
    <row r="217">
      <c r="B217" s="66"/>
      <c r="M217" s="67"/>
      <c r="N217" s="67"/>
      <c r="O217" s="67"/>
      <c r="P217" s="67"/>
      <c r="Q217" s="67"/>
      <c r="R217" s="67"/>
      <c r="S217" s="67"/>
    </row>
    <row r="218">
      <c r="B218" s="66"/>
      <c r="M218" s="67"/>
      <c r="N218" s="67"/>
      <c r="O218" s="67"/>
      <c r="P218" s="67"/>
      <c r="Q218" s="67"/>
      <c r="R218" s="67"/>
      <c r="S218" s="67"/>
    </row>
    <row r="219">
      <c r="B219" s="66"/>
      <c r="M219" s="67"/>
      <c r="N219" s="67"/>
      <c r="O219" s="67"/>
      <c r="P219" s="67"/>
      <c r="Q219" s="67"/>
      <c r="R219" s="67"/>
      <c r="S219" s="67"/>
    </row>
    <row r="220">
      <c r="B220" s="66"/>
      <c r="M220" s="67"/>
      <c r="N220" s="67"/>
      <c r="O220" s="67"/>
      <c r="P220" s="67"/>
      <c r="Q220" s="67"/>
      <c r="R220" s="67"/>
      <c r="S220" s="67"/>
    </row>
    <row r="221">
      <c r="B221" s="66"/>
      <c r="M221" s="67"/>
      <c r="N221" s="67"/>
      <c r="O221" s="67"/>
      <c r="P221" s="67"/>
      <c r="Q221" s="67"/>
      <c r="R221" s="67"/>
      <c r="S221" s="67"/>
    </row>
    <row r="222">
      <c r="B222" s="66"/>
      <c r="M222" s="67"/>
      <c r="N222" s="67"/>
      <c r="O222" s="67"/>
      <c r="P222" s="67"/>
      <c r="Q222" s="67"/>
      <c r="R222" s="67"/>
      <c r="S222" s="67"/>
    </row>
    <row r="223">
      <c r="B223" s="66"/>
      <c r="M223" s="67"/>
      <c r="N223" s="67"/>
      <c r="O223" s="67"/>
      <c r="P223" s="67"/>
      <c r="Q223" s="67"/>
      <c r="R223" s="67"/>
      <c r="S223" s="67"/>
    </row>
    <row r="224">
      <c r="B224" s="66"/>
      <c r="M224" s="67"/>
      <c r="N224" s="67"/>
      <c r="O224" s="67"/>
      <c r="P224" s="67"/>
      <c r="Q224" s="67"/>
      <c r="R224" s="67"/>
      <c r="S224" s="67"/>
    </row>
    <row r="225">
      <c r="B225" s="66"/>
      <c r="M225" s="67"/>
      <c r="N225" s="67"/>
      <c r="O225" s="67"/>
      <c r="P225" s="67"/>
      <c r="Q225" s="67"/>
      <c r="R225" s="67"/>
      <c r="S225" s="67"/>
    </row>
    <row r="226">
      <c r="B226" s="66"/>
      <c r="M226" s="67"/>
      <c r="N226" s="67"/>
      <c r="O226" s="67"/>
      <c r="P226" s="67"/>
      <c r="Q226" s="67"/>
      <c r="R226" s="67"/>
      <c r="S226" s="67"/>
    </row>
    <row r="227">
      <c r="B227" s="66"/>
      <c r="M227" s="67"/>
      <c r="N227" s="67"/>
      <c r="O227" s="67"/>
      <c r="P227" s="67"/>
      <c r="Q227" s="67"/>
      <c r="R227" s="67"/>
      <c r="S227" s="67"/>
    </row>
    <row r="228">
      <c r="B228" s="66"/>
      <c r="M228" s="67"/>
      <c r="N228" s="67"/>
      <c r="O228" s="67"/>
      <c r="P228" s="67"/>
      <c r="Q228" s="67"/>
      <c r="R228" s="67"/>
      <c r="S228" s="67"/>
    </row>
    <row r="229">
      <c r="B229" s="66"/>
      <c r="M229" s="67"/>
      <c r="N229" s="67"/>
      <c r="O229" s="67"/>
      <c r="P229" s="67"/>
      <c r="Q229" s="67"/>
      <c r="R229" s="67"/>
      <c r="S229" s="67"/>
    </row>
    <row r="230">
      <c r="B230" s="66"/>
      <c r="M230" s="67"/>
      <c r="N230" s="67"/>
      <c r="O230" s="67"/>
      <c r="P230" s="67"/>
      <c r="Q230" s="67"/>
      <c r="R230" s="67"/>
      <c r="S230" s="67"/>
    </row>
    <row r="231">
      <c r="B231" s="66"/>
      <c r="M231" s="67"/>
      <c r="N231" s="67"/>
      <c r="O231" s="67"/>
      <c r="P231" s="67"/>
      <c r="Q231" s="67"/>
      <c r="R231" s="67"/>
      <c r="S231" s="67"/>
    </row>
    <row r="232">
      <c r="B232" s="66"/>
      <c r="M232" s="67"/>
      <c r="N232" s="67"/>
      <c r="O232" s="67"/>
      <c r="P232" s="67"/>
      <c r="Q232" s="67"/>
      <c r="R232" s="67"/>
      <c r="S232" s="67"/>
    </row>
    <row r="233">
      <c r="B233" s="66"/>
      <c r="M233" s="67"/>
      <c r="N233" s="67"/>
      <c r="O233" s="67"/>
      <c r="P233" s="67"/>
      <c r="Q233" s="67"/>
      <c r="R233" s="67"/>
      <c r="S233" s="67"/>
    </row>
    <row r="234">
      <c r="B234" s="66"/>
      <c r="M234" s="67"/>
      <c r="N234" s="67"/>
      <c r="O234" s="67"/>
      <c r="P234" s="67"/>
      <c r="Q234" s="67"/>
      <c r="R234" s="67"/>
      <c r="S234" s="67"/>
    </row>
    <row r="235">
      <c r="B235" s="66"/>
      <c r="M235" s="67"/>
      <c r="N235" s="67"/>
      <c r="O235" s="67"/>
      <c r="P235" s="67"/>
      <c r="Q235" s="67"/>
      <c r="R235" s="67"/>
      <c r="S235" s="67"/>
    </row>
    <row r="236">
      <c r="B236" s="66"/>
      <c r="M236" s="67"/>
      <c r="N236" s="67"/>
      <c r="O236" s="67"/>
      <c r="P236" s="67"/>
      <c r="Q236" s="67"/>
      <c r="R236" s="67"/>
      <c r="S236" s="67"/>
    </row>
    <row r="237">
      <c r="B237" s="66"/>
      <c r="M237" s="67"/>
      <c r="N237" s="67"/>
      <c r="O237" s="67"/>
      <c r="P237" s="67"/>
      <c r="Q237" s="67"/>
      <c r="R237" s="67"/>
      <c r="S237" s="67"/>
    </row>
    <row r="238">
      <c r="B238" s="66"/>
      <c r="M238" s="67"/>
      <c r="N238" s="67"/>
      <c r="O238" s="67"/>
      <c r="P238" s="67"/>
      <c r="Q238" s="67"/>
      <c r="R238" s="67"/>
      <c r="S238" s="67"/>
    </row>
    <row r="239">
      <c r="B239" s="66"/>
      <c r="M239" s="67"/>
      <c r="N239" s="67"/>
      <c r="O239" s="67"/>
      <c r="P239" s="67"/>
      <c r="Q239" s="67"/>
      <c r="R239" s="67"/>
      <c r="S239" s="67"/>
    </row>
    <row r="240">
      <c r="B240" s="66"/>
      <c r="M240" s="67"/>
      <c r="N240" s="67"/>
      <c r="O240" s="67"/>
      <c r="P240" s="67"/>
      <c r="Q240" s="67"/>
      <c r="R240" s="67"/>
      <c r="S240" s="67"/>
    </row>
    <row r="241">
      <c r="B241" s="66"/>
      <c r="M241" s="67"/>
      <c r="N241" s="67"/>
      <c r="O241" s="67"/>
      <c r="P241" s="67"/>
      <c r="Q241" s="67"/>
      <c r="R241" s="67"/>
      <c r="S241" s="67"/>
    </row>
    <row r="242">
      <c r="B242" s="66"/>
      <c r="M242" s="67"/>
      <c r="N242" s="67"/>
      <c r="O242" s="67"/>
      <c r="P242" s="67"/>
      <c r="Q242" s="67"/>
      <c r="R242" s="67"/>
      <c r="S242" s="67"/>
    </row>
    <row r="243">
      <c r="B243" s="66"/>
      <c r="M243" s="67"/>
      <c r="N243" s="67"/>
      <c r="O243" s="67"/>
      <c r="P243" s="67"/>
      <c r="Q243" s="67"/>
      <c r="R243" s="67"/>
      <c r="S243" s="67"/>
    </row>
    <row r="244">
      <c r="B244" s="66"/>
      <c r="M244" s="67"/>
      <c r="N244" s="67"/>
      <c r="O244" s="67"/>
      <c r="P244" s="67"/>
      <c r="Q244" s="67"/>
      <c r="R244" s="67"/>
      <c r="S244" s="67"/>
    </row>
    <row r="245">
      <c r="B245" s="66"/>
      <c r="M245" s="67"/>
      <c r="N245" s="67"/>
      <c r="O245" s="67"/>
      <c r="P245" s="67"/>
      <c r="Q245" s="67"/>
      <c r="R245" s="67"/>
      <c r="S245" s="67"/>
    </row>
    <row r="246">
      <c r="B246" s="66"/>
      <c r="M246" s="67"/>
      <c r="N246" s="67"/>
      <c r="O246" s="67"/>
      <c r="P246" s="67"/>
      <c r="Q246" s="67"/>
      <c r="R246" s="67"/>
      <c r="S246" s="67"/>
    </row>
    <row r="247">
      <c r="B247" s="66"/>
      <c r="M247" s="67"/>
      <c r="N247" s="67"/>
      <c r="O247" s="67"/>
      <c r="P247" s="67"/>
      <c r="Q247" s="67"/>
      <c r="R247" s="67"/>
      <c r="S247" s="67"/>
    </row>
    <row r="248">
      <c r="B248" s="66"/>
      <c r="M248" s="67"/>
      <c r="N248" s="67"/>
      <c r="O248" s="67"/>
      <c r="P248" s="67"/>
      <c r="Q248" s="67"/>
      <c r="R248" s="67"/>
      <c r="S248" s="67"/>
    </row>
    <row r="249">
      <c r="B249" s="66"/>
      <c r="M249" s="67"/>
      <c r="N249" s="67"/>
      <c r="O249" s="67"/>
      <c r="P249" s="67"/>
      <c r="Q249" s="67"/>
      <c r="R249" s="67"/>
      <c r="S249" s="67"/>
    </row>
    <row r="250">
      <c r="B250" s="66"/>
      <c r="M250" s="67"/>
      <c r="N250" s="67"/>
      <c r="O250" s="67"/>
      <c r="P250" s="67"/>
      <c r="Q250" s="67"/>
      <c r="R250" s="67"/>
      <c r="S250" s="67"/>
    </row>
    <row r="251">
      <c r="B251" s="66"/>
      <c r="M251" s="67"/>
      <c r="N251" s="67"/>
      <c r="O251" s="67"/>
      <c r="P251" s="67"/>
      <c r="Q251" s="67"/>
      <c r="R251" s="67"/>
      <c r="S251" s="67"/>
    </row>
    <row r="252">
      <c r="B252" s="66"/>
      <c r="M252" s="67"/>
      <c r="N252" s="67"/>
      <c r="O252" s="67"/>
      <c r="P252" s="67"/>
      <c r="Q252" s="67"/>
      <c r="R252" s="67"/>
      <c r="S252" s="67"/>
    </row>
    <row r="253">
      <c r="B253" s="66"/>
      <c r="M253" s="67"/>
      <c r="N253" s="67"/>
      <c r="O253" s="67"/>
      <c r="P253" s="67"/>
      <c r="Q253" s="67"/>
      <c r="R253" s="67"/>
      <c r="S253" s="67"/>
    </row>
    <row r="254">
      <c r="B254" s="66"/>
      <c r="M254" s="67"/>
      <c r="N254" s="67"/>
      <c r="O254" s="67"/>
      <c r="P254" s="67"/>
      <c r="Q254" s="67"/>
      <c r="R254" s="67"/>
      <c r="S254" s="67"/>
    </row>
    <row r="255">
      <c r="B255" s="66"/>
      <c r="M255" s="67"/>
      <c r="N255" s="67"/>
      <c r="O255" s="67"/>
      <c r="P255" s="67"/>
      <c r="Q255" s="67"/>
      <c r="R255" s="67"/>
      <c r="S255" s="67"/>
    </row>
    <row r="256">
      <c r="B256" s="66"/>
      <c r="M256" s="67"/>
      <c r="N256" s="67"/>
      <c r="O256" s="67"/>
      <c r="P256" s="67"/>
      <c r="Q256" s="67"/>
      <c r="R256" s="67"/>
      <c r="S256" s="67"/>
    </row>
    <row r="257">
      <c r="B257" s="66"/>
      <c r="M257" s="67"/>
      <c r="N257" s="67"/>
      <c r="O257" s="67"/>
      <c r="P257" s="67"/>
      <c r="Q257" s="67"/>
      <c r="R257" s="67"/>
      <c r="S257" s="67"/>
    </row>
    <row r="258">
      <c r="B258" s="66"/>
      <c r="M258" s="67"/>
      <c r="N258" s="67"/>
      <c r="O258" s="67"/>
      <c r="P258" s="67"/>
      <c r="Q258" s="67"/>
      <c r="R258" s="67"/>
      <c r="S258" s="67"/>
    </row>
    <row r="259">
      <c r="B259" s="66"/>
      <c r="M259" s="67"/>
      <c r="N259" s="67"/>
      <c r="O259" s="67"/>
      <c r="P259" s="67"/>
      <c r="Q259" s="67"/>
      <c r="R259" s="67"/>
      <c r="S259" s="67"/>
    </row>
    <row r="260">
      <c r="B260" s="66"/>
      <c r="M260" s="67"/>
      <c r="N260" s="67"/>
      <c r="O260" s="67"/>
      <c r="P260" s="67"/>
      <c r="Q260" s="67"/>
      <c r="R260" s="67"/>
      <c r="S260" s="67"/>
    </row>
    <row r="261">
      <c r="B261" s="66"/>
      <c r="M261" s="67"/>
      <c r="N261" s="67"/>
      <c r="O261" s="67"/>
      <c r="P261" s="67"/>
      <c r="Q261" s="67"/>
      <c r="R261" s="67"/>
      <c r="S261" s="67"/>
    </row>
    <row r="262">
      <c r="B262" s="66"/>
      <c r="M262" s="67"/>
      <c r="N262" s="67"/>
      <c r="O262" s="67"/>
      <c r="P262" s="67"/>
      <c r="Q262" s="67"/>
      <c r="R262" s="67"/>
      <c r="S262" s="67"/>
    </row>
    <row r="263">
      <c r="B263" s="66"/>
      <c r="M263" s="67"/>
      <c r="N263" s="67"/>
      <c r="O263" s="67"/>
      <c r="P263" s="67"/>
      <c r="Q263" s="67"/>
      <c r="R263" s="67"/>
      <c r="S263" s="67"/>
    </row>
    <row r="264">
      <c r="B264" s="66"/>
      <c r="M264" s="67"/>
      <c r="N264" s="67"/>
      <c r="O264" s="67"/>
      <c r="P264" s="67"/>
      <c r="Q264" s="67"/>
      <c r="R264" s="67"/>
      <c r="S264" s="67"/>
    </row>
    <row r="265">
      <c r="B265" s="66"/>
      <c r="M265" s="67"/>
      <c r="N265" s="67"/>
      <c r="O265" s="67"/>
      <c r="P265" s="67"/>
      <c r="Q265" s="67"/>
      <c r="R265" s="67"/>
      <c r="S265" s="67"/>
    </row>
    <row r="266">
      <c r="B266" s="66"/>
      <c r="M266" s="67"/>
      <c r="N266" s="67"/>
      <c r="O266" s="67"/>
      <c r="P266" s="67"/>
      <c r="Q266" s="67"/>
      <c r="R266" s="67"/>
      <c r="S266" s="67"/>
    </row>
    <row r="267">
      <c r="B267" s="66"/>
      <c r="M267" s="67"/>
      <c r="N267" s="67"/>
      <c r="O267" s="67"/>
      <c r="P267" s="67"/>
      <c r="Q267" s="67"/>
      <c r="R267" s="67"/>
      <c r="S267" s="67"/>
    </row>
    <row r="268">
      <c r="B268" s="66"/>
      <c r="M268" s="67"/>
      <c r="N268" s="67"/>
      <c r="O268" s="67"/>
      <c r="P268" s="67"/>
      <c r="Q268" s="67"/>
      <c r="R268" s="67"/>
      <c r="S268" s="67"/>
    </row>
    <row r="269">
      <c r="B269" s="66"/>
      <c r="M269" s="67"/>
      <c r="N269" s="67"/>
      <c r="O269" s="67"/>
      <c r="P269" s="67"/>
      <c r="Q269" s="67"/>
      <c r="R269" s="67"/>
      <c r="S269" s="67"/>
    </row>
    <row r="270">
      <c r="B270" s="66"/>
      <c r="M270" s="67"/>
      <c r="N270" s="67"/>
      <c r="O270" s="67"/>
      <c r="P270" s="67"/>
      <c r="Q270" s="67"/>
      <c r="R270" s="67"/>
      <c r="S270" s="67"/>
    </row>
    <row r="271">
      <c r="B271" s="66"/>
      <c r="M271" s="67"/>
      <c r="N271" s="67"/>
      <c r="O271" s="67"/>
      <c r="P271" s="67"/>
      <c r="Q271" s="67"/>
      <c r="R271" s="67"/>
      <c r="S271" s="67"/>
    </row>
    <row r="272">
      <c r="B272" s="66"/>
      <c r="M272" s="67"/>
      <c r="N272" s="67"/>
      <c r="O272" s="67"/>
      <c r="P272" s="67"/>
      <c r="Q272" s="67"/>
      <c r="R272" s="67"/>
      <c r="S272" s="67"/>
    </row>
    <row r="273">
      <c r="B273" s="66"/>
      <c r="M273" s="67"/>
      <c r="N273" s="67"/>
      <c r="O273" s="67"/>
      <c r="P273" s="67"/>
      <c r="Q273" s="67"/>
      <c r="R273" s="67"/>
      <c r="S273" s="67"/>
    </row>
    <row r="274">
      <c r="B274" s="66"/>
      <c r="M274" s="67"/>
      <c r="N274" s="67"/>
      <c r="O274" s="67"/>
      <c r="P274" s="67"/>
      <c r="Q274" s="67"/>
      <c r="R274" s="67"/>
      <c r="S274" s="67"/>
    </row>
    <row r="275">
      <c r="B275" s="66"/>
      <c r="M275" s="67"/>
      <c r="N275" s="67"/>
      <c r="O275" s="67"/>
      <c r="P275" s="67"/>
      <c r="Q275" s="67"/>
      <c r="R275" s="67"/>
      <c r="S275" s="67"/>
    </row>
    <row r="276">
      <c r="B276" s="66"/>
      <c r="M276" s="67"/>
      <c r="N276" s="67"/>
      <c r="O276" s="67"/>
      <c r="P276" s="67"/>
      <c r="Q276" s="67"/>
      <c r="R276" s="67"/>
      <c r="S276" s="67"/>
    </row>
    <row r="277">
      <c r="B277" s="66"/>
      <c r="M277" s="67"/>
      <c r="N277" s="67"/>
      <c r="O277" s="67"/>
      <c r="P277" s="67"/>
      <c r="Q277" s="67"/>
      <c r="R277" s="67"/>
      <c r="S277" s="67"/>
    </row>
    <row r="278">
      <c r="B278" s="66"/>
      <c r="M278" s="67"/>
      <c r="N278" s="67"/>
      <c r="O278" s="67"/>
      <c r="P278" s="67"/>
      <c r="Q278" s="67"/>
      <c r="R278" s="67"/>
      <c r="S278" s="67"/>
    </row>
    <row r="279">
      <c r="B279" s="66"/>
      <c r="M279" s="67"/>
      <c r="N279" s="67"/>
      <c r="O279" s="67"/>
      <c r="P279" s="67"/>
      <c r="Q279" s="67"/>
      <c r="R279" s="67"/>
      <c r="S279" s="67"/>
    </row>
    <row r="280">
      <c r="B280" s="66"/>
      <c r="M280" s="67"/>
      <c r="N280" s="67"/>
      <c r="O280" s="67"/>
      <c r="P280" s="67"/>
      <c r="Q280" s="67"/>
      <c r="R280" s="67"/>
      <c r="S280" s="67"/>
    </row>
    <row r="281">
      <c r="B281" s="66"/>
      <c r="M281" s="67"/>
      <c r="N281" s="67"/>
      <c r="O281" s="67"/>
      <c r="P281" s="67"/>
      <c r="Q281" s="67"/>
      <c r="R281" s="67"/>
      <c r="S281" s="67"/>
    </row>
    <row r="282">
      <c r="B282" s="66"/>
      <c r="M282" s="67"/>
      <c r="N282" s="67"/>
      <c r="O282" s="67"/>
      <c r="P282" s="67"/>
      <c r="Q282" s="67"/>
      <c r="R282" s="67"/>
      <c r="S282" s="67"/>
    </row>
    <row r="283">
      <c r="B283" s="66"/>
      <c r="M283" s="67"/>
      <c r="N283" s="67"/>
      <c r="O283" s="67"/>
      <c r="P283" s="67"/>
      <c r="Q283" s="67"/>
      <c r="R283" s="67"/>
      <c r="S283" s="67"/>
    </row>
    <row r="284">
      <c r="B284" s="66"/>
      <c r="M284" s="67"/>
      <c r="N284" s="67"/>
      <c r="O284" s="67"/>
      <c r="P284" s="67"/>
      <c r="Q284" s="67"/>
      <c r="R284" s="67"/>
      <c r="S284" s="67"/>
    </row>
    <row r="285">
      <c r="B285" s="66"/>
      <c r="M285" s="67"/>
      <c r="N285" s="67"/>
      <c r="O285" s="67"/>
      <c r="P285" s="67"/>
      <c r="Q285" s="67"/>
      <c r="R285" s="67"/>
      <c r="S285" s="67"/>
    </row>
    <row r="286">
      <c r="B286" s="66"/>
      <c r="M286" s="67"/>
      <c r="N286" s="67"/>
      <c r="O286" s="67"/>
      <c r="P286" s="67"/>
      <c r="Q286" s="67"/>
      <c r="R286" s="67"/>
      <c r="S286" s="67"/>
    </row>
    <row r="287">
      <c r="B287" s="66"/>
      <c r="M287" s="67"/>
      <c r="N287" s="67"/>
      <c r="O287" s="67"/>
      <c r="P287" s="67"/>
      <c r="Q287" s="67"/>
      <c r="R287" s="67"/>
      <c r="S287" s="67"/>
    </row>
    <row r="288">
      <c r="B288" s="66"/>
      <c r="M288" s="67"/>
      <c r="N288" s="67"/>
      <c r="O288" s="67"/>
      <c r="P288" s="67"/>
      <c r="Q288" s="67"/>
      <c r="R288" s="67"/>
      <c r="S288" s="67"/>
    </row>
    <row r="289">
      <c r="B289" s="66"/>
      <c r="M289" s="67"/>
      <c r="N289" s="67"/>
      <c r="O289" s="67"/>
      <c r="P289" s="67"/>
      <c r="Q289" s="67"/>
      <c r="R289" s="67"/>
      <c r="S289" s="67"/>
    </row>
    <row r="290">
      <c r="B290" s="66"/>
      <c r="M290" s="67"/>
      <c r="N290" s="67"/>
      <c r="O290" s="67"/>
      <c r="P290" s="67"/>
      <c r="Q290" s="67"/>
      <c r="R290" s="67"/>
      <c r="S290" s="67"/>
    </row>
    <row r="291">
      <c r="B291" s="66"/>
      <c r="M291" s="67"/>
      <c r="N291" s="67"/>
      <c r="O291" s="67"/>
      <c r="P291" s="67"/>
      <c r="Q291" s="67"/>
      <c r="R291" s="67"/>
      <c r="S291" s="67"/>
    </row>
    <row r="292">
      <c r="B292" s="66"/>
      <c r="M292" s="67"/>
      <c r="N292" s="67"/>
      <c r="O292" s="67"/>
      <c r="P292" s="67"/>
      <c r="Q292" s="67"/>
      <c r="R292" s="67"/>
      <c r="S292" s="67"/>
    </row>
    <row r="293">
      <c r="B293" s="66"/>
      <c r="M293" s="67"/>
      <c r="N293" s="67"/>
      <c r="O293" s="67"/>
      <c r="P293" s="67"/>
      <c r="Q293" s="67"/>
      <c r="R293" s="67"/>
      <c r="S293" s="67"/>
    </row>
    <row r="294">
      <c r="B294" s="66"/>
      <c r="M294" s="67"/>
      <c r="N294" s="67"/>
      <c r="O294" s="67"/>
      <c r="P294" s="67"/>
      <c r="Q294" s="67"/>
      <c r="R294" s="67"/>
      <c r="S294" s="67"/>
    </row>
    <row r="295">
      <c r="B295" s="66"/>
      <c r="M295" s="67"/>
      <c r="N295" s="67"/>
      <c r="O295" s="67"/>
      <c r="P295" s="67"/>
      <c r="Q295" s="67"/>
      <c r="R295" s="67"/>
      <c r="S295" s="67"/>
    </row>
    <row r="296">
      <c r="B296" s="66"/>
      <c r="M296" s="67"/>
      <c r="N296" s="67"/>
      <c r="O296" s="67"/>
      <c r="P296" s="67"/>
      <c r="Q296" s="67"/>
      <c r="R296" s="67"/>
      <c r="S296" s="67"/>
    </row>
    <row r="297">
      <c r="B297" s="66"/>
      <c r="M297" s="67"/>
      <c r="N297" s="67"/>
      <c r="O297" s="67"/>
      <c r="P297" s="67"/>
      <c r="Q297" s="67"/>
      <c r="R297" s="67"/>
      <c r="S297" s="67"/>
    </row>
    <row r="298">
      <c r="B298" s="66"/>
      <c r="M298" s="67"/>
      <c r="N298" s="67"/>
      <c r="O298" s="67"/>
      <c r="P298" s="67"/>
      <c r="Q298" s="67"/>
      <c r="R298" s="67"/>
      <c r="S298" s="67"/>
    </row>
    <row r="299">
      <c r="B299" s="66"/>
      <c r="M299" s="67"/>
      <c r="N299" s="67"/>
      <c r="O299" s="67"/>
      <c r="P299" s="67"/>
      <c r="Q299" s="67"/>
      <c r="R299" s="67"/>
      <c r="S299" s="67"/>
    </row>
    <row r="300">
      <c r="B300" s="66"/>
      <c r="M300" s="67"/>
      <c r="N300" s="67"/>
      <c r="O300" s="67"/>
      <c r="P300" s="67"/>
      <c r="Q300" s="67"/>
      <c r="R300" s="67"/>
      <c r="S300" s="67"/>
    </row>
    <row r="301">
      <c r="B301" s="66"/>
      <c r="M301" s="67"/>
      <c r="N301" s="67"/>
      <c r="O301" s="67"/>
      <c r="P301" s="67"/>
      <c r="Q301" s="67"/>
      <c r="R301" s="67"/>
      <c r="S301" s="67"/>
    </row>
    <row r="302">
      <c r="B302" s="66"/>
      <c r="M302" s="67"/>
      <c r="N302" s="67"/>
      <c r="O302" s="67"/>
      <c r="P302" s="67"/>
      <c r="Q302" s="67"/>
      <c r="R302" s="67"/>
      <c r="S302" s="67"/>
    </row>
    <row r="303">
      <c r="B303" s="66"/>
      <c r="M303" s="67"/>
      <c r="N303" s="67"/>
      <c r="O303" s="67"/>
      <c r="P303" s="67"/>
      <c r="Q303" s="67"/>
      <c r="R303" s="67"/>
      <c r="S303" s="67"/>
    </row>
    <row r="304">
      <c r="B304" s="66"/>
      <c r="M304" s="67"/>
      <c r="N304" s="67"/>
      <c r="O304" s="67"/>
      <c r="P304" s="67"/>
      <c r="Q304" s="67"/>
      <c r="R304" s="67"/>
      <c r="S304" s="67"/>
    </row>
    <row r="305">
      <c r="B305" s="66"/>
      <c r="M305" s="67"/>
      <c r="N305" s="67"/>
      <c r="O305" s="67"/>
      <c r="P305" s="67"/>
      <c r="Q305" s="67"/>
      <c r="R305" s="67"/>
      <c r="S305" s="67"/>
    </row>
    <row r="306">
      <c r="B306" s="66"/>
      <c r="M306" s="67"/>
      <c r="N306" s="67"/>
      <c r="O306" s="67"/>
      <c r="P306" s="67"/>
      <c r="Q306" s="67"/>
      <c r="R306" s="67"/>
      <c r="S306" s="67"/>
    </row>
    <row r="307">
      <c r="B307" s="66"/>
      <c r="M307" s="67"/>
      <c r="N307" s="67"/>
      <c r="O307" s="67"/>
      <c r="P307" s="67"/>
      <c r="Q307" s="67"/>
      <c r="R307" s="67"/>
      <c r="S307" s="67"/>
    </row>
    <row r="308">
      <c r="B308" s="66"/>
      <c r="M308" s="67"/>
      <c r="N308" s="67"/>
      <c r="O308" s="67"/>
      <c r="P308" s="67"/>
      <c r="Q308" s="67"/>
      <c r="R308" s="67"/>
      <c r="S308" s="67"/>
    </row>
    <row r="309">
      <c r="B309" s="66"/>
      <c r="M309" s="67"/>
      <c r="N309" s="67"/>
      <c r="O309" s="67"/>
      <c r="P309" s="67"/>
      <c r="Q309" s="67"/>
      <c r="R309" s="67"/>
      <c r="S309" s="67"/>
    </row>
    <row r="310">
      <c r="B310" s="66"/>
      <c r="M310" s="67"/>
      <c r="N310" s="67"/>
      <c r="O310" s="67"/>
      <c r="P310" s="67"/>
      <c r="Q310" s="67"/>
      <c r="R310" s="67"/>
      <c r="S310" s="67"/>
    </row>
    <row r="311">
      <c r="B311" s="66"/>
      <c r="M311" s="67"/>
      <c r="N311" s="67"/>
      <c r="O311" s="67"/>
      <c r="P311" s="67"/>
      <c r="Q311" s="67"/>
      <c r="R311" s="67"/>
      <c r="S311" s="67"/>
    </row>
    <row r="312">
      <c r="B312" s="66"/>
      <c r="M312" s="67"/>
      <c r="N312" s="67"/>
      <c r="O312" s="67"/>
      <c r="P312" s="67"/>
      <c r="Q312" s="67"/>
      <c r="R312" s="67"/>
      <c r="S312" s="67"/>
    </row>
    <row r="313">
      <c r="B313" s="66"/>
      <c r="M313" s="67"/>
      <c r="N313" s="67"/>
      <c r="O313" s="67"/>
      <c r="P313" s="67"/>
      <c r="Q313" s="67"/>
      <c r="R313" s="67"/>
      <c r="S313" s="67"/>
    </row>
    <row r="314">
      <c r="B314" s="66"/>
      <c r="M314" s="67"/>
      <c r="N314" s="67"/>
      <c r="O314" s="67"/>
      <c r="P314" s="67"/>
      <c r="Q314" s="67"/>
      <c r="R314" s="67"/>
      <c r="S314" s="67"/>
    </row>
    <row r="315">
      <c r="B315" s="66"/>
      <c r="M315" s="67"/>
      <c r="N315" s="67"/>
      <c r="O315" s="67"/>
      <c r="P315" s="67"/>
      <c r="Q315" s="67"/>
      <c r="R315" s="67"/>
      <c r="S315" s="67"/>
    </row>
    <row r="316">
      <c r="B316" s="66"/>
      <c r="M316" s="67"/>
      <c r="N316" s="67"/>
      <c r="O316" s="67"/>
      <c r="P316" s="67"/>
      <c r="Q316" s="67"/>
      <c r="R316" s="67"/>
      <c r="S316" s="67"/>
    </row>
    <row r="317">
      <c r="B317" s="66"/>
      <c r="M317" s="67"/>
      <c r="N317" s="67"/>
      <c r="O317" s="67"/>
      <c r="P317" s="67"/>
      <c r="Q317" s="67"/>
      <c r="R317" s="67"/>
      <c r="S317" s="67"/>
    </row>
    <row r="318">
      <c r="B318" s="66"/>
      <c r="M318" s="67"/>
      <c r="N318" s="67"/>
      <c r="O318" s="67"/>
      <c r="P318" s="67"/>
      <c r="Q318" s="67"/>
      <c r="R318" s="67"/>
      <c r="S318" s="67"/>
    </row>
    <row r="319">
      <c r="B319" s="66"/>
      <c r="M319" s="67"/>
      <c r="N319" s="67"/>
      <c r="O319" s="67"/>
      <c r="P319" s="67"/>
      <c r="Q319" s="67"/>
      <c r="R319" s="67"/>
      <c r="S319" s="67"/>
    </row>
    <row r="320">
      <c r="B320" s="66"/>
      <c r="M320" s="67"/>
      <c r="N320" s="67"/>
      <c r="O320" s="67"/>
      <c r="P320" s="67"/>
      <c r="Q320" s="67"/>
      <c r="R320" s="67"/>
      <c r="S320" s="67"/>
    </row>
    <row r="321">
      <c r="B321" s="66"/>
      <c r="M321" s="67"/>
      <c r="N321" s="67"/>
      <c r="O321" s="67"/>
      <c r="P321" s="67"/>
      <c r="Q321" s="67"/>
      <c r="R321" s="67"/>
      <c r="S321" s="67"/>
    </row>
    <row r="322">
      <c r="B322" s="66"/>
      <c r="M322" s="67"/>
      <c r="N322" s="67"/>
      <c r="O322" s="67"/>
      <c r="P322" s="67"/>
      <c r="Q322" s="67"/>
      <c r="R322" s="67"/>
      <c r="S322" s="67"/>
    </row>
    <row r="323">
      <c r="B323" s="66"/>
      <c r="M323" s="67"/>
      <c r="N323" s="67"/>
      <c r="O323" s="67"/>
      <c r="P323" s="67"/>
      <c r="Q323" s="67"/>
      <c r="R323" s="67"/>
      <c r="S323" s="67"/>
    </row>
    <row r="324">
      <c r="B324" s="66"/>
      <c r="M324" s="67"/>
      <c r="N324" s="67"/>
      <c r="O324" s="67"/>
      <c r="P324" s="67"/>
      <c r="Q324" s="67"/>
      <c r="R324" s="67"/>
      <c r="S324" s="67"/>
    </row>
    <row r="325">
      <c r="B325" s="66"/>
      <c r="M325" s="67"/>
      <c r="N325" s="67"/>
      <c r="O325" s="67"/>
      <c r="P325" s="67"/>
      <c r="Q325" s="67"/>
      <c r="R325" s="67"/>
      <c r="S325" s="67"/>
    </row>
    <row r="326">
      <c r="B326" s="66"/>
      <c r="M326" s="67"/>
      <c r="N326" s="67"/>
      <c r="O326" s="67"/>
      <c r="P326" s="67"/>
      <c r="Q326" s="67"/>
      <c r="R326" s="67"/>
      <c r="S326" s="67"/>
    </row>
    <row r="327">
      <c r="B327" s="66"/>
      <c r="M327" s="67"/>
      <c r="N327" s="67"/>
      <c r="O327" s="67"/>
      <c r="P327" s="67"/>
      <c r="Q327" s="67"/>
      <c r="R327" s="67"/>
      <c r="S327" s="67"/>
    </row>
    <row r="328">
      <c r="B328" s="66"/>
      <c r="M328" s="67"/>
      <c r="N328" s="67"/>
      <c r="O328" s="67"/>
      <c r="P328" s="67"/>
      <c r="Q328" s="67"/>
      <c r="R328" s="67"/>
      <c r="S328" s="67"/>
    </row>
    <row r="329">
      <c r="B329" s="66"/>
      <c r="M329" s="67"/>
      <c r="N329" s="67"/>
      <c r="O329" s="67"/>
      <c r="P329" s="67"/>
      <c r="Q329" s="67"/>
      <c r="R329" s="67"/>
      <c r="S329" s="67"/>
    </row>
    <row r="330">
      <c r="B330" s="66"/>
      <c r="M330" s="67"/>
      <c r="N330" s="67"/>
      <c r="O330" s="67"/>
      <c r="P330" s="67"/>
      <c r="Q330" s="67"/>
      <c r="R330" s="67"/>
      <c r="S330" s="67"/>
    </row>
    <row r="331">
      <c r="B331" s="66"/>
      <c r="M331" s="67"/>
      <c r="N331" s="67"/>
      <c r="O331" s="67"/>
      <c r="P331" s="67"/>
      <c r="Q331" s="67"/>
      <c r="R331" s="67"/>
      <c r="S331" s="67"/>
    </row>
    <row r="332">
      <c r="B332" s="66"/>
      <c r="M332" s="67"/>
      <c r="N332" s="67"/>
      <c r="O332" s="67"/>
      <c r="P332" s="67"/>
      <c r="Q332" s="67"/>
      <c r="R332" s="67"/>
      <c r="S332" s="67"/>
    </row>
    <row r="333">
      <c r="B333" s="66"/>
      <c r="M333" s="67"/>
      <c r="N333" s="67"/>
      <c r="O333" s="67"/>
      <c r="P333" s="67"/>
      <c r="Q333" s="67"/>
      <c r="R333" s="67"/>
      <c r="S333" s="67"/>
    </row>
    <row r="334">
      <c r="B334" s="66"/>
      <c r="M334" s="67"/>
      <c r="N334" s="67"/>
      <c r="O334" s="67"/>
      <c r="P334" s="67"/>
      <c r="Q334" s="67"/>
      <c r="R334" s="67"/>
      <c r="S334" s="67"/>
    </row>
    <row r="335">
      <c r="B335" s="66"/>
      <c r="M335" s="67"/>
      <c r="N335" s="67"/>
      <c r="O335" s="67"/>
      <c r="P335" s="67"/>
      <c r="Q335" s="67"/>
      <c r="R335" s="67"/>
      <c r="S335" s="67"/>
    </row>
    <row r="336">
      <c r="B336" s="66"/>
      <c r="M336" s="67"/>
      <c r="N336" s="67"/>
      <c r="O336" s="67"/>
      <c r="P336" s="67"/>
      <c r="Q336" s="67"/>
      <c r="R336" s="67"/>
      <c r="S336" s="67"/>
    </row>
    <row r="337">
      <c r="B337" s="66"/>
      <c r="M337" s="67"/>
      <c r="N337" s="67"/>
      <c r="O337" s="67"/>
      <c r="P337" s="67"/>
      <c r="Q337" s="67"/>
      <c r="R337" s="67"/>
      <c r="S337" s="67"/>
    </row>
    <row r="338">
      <c r="B338" s="66"/>
      <c r="M338" s="67"/>
      <c r="N338" s="67"/>
      <c r="O338" s="67"/>
      <c r="P338" s="67"/>
      <c r="Q338" s="67"/>
      <c r="R338" s="67"/>
      <c r="S338" s="67"/>
    </row>
    <row r="339">
      <c r="B339" s="66"/>
      <c r="M339" s="67"/>
      <c r="N339" s="67"/>
      <c r="O339" s="67"/>
      <c r="P339" s="67"/>
      <c r="Q339" s="67"/>
      <c r="R339" s="67"/>
      <c r="S339" s="67"/>
    </row>
    <row r="340">
      <c r="B340" s="66"/>
      <c r="M340" s="67"/>
      <c r="N340" s="67"/>
      <c r="O340" s="67"/>
      <c r="P340" s="67"/>
      <c r="Q340" s="67"/>
      <c r="R340" s="67"/>
      <c r="S340" s="67"/>
    </row>
    <row r="341">
      <c r="B341" s="66"/>
      <c r="M341" s="67"/>
      <c r="N341" s="67"/>
      <c r="O341" s="67"/>
      <c r="P341" s="67"/>
      <c r="Q341" s="67"/>
      <c r="R341" s="67"/>
      <c r="S341" s="67"/>
    </row>
    <row r="342">
      <c r="B342" s="66"/>
      <c r="M342" s="67"/>
      <c r="N342" s="67"/>
      <c r="O342" s="67"/>
      <c r="P342" s="67"/>
      <c r="Q342" s="67"/>
      <c r="R342" s="67"/>
      <c r="S342" s="67"/>
    </row>
    <row r="343">
      <c r="B343" s="66"/>
      <c r="M343" s="67"/>
      <c r="N343" s="67"/>
      <c r="O343" s="67"/>
      <c r="P343" s="67"/>
      <c r="Q343" s="67"/>
      <c r="R343" s="67"/>
      <c r="S343" s="67"/>
    </row>
    <row r="344">
      <c r="B344" s="66"/>
      <c r="M344" s="67"/>
      <c r="N344" s="67"/>
      <c r="O344" s="67"/>
      <c r="P344" s="67"/>
      <c r="Q344" s="67"/>
      <c r="R344" s="67"/>
      <c r="S344" s="67"/>
    </row>
    <row r="345">
      <c r="B345" s="66"/>
      <c r="M345" s="67"/>
      <c r="N345" s="67"/>
      <c r="O345" s="67"/>
      <c r="P345" s="67"/>
      <c r="Q345" s="67"/>
      <c r="R345" s="67"/>
      <c r="S345" s="67"/>
    </row>
    <row r="346">
      <c r="B346" s="66"/>
      <c r="M346" s="67"/>
      <c r="N346" s="67"/>
      <c r="O346" s="67"/>
      <c r="P346" s="67"/>
      <c r="Q346" s="67"/>
      <c r="R346" s="67"/>
      <c r="S346" s="67"/>
    </row>
    <row r="347">
      <c r="B347" s="66"/>
      <c r="M347" s="67"/>
      <c r="N347" s="67"/>
      <c r="O347" s="67"/>
      <c r="P347" s="67"/>
      <c r="Q347" s="67"/>
      <c r="R347" s="67"/>
      <c r="S347" s="67"/>
    </row>
    <row r="348">
      <c r="B348" s="66"/>
      <c r="M348" s="67"/>
      <c r="N348" s="67"/>
      <c r="O348" s="67"/>
      <c r="P348" s="67"/>
      <c r="Q348" s="67"/>
      <c r="R348" s="67"/>
      <c r="S348" s="67"/>
    </row>
    <row r="349">
      <c r="B349" s="66"/>
      <c r="M349" s="67"/>
      <c r="N349" s="67"/>
      <c r="O349" s="67"/>
      <c r="P349" s="67"/>
      <c r="Q349" s="67"/>
      <c r="R349" s="67"/>
      <c r="S349" s="67"/>
    </row>
    <row r="350">
      <c r="B350" s="66"/>
      <c r="M350" s="67"/>
      <c r="N350" s="67"/>
      <c r="O350" s="67"/>
      <c r="P350" s="67"/>
      <c r="Q350" s="67"/>
      <c r="R350" s="67"/>
      <c r="S350" s="67"/>
    </row>
    <row r="351">
      <c r="B351" s="66"/>
      <c r="M351" s="67"/>
      <c r="N351" s="67"/>
      <c r="O351" s="67"/>
      <c r="P351" s="67"/>
      <c r="Q351" s="67"/>
      <c r="R351" s="67"/>
      <c r="S351" s="67"/>
    </row>
    <row r="352">
      <c r="B352" s="66"/>
      <c r="M352" s="67"/>
      <c r="N352" s="67"/>
      <c r="O352" s="67"/>
      <c r="P352" s="67"/>
      <c r="Q352" s="67"/>
      <c r="R352" s="67"/>
      <c r="S352" s="67"/>
    </row>
    <row r="353">
      <c r="B353" s="66"/>
      <c r="M353" s="67"/>
      <c r="N353" s="67"/>
      <c r="O353" s="67"/>
      <c r="P353" s="67"/>
      <c r="Q353" s="67"/>
      <c r="R353" s="67"/>
      <c r="S353" s="67"/>
    </row>
    <row r="354">
      <c r="B354" s="66"/>
      <c r="M354" s="67"/>
      <c r="N354" s="67"/>
      <c r="O354" s="67"/>
      <c r="P354" s="67"/>
      <c r="Q354" s="67"/>
      <c r="R354" s="67"/>
      <c r="S354" s="67"/>
    </row>
    <row r="355">
      <c r="B355" s="66"/>
      <c r="M355" s="67"/>
      <c r="N355" s="67"/>
      <c r="O355" s="67"/>
      <c r="P355" s="67"/>
      <c r="Q355" s="67"/>
      <c r="R355" s="67"/>
      <c r="S355" s="67"/>
    </row>
    <row r="356">
      <c r="B356" s="66"/>
      <c r="M356" s="67"/>
      <c r="N356" s="67"/>
      <c r="O356" s="67"/>
      <c r="P356" s="67"/>
      <c r="Q356" s="67"/>
      <c r="R356" s="67"/>
      <c r="S356" s="67"/>
    </row>
    <row r="357">
      <c r="B357" s="66"/>
      <c r="M357" s="67"/>
      <c r="N357" s="67"/>
      <c r="O357" s="67"/>
      <c r="P357" s="67"/>
      <c r="Q357" s="67"/>
      <c r="R357" s="67"/>
      <c r="S357" s="67"/>
    </row>
    <row r="358">
      <c r="B358" s="66"/>
      <c r="M358" s="67"/>
      <c r="N358" s="67"/>
      <c r="O358" s="67"/>
      <c r="P358" s="67"/>
      <c r="Q358" s="67"/>
      <c r="R358" s="67"/>
      <c r="S358" s="67"/>
    </row>
    <row r="359">
      <c r="B359" s="66"/>
      <c r="M359" s="67"/>
      <c r="N359" s="67"/>
      <c r="O359" s="67"/>
      <c r="P359" s="67"/>
      <c r="Q359" s="67"/>
      <c r="R359" s="67"/>
      <c r="S359" s="67"/>
    </row>
    <row r="360">
      <c r="B360" s="66"/>
      <c r="M360" s="67"/>
      <c r="N360" s="67"/>
      <c r="O360" s="67"/>
      <c r="P360" s="67"/>
      <c r="Q360" s="67"/>
      <c r="R360" s="67"/>
      <c r="S360" s="67"/>
    </row>
    <row r="361">
      <c r="B361" s="66"/>
      <c r="M361" s="67"/>
      <c r="N361" s="67"/>
      <c r="O361" s="67"/>
      <c r="P361" s="67"/>
      <c r="Q361" s="67"/>
      <c r="R361" s="67"/>
      <c r="S361" s="67"/>
    </row>
    <row r="362">
      <c r="B362" s="66"/>
      <c r="M362" s="67"/>
      <c r="N362" s="67"/>
      <c r="O362" s="67"/>
      <c r="P362" s="67"/>
      <c r="Q362" s="67"/>
      <c r="R362" s="67"/>
      <c r="S362" s="67"/>
    </row>
    <row r="363">
      <c r="B363" s="66"/>
      <c r="M363" s="67"/>
      <c r="N363" s="67"/>
      <c r="O363" s="67"/>
      <c r="P363" s="67"/>
      <c r="Q363" s="67"/>
      <c r="R363" s="67"/>
      <c r="S363" s="67"/>
    </row>
    <row r="364">
      <c r="B364" s="66"/>
      <c r="M364" s="67"/>
      <c r="N364" s="67"/>
      <c r="O364" s="67"/>
      <c r="P364" s="67"/>
      <c r="Q364" s="67"/>
      <c r="R364" s="67"/>
      <c r="S364" s="67"/>
    </row>
    <row r="365">
      <c r="B365" s="66"/>
      <c r="M365" s="67"/>
      <c r="N365" s="67"/>
      <c r="O365" s="67"/>
      <c r="P365" s="67"/>
      <c r="Q365" s="67"/>
      <c r="R365" s="67"/>
      <c r="S365" s="67"/>
    </row>
    <row r="366">
      <c r="B366" s="66"/>
      <c r="M366" s="67"/>
      <c r="N366" s="67"/>
      <c r="O366" s="67"/>
      <c r="P366" s="67"/>
      <c r="Q366" s="67"/>
      <c r="R366" s="67"/>
      <c r="S366" s="67"/>
    </row>
    <row r="367">
      <c r="B367" s="66"/>
      <c r="M367" s="67"/>
      <c r="N367" s="67"/>
      <c r="O367" s="67"/>
      <c r="P367" s="67"/>
      <c r="Q367" s="67"/>
      <c r="R367" s="67"/>
      <c r="S367" s="67"/>
    </row>
    <row r="368">
      <c r="B368" s="66"/>
      <c r="M368" s="67"/>
      <c r="N368" s="67"/>
      <c r="O368" s="67"/>
      <c r="P368" s="67"/>
      <c r="Q368" s="67"/>
      <c r="R368" s="67"/>
      <c r="S368" s="67"/>
    </row>
    <row r="369">
      <c r="B369" s="66"/>
      <c r="M369" s="67"/>
      <c r="N369" s="67"/>
      <c r="O369" s="67"/>
      <c r="P369" s="67"/>
      <c r="Q369" s="67"/>
      <c r="R369" s="67"/>
      <c r="S369" s="67"/>
    </row>
    <row r="370">
      <c r="B370" s="66"/>
      <c r="M370" s="67"/>
      <c r="N370" s="67"/>
      <c r="O370" s="67"/>
      <c r="P370" s="67"/>
      <c r="Q370" s="67"/>
      <c r="R370" s="67"/>
      <c r="S370" s="67"/>
    </row>
    <row r="371">
      <c r="B371" s="66"/>
      <c r="M371" s="67"/>
      <c r="N371" s="67"/>
      <c r="O371" s="67"/>
      <c r="P371" s="67"/>
      <c r="Q371" s="67"/>
      <c r="R371" s="67"/>
      <c r="S371" s="67"/>
    </row>
    <row r="372">
      <c r="B372" s="66"/>
      <c r="M372" s="67"/>
      <c r="N372" s="67"/>
      <c r="O372" s="67"/>
      <c r="P372" s="67"/>
      <c r="Q372" s="67"/>
      <c r="R372" s="67"/>
      <c r="S372" s="67"/>
    </row>
    <row r="373">
      <c r="B373" s="66"/>
      <c r="M373" s="67"/>
      <c r="N373" s="67"/>
      <c r="O373" s="67"/>
      <c r="P373" s="67"/>
      <c r="Q373" s="67"/>
      <c r="R373" s="67"/>
      <c r="S373" s="67"/>
    </row>
    <row r="374">
      <c r="B374" s="66"/>
      <c r="M374" s="67"/>
      <c r="N374" s="67"/>
      <c r="O374" s="67"/>
      <c r="P374" s="67"/>
      <c r="Q374" s="67"/>
      <c r="R374" s="67"/>
      <c r="S374" s="67"/>
    </row>
    <row r="375">
      <c r="B375" s="66"/>
      <c r="M375" s="67"/>
      <c r="N375" s="67"/>
      <c r="O375" s="67"/>
      <c r="P375" s="67"/>
      <c r="Q375" s="67"/>
      <c r="R375" s="67"/>
      <c r="S375" s="67"/>
    </row>
    <row r="376">
      <c r="B376" s="66"/>
      <c r="M376" s="67"/>
      <c r="N376" s="67"/>
      <c r="O376" s="67"/>
      <c r="P376" s="67"/>
      <c r="Q376" s="67"/>
      <c r="R376" s="67"/>
      <c r="S376" s="67"/>
    </row>
    <row r="377">
      <c r="B377" s="66"/>
      <c r="M377" s="67"/>
      <c r="N377" s="67"/>
      <c r="O377" s="67"/>
      <c r="P377" s="67"/>
      <c r="Q377" s="67"/>
      <c r="R377" s="67"/>
      <c r="S377" s="67"/>
    </row>
    <row r="378">
      <c r="B378" s="66"/>
      <c r="M378" s="67"/>
      <c r="N378" s="67"/>
      <c r="O378" s="67"/>
      <c r="P378" s="67"/>
      <c r="Q378" s="67"/>
      <c r="R378" s="67"/>
      <c r="S378" s="67"/>
    </row>
    <row r="379">
      <c r="B379" s="66"/>
      <c r="M379" s="67"/>
      <c r="N379" s="67"/>
      <c r="O379" s="67"/>
      <c r="P379" s="67"/>
      <c r="Q379" s="67"/>
      <c r="R379" s="67"/>
      <c r="S379" s="67"/>
    </row>
    <row r="380">
      <c r="B380" s="66"/>
      <c r="M380" s="67"/>
      <c r="N380" s="67"/>
      <c r="O380" s="67"/>
      <c r="P380" s="67"/>
      <c r="Q380" s="67"/>
      <c r="R380" s="67"/>
      <c r="S380" s="67"/>
    </row>
    <row r="381">
      <c r="B381" s="66"/>
      <c r="M381" s="67"/>
      <c r="N381" s="67"/>
      <c r="O381" s="67"/>
      <c r="P381" s="67"/>
      <c r="Q381" s="67"/>
      <c r="R381" s="67"/>
      <c r="S381" s="67"/>
    </row>
    <row r="382">
      <c r="B382" s="66"/>
      <c r="M382" s="67"/>
      <c r="N382" s="67"/>
      <c r="O382" s="67"/>
      <c r="P382" s="67"/>
      <c r="Q382" s="67"/>
      <c r="R382" s="67"/>
      <c r="S382" s="67"/>
    </row>
    <row r="383">
      <c r="B383" s="66"/>
      <c r="M383" s="67"/>
      <c r="N383" s="67"/>
      <c r="O383" s="67"/>
      <c r="P383" s="67"/>
      <c r="Q383" s="67"/>
      <c r="R383" s="67"/>
      <c r="S383" s="67"/>
    </row>
    <row r="384">
      <c r="B384" s="66"/>
      <c r="M384" s="67"/>
      <c r="N384" s="67"/>
      <c r="O384" s="67"/>
      <c r="P384" s="67"/>
      <c r="Q384" s="67"/>
      <c r="R384" s="67"/>
      <c r="S384" s="67"/>
    </row>
    <row r="385">
      <c r="B385" s="66"/>
      <c r="M385" s="67"/>
      <c r="N385" s="67"/>
      <c r="O385" s="67"/>
      <c r="P385" s="67"/>
      <c r="Q385" s="67"/>
      <c r="R385" s="67"/>
      <c r="S385" s="67"/>
    </row>
    <row r="386">
      <c r="B386" s="66"/>
      <c r="M386" s="67"/>
      <c r="N386" s="67"/>
      <c r="O386" s="67"/>
      <c r="P386" s="67"/>
      <c r="Q386" s="67"/>
      <c r="R386" s="67"/>
      <c r="S386" s="67"/>
    </row>
    <row r="387">
      <c r="B387" s="66"/>
      <c r="M387" s="67"/>
      <c r="N387" s="67"/>
      <c r="O387" s="67"/>
      <c r="P387" s="67"/>
      <c r="Q387" s="67"/>
      <c r="R387" s="67"/>
      <c r="S387" s="67"/>
    </row>
    <row r="388">
      <c r="B388" s="66"/>
      <c r="M388" s="67"/>
      <c r="N388" s="67"/>
      <c r="O388" s="67"/>
      <c r="P388" s="67"/>
      <c r="Q388" s="67"/>
      <c r="R388" s="67"/>
      <c r="S388" s="67"/>
    </row>
    <row r="389">
      <c r="B389" s="66"/>
      <c r="M389" s="67"/>
      <c r="N389" s="67"/>
      <c r="O389" s="67"/>
      <c r="P389" s="67"/>
      <c r="Q389" s="67"/>
      <c r="R389" s="67"/>
      <c r="S389" s="67"/>
    </row>
    <row r="390">
      <c r="B390" s="66"/>
      <c r="M390" s="67"/>
      <c r="N390" s="67"/>
      <c r="O390" s="67"/>
      <c r="P390" s="67"/>
      <c r="Q390" s="67"/>
      <c r="R390" s="67"/>
      <c r="S390" s="67"/>
    </row>
    <row r="391">
      <c r="B391" s="66"/>
      <c r="M391" s="67"/>
      <c r="N391" s="67"/>
      <c r="O391" s="67"/>
      <c r="P391" s="67"/>
      <c r="Q391" s="67"/>
      <c r="R391" s="67"/>
      <c r="S391" s="67"/>
    </row>
    <row r="392">
      <c r="B392" s="66"/>
      <c r="M392" s="67"/>
      <c r="N392" s="67"/>
      <c r="O392" s="67"/>
      <c r="P392" s="67"/>
      <c r="Q392" s="67"/>
      <c r="R392" s="67"/>
      <c r="S392" s="67"/>
    </row>
    <row r="393">
      <c r="B393" s="66"/>
      <c r="M393" s="67"/>
      <c r="N393" s="67"/>
      <c r="O393" s="67"/>
      <c r="P393" s="67"/>
      <c r="Q393" s="67"/>
      <c r="R393" s="67"/>
      <c r="S393" s="67"/>
    </row>
    <row r="394">
      <c r="B394" s="66"/>
      <c r="M394" s="67"/>
      <c r="N394" s="67"/>
      <c r="O394" s="67"/>
      <c r="P394" s="67"/>
      <c r="Q394" s="67"/>
      <c r="R394" s="67"/>
      <c r="S394" s="67"/>
    </row>
    <row r="395">
      <c r="B395" s="66"/>
      <c r="M395" s="67"/>
      <c r="N395" s="67"/>
      <c r="O395" s="67"/>
      <c r="P395" s="67"/>
      <c r="Q395" s="67"/>
      <c r="R395" s="67"/>
      <c r="S395" s="67"/>
    </row>
    <row r="396">
      <c r="B396" s="66"/>
      <c r="M396" s="67"/>
      <c r="N396" s="67"/>
      <c r="O396" s="67"/>
      <c r="P396" s="67"/>
      <c r="Q396" s="67"/>
      <c r="R396" s="67"/>
      <c r="S396" s="67"/>
    </row>
    <row r="397">
      <c r="B397" s="66"/>
      <c r="M397" s="67"/>
      <c r="N397" s="67"/>
      <c r="O397" s="67"/>
      <c r="P397" s="67"/>
      <c r="Q397" s="67"/>
      <c r="R397" s="67"/>
      <c r="S397" s="67"/>
    </row>
    <row r="398">
      <c r="B398" s="66"/>
      <c r="M398" s="67"/>
      <c r="N398" s="67"/>
      <c r="O398" s="67"/>
      <c r="P398" s="67"/>
      <c r="Q398" s="67"/>
      <c r="R398" s="67"/>
      <c r="S398" s="67"/>
    </row>
    <row r="399">
      <c r="B399" s="66"/>
      <c r="M399" s="67"/>
      <c r="N399" s="67"/>
      <c r="O399" s="67"/>
      <c r="P399" s="67"/>
      <c r="Q399" s="67"/>
      <c r="R399" s="67"/>
      <c r="S399" s="67"/>
    </row>
    <row r="400">
      <c r="B400" s="66"/>
      <c r="M400" s="67"/>
      <c r="N400" s="67"/>
      <c r="O400" s="67"/>
      <c r="P400" s="67"/>
      <c r="Q400" s="67"/>
      <c r="R400" s="67"/>
      <c r="S400" s="67"/>
    </row>
    <row r="401">
      <c r="B401" s="66"/>
      <c r="M401" s="67"/>
      <c r="N401" s="67"/>
      <c r="O401" s="67"/>
      <c r="P401" s="67"/>
      <c r="Q401" s="67"/>
      <c r="R401" s="67"/>
      <c r="S401" s="67"/>
    </row>
    <row r="402">
      <c r="B402" s="66"/>
      <c r="M402" s="67"/>
      <c r="N402" s="67"/>
      <c r="O402" s="67"/>
      <c r="P402" s="67"/>
      <c r="Q402" s="67"/>
      <c r="R402" s="67"/>
      <c r="S402" s="67"/>
    </row>
    <row r="403">
      <c r="B403" s="66"/>
      <c r="M403" s="67"/>
      <c r="N403" s="67"/>
      <c r="O403" s="67"/>
      <c r="P403" s="67"/>
      <c r="Q403" s="67"/>
      <c r="R403" s="67"/>
      <c r="S403" s="67"/>
    </row>
    <row r="404">
      <c r="B404" s="66"/>
      <c r="M404" s="67"/>
      <c r="N404" s="67"/>
      <c r="O404" s="67"/>
      <c r="P404" s="67"/>
      <c r="Q404" s="67"/>
      <c r="R404" s="67"/>
      <c r="S404" s="67"/>
    </row>
    <row r="405">
      <c r="B405" s="66"/>
      <c r="M405" s="67"/>
      <c r="N405" s="67"/>
      <c r="O405" s="67"/>
      <c r="P405" s="67"/>
      <c r="Q405" s="67"/>
      <c r="R405" s="67"/>
      <c r="S405" s="67"/>
    </row>
    <row r="406">
      <c r="B406" s="66"/>
      <c r="M406" s="67"/>
      <c r="N406" s="67"/>
      <c r="O406" s="67"/>
      <c r="P406" s="67"/>
      <c r="Q406" s="67"/>
      <c r="R406" s="67"/>
      <c r="S406" s="67"/>
    </row>
    <row r="407">
      <c r="B407" s="66"/>
      <c r="M407" s="67"/>
      <c r="N407" s="67"/>
      <c r="O407" s="67"/>
      <c r="P407" s="67"/>
      <c r="Q407" s="67"/>
      <c r="R407" s="67"/>
      <c r="S407" s="67"/>
    </row>
    <row r="408">
      <c r="B408" s="66"/>
      <c r="M408" s="67"/>
      <c r="N408" s="67"/>
      <c r="O408" s="67"/>
      <c r="P408" s="67"/>
      <c r="Q408" s="67"/>
      <c r="R408" s="67"/>
      <c r="S408" s="67"/>
    </row>
    <row r="409">
      <c r="B409" s="66"/>
      <c r="M409" s="67"/>
      <c r="N409" s="67"/>
      <c r="O409" s="67"/>
      <c r="P409" s="67"/>
      <c r="Q409" s="67"/>
      <c r="R409" s="67"/>
      <c r="S409" s="67"/>
    </row>
    <row r="410">
      <c r="B410" s="66"/>
      <c r="M410" s="67"/>
      <c r="N410" s="67"/>
      <c r="O410" s="67"/>
      <c r="P410" s="67"/>
      <c r="Q410" s="67"/>
      <c r="R410" s="67"/>
      <c r="S410" s="67"/>
    </row>
    <row r="411">
      <c r="B411" s="66"/>
      <c r="M411" s="67"/>
      <c r="N411" s="67"/>
      <c r="O411" s="67"/>
      <c r="P411" s="67"/>
      <c r="Q411" s="67"/>
      <c r="R411" s="67"/>
      <c r="S411" s="67"/>
    </row>
    <row r="412">
      <c r="B412" s="66"/>
      <c r="M412" s="67"/>
      <c r="N412" s="67"/>
      <c r="O412" s="67"/>
      <c r="P412" s="67"/>
      <c r="Q412" s="67"/>
      <c r="R412" s="67"/>
      <c r="S412" s="67"/>
    </row>
    <row r="413">
      <c r="B413" s="66"/>
      <c r="M413" s="67"/>
      <c r="N413" s="67"/>
      <c r="O413" s="67"/>
      <c r="P413" s="67"/>
      <c r="Q413" s="67"/>
      <c r="R413" s="67"/>
      <c r="S413" s="67"/>
    </row>
    <row r="414">
      <c r="B414" s="66"/>
      <c r="M414" s="67"/>
      <c r="N414" s="67"/>
      <c r="O414" s="67"/>
      <c r="P414" s="67"/>
      <c r="Q414" s="67"/>
      <c r="R414" s="67"/>
      <c r="S414" s="67"/>
    </row>
    <row r="415">
      <c r="B415" s="66"/>
      <c r="M415" s="67"/>
      <c r="N415" s="67"/>
      <c r="O415" s="67"/>
      <c r="P415" s="67"/>
      <c r="Q415" s="67"/>
      <c r="R415" s="67"/>
      <c r="S415" s="67"/>
    </row>
    <row r="416">
      <c r="B416" s="66"/>
      <c r="M416" s="67"/>
      <c r="N416" s="67"/>
      <c r="O416" s="67"/>
      <c r="P416" s="67"/>
      <c r="Q416" s="67"/>
      <c r="R416" s="67"/>
      <c r="S416" s="67"/>
    </row>
    <row r="417">
      <c r="B417" s="66"/>
      <c r="M417" s="67"/>
      <c r="N417" s="67"/>
      <c r="O417" s="67"/>
      <c r="P417" s="67"/>
      <c r="Q417" s="67"/>
      <c r="R417" s="67"/>
      <c r="S417" s="67"/>
    </row>
    <row r="418">
      <c r="B418" s="66"/>
      <c r="M418" s="67"/>
      <c r="N418" s="67"/>
      <c r="O418" s="67"/>
      <c r="P418" s="67"/>
      <c r="Q418" s="67"/>
      <c r="R418" s="67"/>
      <c r="S418" s="67"/>
    </row>
    <row r="419">
      <c r="B419" s="66"/>
      <c r="M419" s="67"/>
      <c r="N419" s="67"/>
      <c r="O419" s="67"/>
      <c r="P419" s="67"/>
      <c r="Q419" s="67"/>
      <c r="R419" s="67"/>
      <c r="S419" s="67"/>
    </row>
    <row r="420">
      <c r="B420" s="66"/>
      <c r="M420" s="67"/>
      <c r="N420" s="67"/>
      <c r="O420" s="67"/>
      <c r="P420" s="67"/>
      <c r="Q420" s="67"/>
      <c r="R420" s="67"/>
      <c r="S420" s="67"/>
    </row>
    <row r="421">
      <c r="B421" s="66"/>
      <c r="M421" s="67"/>
      <c r="N421" s="67"/>
      <c r="O421" s="67"/>
      <c r="P421" s="67"/>
      <c r="Q421" s="67"/>
      <c r="R421" s="67"/>
      <c r="S421" s="67"/>
    </row>
    <row r="422">
      <c r="B422" s="66"/>
      <c r="M422" s="67"/>
      <c r="N422" s="67"/>
      <c r="O422" s="67"/>
      <c r="P422" s="67"/>
      <c r="Q422" s="67"/>
      <c r="R422" s="67"/>
      <c r="S422" s="67"/>
    </row>
    <row r="423">
      <c r="B423" s="66"/>
      <c r="M423" s="67"/>
      <c r="N423" s="67"/>
      <c r="O423" s="67"/>
      <c r="P423" s="67"/>
      <c r="Q423" s="67"/>
      <c r="R423" s="67"/>
      <c r="S423" s="67"/>
    </row>
    <row r="424">
      <c r="B424" s="66"/>
      <c r="M424" s="67"/>
      <c r="N424" s="67"/>
      <c r="O424" s="67"/>
      <c r="P424" s="67"/>
      <c r="Q424" s="67"/>
      <c r="R424" s="67"/>
      <c r="S424" s="67"/>
    </row>
    <row r="425">
      <c r="B425" s="66"/>
      <c r="M425" s="67"/>
      <c r="N425" s="67"/>
      <c r="O425" s="67"/>
      <c r="P425" s="67"/>
      <c r="Q425" s="67"/>
      <c r="R425" s="67"/>
      <c r="S425" s="67"/>
    </row>
    <row r="426">
      <c r="B426" s="66"/>
      <c r="M426" s="67"/>
      <c r="N426" s="67"/>
      <c r="O426" s="67"/>
      <c r="P426" s="67"/>
      <c r="Q426" s="67"/>
      <c r="R426" s="67"/>
      <c r="S426" s="67"/>
    </row>
    <row r="427">
      <c r="B427" s="66"/>
      <c r="M427" s="67"/>
      <c r="N427" s="67"/>
      <c r="O427" s="67"/>
      <c r="P427" s="67"/>
      <c r="Q427" s="67"/>
      <c r="R427" s="67"/>
      <c r="S427" s="67"/>
    </row>
    <row r="428">
      <c r="B428" s="66"/>
      <c r="M428" s="67"/>
      <c r="N428" s="67"/>
      <c r="O428" s="67"/>
      <c r="P428" s="67"/>
      <c r="Q428" s="67"/>
      <c r="R428" s="67"/>
      <c r="S428" s="67"/>
    </row>
    <row r="429">
      <c r="B429" s="66"/>
      <c r="M429" s="67"/>
      <c r="N429" s="67"/>
      <c r="O429" s="67"/>
      <c r="P429" s="67"/>
      <c r="Q429" s="67"/>
      <c r="R429" s="67"/>
      <c r="S429" s="67"/>
    </row>
    <row r="430">
      <c r="B430" s="66"/>
      <c r="M430" s="67"/>
      <c r="N430" s="67"/>
      <c r="O430" s="67"/>
      <c r="P430" s="67"/>
      <c r="Q430" s="67"/>
      <c r="R430" s="67"/>
      <c r="S430" s="67"/>
    </row>
    <row r="431">
      <c r="B431" s="66"/>
      <c r="M431" s="67"/>
      <c r="N431" s="67"/>
      <c r="O431" s="67"/>
      <c r="P431" s="67"/>
      <c r="Q431" s="67"/>
      <c r="R431" s="67"/>
      <c r="S431" s="67"/>
    </row>
    <row r="432">
      <c r="B432" s="66"/>
      <c r="M432" s="67"/>
      <c r="N432" s="67"/>
      <c r="O432" s="67"/>
      <c r="P432" s="67"/>
      <c r="Q432" s="67"/>
      <c r="R432" s="67"/>
      <c r="S432" s="67"/>
    </row>
    <row r="433">
      <c r="B433" s="66"/>
      <c r="M433" s="67"/>
      <c r="N433" s="67"/>
      <c r="O433" s="67"/>
      <c r="P433" s="67"/>
      <c r="Q433" s="67"/>
      <c r="R433" s="67"/>
      <c r="S433" s="67"/>
    </row>
    <row r="434">
      <c r="B434" s="66"/>
      <c r="M434" s="67"/>
      <c r="N434" s="67"/>
      <c r="O434" s="67"/>
      <c r="P434" s="67"/>
      <c r="Q434" s="67"/>
      <c r="R434" s="67"/>
      <c r="S434" s="67"/>
    </row>
    <row r="435">
      <c r="B435" s="66"/>
      <c r="M435" s="67"/>
      <c r="N435" s="67"/>
      <c r="O435" s="67"/>
      <c r="P435" s="67"/>
      <c r="Q435" s="67"/>
      <c r="R435" s="67"/>
      <c r="S435" s="67"/>
    </row>
    <row r="436">
      <c r="B436" s="66"/>
      <c r="M436" s="67"/>
      <c r="N436" s="67"/>
      <c r="O436" s="67"/>
      <c r="P436" s="67"/>
      <c r="Q436" s="67"/>
      <c r="R436" s="67"/>
      <c r="S436" s="67"/>
    </row>
    <row r="437">
      <c r="B437" s="66"/>
      <c r="M437" s="67"/>
      <c r="N437" s="67"/>
      <c r="O437" s="67"/>
      <c r="P437" s="67"/>
      <c r="Q437" s="67"/>
      <c r="R437" s="67"/>
      <c r="S437" s="67"/>
    </row>
    <row r="438">
      <c r="B438" s="66"/>
      <c r="M438" s="67"/>
      <c r="N438" s="67"/>
      <c r="O438" s="67"/>
      <c r="P438" s="67"/>
      <c r="Q438" s="67"/>
      <c r="R438" s="67"/>
      <c r="S438" s="67"/>
    </row>
    <row r="439">
      <c r="B439" s="66"/>
      <c r="M439" s="67"/>
      <c r="N439" s="67"/>
      <c r="O439" s="67"/>
      <c r="P439" s="67"/>
      <c r="Q439" s="67"/>
      <c r="R439" s="67"/>
      <c r="S439" s="67"/>
    </row>
    <row r="440">
      <c r="B440" s="66"/>
      <c r="M440" s="67"/>
      <c r="N440" s="67"/>
      <c r="O440" s="67"/>
      <c r="P440" s="67"/>
      <c r="Q440" s="67"/>
      <c r="R440" s="67"/>
      <c r="S440" s="67"/>
    </row>
    <row r="441">
      <c r="B441" s="66"/>
      <c r="M441" s="67"/>
      <c r="N441" s="67"/>
      <c r="O441" s="67"/>
      <c r="P441" s="67"/>
      <c r="Q441" s="67"/>
      <c r="R441" s="67"/>
      <c r="S441" s="67"/>
    </row>
    <row r="442">
      <c r="B442" s="66"/>
      <c r="M442" s="67"/>
      <c r="N442" s="67"/>
      <c r="O442" s="67"/>
      <c r="P442" s="67"/>
      <c r="Q442" s="67"/>
      <c r="R442" s="67"/>
      <c r="S442" s="67"/>
    </row>
    <row r="443">
      <c r="B443" s="66"/>
      <c r="M443" s="67"/>
      <c r="N443" s="67"/>
      <c r="O443" s="67"/>
      <c r="P443" s="67"/>
      <c r="Q443" s="67"/>
      <c r="R443" s="67"/>
      <c r="S443" s="67"/>
    </row>
    <row r="444">
      <c r="B444" s="66"/>
      <c r="M444" s="67"/>
      <c r="N444" s="67"/>
      <c r="O444" s="67"/>
      <c r="P444" s="67"/>
      <c r="Q444" s="67"/>
      <c r="R444" s="67"/>
      <c r="S444" s="67"/>
    </row>
    <row r="445">
      <c r="B445" s="66"/>
      <c r="M445" s="67"/>
      <c r="N445" s="67"/>
      <c r="O445" s="67"/>
      <c r="P445" s="67"/>
      <c r="Q445" s="67"/>
      <c r="R445" s="67"/>
      <c r="S445" s="67"/>
    </row>
    <row r="446">
      <c r="B446" s="66"/>
      <c r="M446" s="67"/>
      <c r="N446" s="67"/>
      <c r="O446" s="67"/>
      <c r="P446" s="67"/>
      <c r="Q446" s="67"/>
      <c r="R446" s="67"/>
      <c r="S446" s="67"/>
    </row>
    <row r="447">
      <c r="B447" s="66"/>
      <c r="M447" s="67"/>
      <c r="N447" s="67"/>
      <c r="O447" s="67"/>
      <c r="P447" s="67"/>
      <c r="Q447" s="67"/>
      <c r="R447" s="67"/>
      <c r="S447" s="67"/>
    </row>
    <row r="448">
      <c r="B448" s="66"/>
      <c r="M448" s="67"/>
      <c r="N448" s="67"/>
      <c r="O448" s="67"/>
      <c r="P448" s="67"/>
      <c r="Q448" s="67"/>
      <c r="R448" s="67"/>
      <c r="S448" s="67"/>
    </row>
    <row r="449">
      <c r="B449" s="66"/>
      <c r="M449" s="67"/>
      <c r="N449" s="67"/>
      <c r="O449" s="67"/>
      <c r="P449" s="67"/>
      <c r="Q449" s="67"/>
      <c r="R449" s="67"/>
      <c r="S449" s="67"/>
    </row>
    <row r="450">
      <c r="B450" s="66"/>
      <c r="M450" s="67"/>
      <c r="N450" s="67"/>
      <c r="O450" s="67"/>
      <c r="P450" s="67"/>
      <c r="Q450" s="67"/>
      <c r="R450" s="67"/>
      <c r="S450" s="67"/>
    </row>
    <row r="451">
      <c r="B451" s="66"/>
      <c r="M451" s="67"/>
      <c r="N451" s="67"/>
      <c r="O451" s="67"/>
      <c r="P451" s="67"/>
      <c r="Q451" s="67"/>
      <c r="R451" s="67"/>
      <c r="S451" s="67"/>
    </row>
    <row r="452">
      <c r="B452" s="66"/>
      <c r="M452" s="67"/>
      <c r="N452" s="67"/>
      <c r="O452" s="67"/>
      <c r="P452" s="67"/>
      <c r="Q452" s="67"/>
      <c r="R452" s="67"/>
      <c r="S452" s="67"/>
    </row>
    <row r="453">
      <c r="B453" s="66"/>
      <c r="M453" s="67"/>
      <c r="N453" s="67"/>
      <c r="O453" s="67"/>
      <c r="P453" s="67"/>
      <c r="Q453" s="67"/>
      <c r="R453" s="67"/>
      <c r="S453" s="67"/>
    </row>
    <row r="454">
      <c r="B454" s="66"/>
      <c r="M454" s="67"/>
      <c r="N454" s="67"/>
      <c r="O454" s="67"/>
      <c r="P454" s="67"/>
      <c r="Q454" s="67"/>
      <c r="R454" s="67"/>
      <c r="S454" s="67"/>
    </row>
    <row r="455">
      <c r="B455" s="66"/>
      <c r="M455" s="67"/>
      <c r="N455" s="67"/>
      <c r="O455" s="67"/>
      <c r="P455" s="67"/>
      <c r="Q455" s="67"/>
      <c r="R455" s="67"/>
      <c r="S455" s="67"/>
    </row>
    <row r="456">
      <c r="B456" s="66"/>
      <c r="M456" s="67"/>
      <c r="N456" s="67"/>
      <c r="O456" s="67"/>
      <c r="P456" s="67"/>
      <c r="Q456" s="67"/>
      <c r="R456" s="67"/>
      <c r="S456" s="67"/>
    </row>
    <row r="457">
      <c r="B457" s="66"/>
      <c r="M457" s="67"/>
      <c r="N457" s="67"/>
      <c r="O457" s="67"/>
      <c r="P457" s="67"/>
      <c r="Q457" s="67"/>
      <c r="R457" s="67"/>
      <c r="S457" s="67"/>
    </row>
    <row r="458">
      <c r="B458" s="66"/>
      <c r="M458" s="67"/>
      <c r="N458" s="67"/>
      <c r="O458" s="67"/>
      <c r="P458" s="67"/>
      <c r="Q458" s="67"/>
      <c r="R458" s="67"/>
      <c r="S458" s="67"/>
    </row>
    <row r="459">
      <c r="B459" s="66"/>
      <c r="M459" s="67"/>
      <c r="N459" s="67"/>
      <c r="O459" s="67"/>
      <c r="P459" s="67"/>
      <c r="Q459" s="67"/>
      <c r="R459" s="67"/>
      <c r="S459" s="67"/>
    </row>
    <row r="460">
      <c r="B460" s="66"/>
      <c r="M460" s="67"/>
      <c r="N460" s="67"/>
      <c r="O460" s="67"/>
      <c r="P460" s="67"/>
      <c r="Q460" s="67"/>
      <c r="R460" s="67"/>
      <c r="S460" s="67"/>
    </row>
    <row r="461">
      <c r="B461" s="66"/>
      <c r="M461" s="67"/>
      <c r="N461" s="67"/>
      <c r="O461" s="67"/>
      <c r="P461" s="67"/>
      <c r="Q461" s="67"/>
      <c r="R461" s="67"/>
      <c r="S461" s="67"/>
    </row>
    <row r="462">
      <c r="B462" s="66"/>
      <c r="M462" s="67"/>
      <c r="N462" s="67"/>
      <c r="O462" s="67"/>
      <c r="P462" s="67"/>
      <c r="Q462" s="67"/>
      <c r="R462" s="67"/>
      <c r="S462" s="67"/>
    </row>
    <row r="463">
      <c r="B463" s="66"/>
      <c r="M463" s="67"/>
      <c r="N463" s="67"/>
      <c r="O463" s="67"/>
      <c r="P463" s="67"/>
      <c r="Q463" s="67"/>
      <c r="R463" s="67"/>
      <c r="S463" s="67"/>
    </row>
    <row r="464">
      <c r="B464" s="66"/>
      <c r="M464" s="67"/>
      <c r="N464" s="67"/>
      <c r="O464" s="67"/>
      <c r="P464" s="67"/>
      <c r="Q464" s="67"/>
      <c r="R464" s="67"/>
      <c r="S464" s="67"/>
    </row>
    <row r="465">
      <c r="B465" s="66"/>
      <c r="M465" s="67"/>
      <c r="N465" s="67"/>
      <c r="O465" s="67"/>
      <c r="P465" s="67"/>
      <c r="Q465" s="67"/>
      <c r="R465" s="67"/>
      <c r="S465" s="67"/>
    </row>
    <row r="466">
      <c r="B466" s="66"/>
      <c r="M466" s="67"/>
      <c r="N466" s="67"/>
      <c r="O466" s="67"/>
      <c r="P466" s="67"/>
      <c r="Q466" s="67"/>
      <c r="R466" s="67"/>
      <c r="S466" s="67"/>
    </row>
    <row r="467">
      <c r="B467" s="66"/>
      <c r="M467" s="67"/>
      <c r="N467" s="67"/>
      <c r="O467" s="67"/>
      <c r="P467" s="67"/>
      <c r="Q467" s="67"/>
      <c r="R467" s="67"/>
      <c r="S467" s="67"/>
    </row>
    <row r="468">
      <c r="B468" s="66"/>
      <c r="M468" s="67"/>
      <c r="N468" s="67"/>
      <c r="O468" s="67"/>
      <c r="P468" s="67"/>
      <c r="Q468" s="67"/>
      <c r="R468" s="67"/>
      <c r="S468" s="67"/>
    </row>
    <row r="469">
      <c r="B469" s="66"/>
      <c r="M469" s="67"/>
      <c r="N469" s="67"/>
      <c r="O469" s="67"/>
      <c r="P469" s="67"/>
      <c r="Q469" s="67"/>
      <c r="R469" s="67"/>
      <c r="S469" s="67"/>
    </row>
    <row r="470">
      <c r="B470" s="66"/>
      <c r="M470" s="67"/>
      <c r="N470" s="67"/>
      <c r="O470" s="67"/>
      <c r="P470" s="67"/>
      <c r="Q470" s="67"/>
      <c r="R470" s="67"/>
      <c r="S470" s="67"/>
    </row>
    <row r="471">
      <c r="B471" s="66"/>
      <c r="M471" s="67"/>
      <c r="N471" s="67"/>
      <c r="O471" s="67"/>
      <c r="P471" s="67"/>
      <c r="Q471" s="67"/>
      <c r="R471" s="67"/>
      <c r="S471" s="67"/>
    </row>
    <row r="472">
      <c r="B472" s="66"/>
      <c r="M472" s="67"/>
      <c r="N472" s="67"/>
      <c r="O472" s="67"/>
      <c r="P472" s="67"/>
      <c r="Q472" s="67"/>
      <c r="R472" s="67"/>
      <c r="S472" s="67"/>
    </row>
    <row r="473">
      <c r="B473" s="66"/>
      <c r="M473" s="67"/>
      <c r="N473" s="67"/>
      <c r="O473" s="67"/>
      <c r="P473" s="67"/>
      <c r="Q473" s="67"/>
      <c r="R473" s="67"/>
      <c r="S473" s="67"/>
    </row>
    <row r="474">
      <c r="B474" s="66"/>
      <c r="M474" s="67"/>
      <c r="N474" s="67"/>
      <c r="O474" s="67"/>
      <c r="P474" s="67"/>
      <c r="Q474" s="67"/>
      <c r="R474" s="67"/>
      <c r="S474" s="67"/>
    </row>
    <row r="475">
      <c r="B475" s="66"/>
      <c r="M475" s="67"/>
      <c r="N475" s="67"/>
      <c r="O475" s="67"/>
      <c r="P475" s="67"/>
      <c r="Q475" s="67"/>
      <c r="R475" s="67"/>
      <c r="S475" s="67"/>
    </row>
    <row r="476">
      <c r="B476" s="66"/>
      <c r="M476" s="67"/>
      <c r="N476" s="67"/>
      <c r="O476" s="67"/>
      <c r="P476" s="67"/>
      <c r="Q476" s="67"/>
      <c r="R476" s="67"/>
      <c r="S476" s="67"/>
    </row>
    <row r="477">
      <c r="B477" s="66"/>
      <c r="M477" s="67"/>
      <c r="N477" s="67"/>
      <c r="O477" s="67"/>
      <c r="P477" s="67"/>
      <c r="Q477" s="67"/>
      <c r="R477" s="67"/>
      <c r="S477" s="67"/>
    </row>
    <row r="478">
      <c r="B478" s="66"/>
      <c r="M478" s="67"/>
      <c r="N478" s="67"/>
      <c r="O478" s="67"/>
      <c r="P478" s="67"/>
      <c r="Q478" s="67"/>
      <c r="R478" s="67"/>
      <c r="S478" s="67"/>
    </row>
    <row r="479">
      <c r="B479" s="66"/>
      <c r="M479" s="67"/>
      <c r="N479" s="67"/>
      <c r="O479" s="67"/>
      <c r="P479" s="67"/>
      <c r="Q479" s="67"/>
      <c r="R479" s="67"/>
      <c r="S479" s="67"/>
    </row>
    <row r="480">
      <c r="B480" s="66"/>
      <c r="M480" s="67"/>
      <c r="N480" s="67"/>
      <c r="O480" s="67"/>
      <c r="P480" s="67"/>
      <c r="Q480" s="67"/>
      <c r="R480" s="67"/>
      <c r="S480" s="67"/>
    </row>
    <row r="481">
      <c r="B481" s="66"/>
      <c r="M481" s="67"/>
      <c r="N481" s="67"/>
      <c r="O481" s="67"/>
      <c r="P481" s="67"/>
      <c r="Q481" s="67"/>
      <c r="R481" s="67"/>
      <c r="S481" s="67"/>
    </row>
    <row r="482">
      <c r="B482" s="66"/>
      <c r="M482" s="67"/>
      <c r="N482" s="67"/>
      <c r="O482" s="67"/>
      <c r="P482" s="67"/>
      <c r="Q482" s="67"/>
      <c r="R482" s="67"/>
      <c r="S482" s="67"/>
    </row>
    <row r="483">
      <c r="B483" s="66"/>
      <c r="M483" s="67"/>
      <c r="N483" s="67"/>
      <c r="O483" s="67"/>
      <c r="P483" s="67"/>
      <c r="Q483" s="67"/>
      <c r="R483" s="67"/>
      <c r="S483" s="67"/>
    </row>
    <row r="484">
      <c r="B484" s="66"/>
      <c r="M484" s="67"/>
      <c r="N484" s="67"/>
      <c r="O484" s="67"/>
      <c r="P484" s="67"/>
      <c r="Q484" s="67"/>
      <c r="R484" s="67"/>
      <c r="S484" s="67"/>
    </row>
    <row r="485">
      <c r="B485" s="66"/>
      <c r="M485" s="67"/>
      <c r="N485" s="67"/>
      <c r="O485" s="67"/>
      <c r="P485" s="67"/>
      <c r="Q485" s="67"/>
      <c r="R485" s="67"/>
      <c r="S485" s="67"/>
    </row>
    <row r="486">
      <c r="B486" s="66"/>
      <c r="M486" s="67"/>
      <c r="N486" s="67"/>
      <c r="O486" s="67"/>
      <c r="P486" s="67"/>
      <c r="Q486" s="67"/>
      <c r="R486" s="67"/>
      <c r="S486" s="67"/>
    </row>
    <row r="487">
      <c r="B487" s="66"/>
      <c r="M487" s="67"/>
      <c r="N487" s="67"/>
      <c r="O487" s="67"/>
      <c r="P487" s="67"/>
      <c r="Q487" s="67"/>
      <c r="R487" s="67"/>
      <c r="S487" s="67"/>
    </row>
    <row r="488">
      <c r="B488" s="66"/>
      <c r="M488" s="67"/>
      <c r="N488" s="67"/>
      <c r="O488" s="67"/>
      <c r="P488" s="67"/>
      <c r="Q488" s="67"/>
      <c r="R488" s="67"/>
      <c r="S488" s="67"/>
    </row>
    <row r="489">
      <c r="B489" s="66"/>
      <c r="M489" s="67"/>
      <c r="N489" s="67"/>
      <c r="O489" s="67"/>
      <c r="P489" s="67"/>
      <c r="Q489" s="67"/>
      <c r="R489" s="67"/>
      <c r="S489" s="67"/>
    </row>
    <row r="490">
      <c r="B490" s="66"/>
      <c r="M490" s="67"/>
      <c r="N490" s="67"/>
      <c r="O490" s="67"/>
      <c r="P490" s="67"/>
      <c r="Q490" s="67"/>
      <c r="R490" s="67"/>
      <c r="S490" s="67"/>
    </row>
    <row r="491">
      <c r="B491" s="66"/>
      <c r="M491" s="67"/>
      <c r="N491" s="67"/>
      <c r="O491" s="67"/>
      <c r="P491" s="67"/>
      <c r="Q491" s="67"/>
      <c r="R491" s="67"/>
      <c r="S491" s="67"/>
    </row>
    <row r="492">
      <c r="B492" s="66"/>
      <c r="M492" s="67"/>
      <c r="N492" s="67"/>
      <c r="O492" s="67"/>
      <c r="P492" s="67"/>
      <c r="Q492" s="67"/>
      <c r="R492" s="67"/>
      <c r="S492" s="67"/>
    </row>
    <row r="493">
      <c r="B493" s="66"/>
      <c r="M493" s="67"/>
      <c r="N493" s="67"/>
      <c r="O493" s="67"/>
      <c r="P493" s="67"/>
      <c r="Q493" s="67"/>
      <c r="R493" s="67"/>
      <c r="S493" s="67"/>
    </row>
    <row r="494">
      <c r="B494" s="66"/>
      <c r="M494" s="67"/>
      <c r="N494" s="67"/>
      <c r="O494" s="67"/>
      <c r="P494" s="67"/>
      <c r="Q494" s="67"/>
      <c r="R494" s="67"/>
      <c r="S494" s="67"/>
    </row>
    <row r="495">
      <c r="B495" s="66"/>
      <c r="M495" s="67"/>
      <c r="N495" s="67"/>
      <c r="O495" s="67"/>
      <c r="P495" s="67"/>
      <c r="Q495" s="67"/>
      <c r="R495" s="67"/>
      <c r="S495" s="67"/>
    </row>
    <row r="496">
      <c r="B496" s="66"/>
      <c r="M496" s="67"/>
      <c r="N496" s="67"/>
      <c r="O496" s="67"/>
      <c r="P496" s="67"/>
      <c r="Q496" s="67"/>
      <c r="R496" s="67"/>
      <c r="S496" s="67"/>
    </row>
    <row r="497">
      <c r="B497" s="66"/>
      <c r="M497" s="67"/>
      <c r="N497" s="67"/>
      <c r="O497" s="67"/>
      <c r="P497" s="67"/>
      <c r="Q497" s="67"/>
      <c r="R497" s="67"/>
      <c r="S497" s="67"/>
    </row>
    <row r="498">
      <c r="B498" s="66"/>
      <c r="M498" s="67"/>
      <c r="N498" s="67"/>
      <c r="O498" s="67"/>
      <c r="P498" s="67"/>
      <c r="Q498" s="67"/>
      <c r="R498" s="67"/>
      <c r="S498" s="67"/>
    </row>
    <row r="499">
      <c r="B499" s="66"/>
      <c r="M499" s="67"/>
      <c r="N499" s="67"/>
      <c r="O499" s="67"/>
      <c r="P499" s="67"/>
      <c r="Q499" s="67"/>
      <c r="R499" s="67"/>
      <c r="S499" s="67"/>
    </row>
    <row r="500">
      <c r="B500" s="66"/>
      <c r="M500" s="67"/>
      <c r="N500" s="67"/>
      <c r="O500" s="67"/>
      <c r="P500" s="67"/>
      <c r="Q500" s="67"/>
      <c r="R500" s="67"/>
      <c r="S500" s="67"/>
    </row>
    <row r="501">
      <c r="B501" s="66"/>
      <c r="M501" s="67"/>
      <c r="N501" s="67"/>
      <c r="O501" s="67"/>
      <c r="P501" s="67"/>
      <c r="Q501" s="67"/>
      <c r="R501" s="67"/>
      <c r="S501" s="67"/>
    </row>
    <row r="502">
      <c r="B502" s="66"/>
      <c r="M502" s="67"/>
      <c r="N502" s="67"/>
      <c r="O502" s="67"/>
      <c r="P502" s="67"/>
      <c r="Q502" s="67"/>
      <c r="R502" s="67"/>
      <c r="S502" s="67"/>
    </row>
    <row r="503">
      <c r="B503" s="66"/>
      <c r="M503" s="67"/>
      <c r="N503" s="67"/>
      <c r="O503" s="67"/>
      <c r="P503" s="67"/>
      <c r="Q503" s="67"/>
      <c r="R503" s="67"/>
      <c r="S503" s="67"/>
    </row>
    <row r="504">
      <c r="B504" s="66"/>
      <c r="M504" s="67"/>
      <c r="N504" s="67"/>
      <c r="O504" s="67"/>
      <c r="P504" s="67"/>
      <c r="Q504" s="67"/>
      <c r="R504" s="67"/>
      <c r="S504" s="67"/>
    </row>
    <row r="505">
      <c r="B505" s="66"/>
      <c r="M505" s="67"/>
      <c r="N505" s="67"/>
      <c r="O505" s="67"/>
      <c r="P505" s="67"/>
      <c r="Q505" s="67"/>
      <c r="R505" s="67"/>
      <c r="S505" s="67"/>
    </row>
    <row r="506">
      <c r="B506" s="66"/>
      <c r="M506" s="67"/>
      <c r="N506" s="67"/>
      <c r="O506" s="67"/>
      <c r="P506" s="67"/>
      <c r="Q506" s="67"/>
      <c r="R506" s="67"/>
      <c r="S506" s="67"/>
    </row>
    <row r="507">
      <c r="B507" s="66"/>
      <c r="M507" s="67"/>
      <c r="N507" s="67"/>
      <c r="O507" s="67"/>
      <c r="P507" s="67"/>
      <c r="Q507" s="67"/>
      <c r="R507" s="67"/>
      <c r="S507" s="67"/>
    </row>
    <row r="508">
      <c r="B508" s="66"/>
      <c r="M508" s="67"/>
      <c r="N508" s="67"/>
      <c r="O508" s="67"/>
      <c r="P508" s="67"/>
      <c r="Q508" s="67"/>
      <c r="R508" s="67"/>
      <c r="S508" s="67"/>
    </row>
    <row r="509">
      <c r="B509" s="66"/>
      <c r="M509" s="67"/>
      <c r="N509" s="67"/>
      <c r="O509" s="67"/>
      <c r="P509" s="67"/>
      <c r="Q509" s="67"/>
      <c r="R509" s="67"/>
      <c r="S509" s="67"/>
    </row>
    <row r="510">
      <c r="B510" s="66"/>
      <c r="M510" s="67"/>
      <c r="N510" s="67"/>
      <c r="O510" s="67"/>
      <c r="P510" s="67"/>
      <c r="Q510" s="67"/>
      <c r="R510" s="67"/>
      <c r="S510" s="67"/>
    </row>
    <row r="511">
      <c r="B511" s="66"/>
      <c r="M511" s="67"/>
      <c r="N511" s="67"/>
      <c r="O511" s="67"/>
      <c r="P511" s="67"/>
      <c r="Q511" s="67"/>
      <c r="R511" s="67"/>
      <c r="S511" s="67"/>
    </row>
    <row r="512">
      <c r="B512" s="66"/>
      <c r="M512" s="67"/>
      <c r="N512" s="67"/>
      <c r="O512" s="67"/>
      <c r="P512" s="67"/>
      <c r="Q512" s="67"/>
      <c r="R512" s="67"/>
      <c r="S512" s="67"/>
    </row>
    <row r="513">
      <c r="B513" s="66"/>
      <c r="M513" s="67"/>
      <c r="N513" s="67"/>
      <c r="O513" s="67"/>
      <c r="P513" s="67"/>
      <c r="Q513" s="67"/>
      <c r="R513" s="67"/>
      <c r="S513" s="67"/>
    </row>
    <row r="514">
      <c r="B514" s="66"/>
      <c r="M514" s="67"/>
      <c r="N514" s="67"/>
      <c r="O514" s="67"/>
      <c r="P514" s="67"/>
      <c r="Q514" s="67"/>
      <c r="R514" s="67"/>
      <c r="S514" s="67"/>
    </row>
    <row r="515">
      <c r="B515" s="66"/>
      <c r="M515" s="67"/>
      <c r="N515" s="67"/>
      <c r="O515" s="67"/>
      <c r="P515" s="67"/>
      <c r="Q515" s="67"/>
      <c r="R515" s="67"/>
      <c r="S515" s="67"/>
    </row>
    <row r="516">
      <c r="B516" s="66"/>
      <c r="M516" s="67"/>
      <c r="N516" s="67"/>
      <c r="O516" s="67"/>
      <c r="P516" s="67"/>
      <c r="Q516" s="67"/>
      <c r="R516" s="67"/>
      <c r="S516" s="67"/>
    </row>
    <row r="517">
      <c r="B517" s="66"/>
      <c r="M517" s="67"/>
      <c r="N517" s="67"/>
      <c r="O517" s="67"/>
      <c r="P517" s="67"/>
      <c r="Q517" s="67"/>
      <c r="R517" s="67"/>
      <c r="S517" s="67"/>
    </row>
    <row r="518">
      <c r="B518" s="66"/>
      <c r="M518" s="67"/>
      <c r="N518" s="67"/>
      <c r="O518" s="67"/>
      <c r="P518" s="67"/>
      <c r="Q518" s="67"/>
      <c r="R518" s="67"/>
      <c r="S518" s="67"/>
    </row>
    <row r="519">
      <c r="B519" s="66"/>
      <c r="M519" s="67"/>
      <c r="N519" s="67"/>
      <c r="O519" s="67"/>
      <c r="P519" s="67"/>
      <c r="Q519" s="67"/>
      <c r="R519" s="67"/>
      <c r="S519" s="67"/>
    </row>
    <row r="520">
      <c r="B520" s="66"/>
      <c r="M520" s="67"/>
      <c r="N520" s="67"/>
      <c r="O520" s="67"/>
      <c r="P520" s="67"/>
      <c r="Q520" s="67"/>
      <c r="R520" s="67"/>
      <c r="S520" s="67"/>
    </row>
    <row r="521">
      <c r="B521" s="66"/>
      <c r="M521" s="67"/>
      <c r="N521" s="67"/>
      <c r="O521" s="67"/>
      <c r="P521" s="67"/>
      <c r="Q521" s="67"/>
      <c r="R521" s="67"/>
      <c r="S521" s="67"/>
    </row>
    <row r="522">
      <c r="B522" s="66"/>
      <c r="M522" s="67"/>
      <c r="N522" s="67"/>
      <c r="O522" s="67"/>
      <c r="P522" s="67"/>
      <c r="Q522" s="67"/>
      <c r="R522" s="67"/>
      <c r="S522" s="67"/>
    </row>
    <row r="523">
      <c r="B523" s="66"/>
      <c r="M523" s="67"/>
      <c r="N523" s="67"/>
      <c r="O523" s="67"/>
      <c r="P523" s="67"/>
      <c r="Q523" s="67"/>
      <c r="R523" s="67"/>
      <c r="S523" s="67"/>
    </row>
    <row r="524">
      <c r="B524" s="66"/>
      <c r="M524" s="67"/>
      <c r="N524" s="67"/>
      <c r="O524" s="67"/>
      <c r="P524" s="67"/>
      <c r="Q524" s="67"/>
      <c r="R524" s="67"/>
      <c r="S524" s="67"/>
    </row>
    <row r="525">
      <c r="B525" s="66"/>
      <c r="M525" s="67"/>
      <c r="N525" s="67"/>
      <c r="O525" s="67"/>
      <c r="P525" s="67"/>
      <c r="Q525" s="67"/>
      <c r="R525" s="67"/>
      <c r="S525" s="67"/>
    </row>
    <row r="526">
      <c r="B526" s="66"/>
      <c r="M526" s="67"/>
      <c r="N526" s="67"/>
      <c r="O526" s="67"/>
      <c r="P526" s="67"/>
      <c r="Q526" s="67"/>
      <c r="R526" s="67"/>
      <c r="S526" s="67"/>
    </row>
    <row r="527">
      <c r="B527" s="66"/>
      <c r="M527" s="67"/>
      <c r="N527" s="67"/>
      <c r="O527" s="67"/>
      <c r="P527" s="67"/>
      <c r="Q527" s="67"/>
      <c r="R527" s="67"/>
      <c r="S527" s="67"/>
    </row>
    <row r="528">
      <c r="B528" s="66"/>
      <c r="M528" s="67"/>
      <c r="N528" s="67"/>
      <c r="O528" s="67"/>
      <c r="P528" s="67"/>
      <c r="Q528" s="67"/>
      <c r="R528" s="67"/>
      <c r="S528" s="67"/>
    </row>
    <row r="529">
      <c r="B529" s="66"/>
      <c r="M529" s="67"/>
      <c r="N529" s="67"/>
      <c r="O529" s="67"/>
      <c r="P529" s="67"/>
      <c r="Q529" s="67"/>
      <c r="R529" s="67"/>
      <c r="S529" s="67"/>
    </row>
    <row r="530">
      <c r="B530" s="66"/>
      <c r="M530" s="67"/>
      <c r="N530" s="67"/>
      <c r="O530" s="67"/>
      <c r="P530" s="67"/>
      <c r="Q530" s="67"/>
      <c r="R530" s="67"/>
      <c r="S530" s="67"/>
    </row>
    <row r="531">
      <c r="B531" s="66"/>
      <c r="M531" s="67"/>
      <c r="N531" s="67"/>
      <c r="O531" s="67"/>
      <c r="P531" s="67"/>
      <c r="Q531" s="67"/>
      <c r="R531" s="67"/>
      <c r="S531" s="67"/>
    </row>
    <row r="532">
      <c r="B532" s="66"/>
      <c r="M532" s="67"/>
      <c r="N532" s="67"/>
      <c r="O532" s="67"/>
      <c r="P532" s="67"/>
      <c r="Q532" s="67"/>
      <c r="R532" s="67"/>
      <c r="S532" s="67"/>
    </row>
    <row r="533">
      <c r="B533" s="66"/>
      <c r="M533" s="67"/>
      <c r="N533" s="67"/>
      <c r="O533" s="67"/>
      <c r="P533" s="67"/>
      <c r="Q533" s="67"/>
      <c r="R533" s="67"/>
      <c r="S533" s="67"/>
    </row>
    <row r="534">
      <c r="B534" s="66"/>
      <c r="M534" s="67"/>
      <c r="N534" s="67"/>
      <c r="O534" s="67"/>
      <c r="P534" s="67"/>
      <c r="Q534" s="67"/>
      <c r="R534" s="67"/>
      <c r="S534" s="67"/>
    </row>
    <row r="535">
      <c r="B535" s="66"/>
      <c r="M535" s="67"/>
      <c r="N535" s="67"/>
      <c r="O535" s="67"/>
      <c r="P535" s="67"/>
      <c r="Q535" s="67"/>
      <c r="R535" s="67"/>
      <c r="S535" s="67"/>
    </row>
    <row r="536">
      <c r="B536" s="66"/>
      <c r="M536" s="67"/>
      <c r="N536" s="67"/>
      <c r="O536" s="67"/>
      <c r="P536" s="67"/>
      <c r="Q536" s="67"/>
      <c r="R536" s="67"/>
      <c r="S536" s="67"/>
    </row>
    <row r="537">
      <c r="B537" s="66"/>
      <c r="M537" s="67"/>
      <c r="N537" s="67"/>
      <c r="O537" s="67"/>
      <c r="P537" s="67"/>
      <c r="Q537" s="67"/>
      <c r="R537" s="67"/>
      <c r="S537" s="67"/>
    </row>
    <row r="538">
      <c r="B538" s="66"/>
      <c r="M538" s="67"/>
      <c r="N538" s="67"/>
      <c r="O538" s="67"/>
      <c r="P538" s="67"/>
      <c r="Q538" s="67"/>
      <c r="R538" s="67"/>
      <c r="S538" s="67"/>
    </row>
    <row r="539">
      <c r="B539" s="66"/>
      <c r="M539" s="67"/>
      <c r="N539" s="67"/>
      <c r="O539" s="67"/>
      <c r="P539" s="67"/>
      <c r="Q539" s="67"/>
      <c r="R539" s="67"/>
      <c r="S539" s="67"/>
    </row>
    <row r="540">
      <c r="B540" s="66"/>
      <c r="M540" s="67"/>
      <c r="N540" s="67"/>
      <c r="O540" s="67"/>
      <c r="P540" s="67"/>
      <c r="Q540" s="67"/>
      <c r="R540" s="67"/>
      <c r="S540" s="67"/>
    </row>
    <row r="541">
      <c r="B541" s="66"/>
      <c r="M541" s="67"/>
      <c r="N541" s="67"/>
      <c r="O541" s="67"/>
      <c r="P541" s="67"/>
      <c r="Q541" s="67"/>
      <c r="R541" s="67"/>
      <c r="S541" s="67"/>
    </row>
    <row r="542">
      <c r="B542" s="66"/>
      <c r="M542" s="67"/>
      <c r="N542" s="67"/>
      <c r="O542" s="67"/>
      <c r="P542" s="67"/>
      <c r="Q542" s="67"/>
      <c r="R542" s="67"/>
      <c r="S542" s="67"/>
    </row>
    <row r="543">
      <c r="B543" s="66"/>
      <c r="M543" s="67"/>
      <c r="N543" s="67"/>
      <c r="O543" s="67"/>
      <c r="P543" s="67"/>
      <c r="Q543" s="67"/>
      <c r="R543" s="67"/>
      <c r="S543" s="67"/>
    </row>
    <row r="544">
      <c r="B544" s="66"/>
      <c r="M544" s="67"/>
      <c r="N544" s="67"/>
      <c r="O544" s="67"/>
      <c r="P544" s="67"/>
      <c r="Q544" s="67"/>
      <c r="R544" s="67"/>
      <c r="S544" s="67"/>
    </row>
    <row r="545">
      <c r="B545" s="66"/>
      <c r="M545" s="67"/>
      <c r="N545" s="67"/>
      <c r="O545" s="67"/>
      <c r="P545" s="67"/>
      <c r="Q545" s="67"/>
      <c r="R545" s="67"/>
      <c r="S545" s="67"/>
    </row>
    <row r="546">
      <c r="B546" s="66"/>
      <c r="M546" s="67"/>
      <c r="N546" s="67"/>
      <c r="O546" s="67"/>
      <c r="P546" s="67"/>
      <c r="Q546" s="67"/>
      <c r="R546" s="67"/>
      <c r="S546" s="67"/>
    </row>
    <row r="547">
      <c r="B547" s="66"/>
      <c r="M547" s="67"/>
      <c r="N547" s="67"/>
      <c r="O547" s="67"/>
      <c r="P547" s="67"/>
      <c r="Q547" s="67"/>
      <c r="R547" s="67"/>
      <c r="S547" s="67"/>
    </row>
    <row r="548">
      <c r="B548" s="66"/>
      <c r="M548" s="67"/>
      <c r="N548" s="67"/>
      <c r="O548" s="67"/>
      <c r="P548" s="67"/>
      <c r="Q548" s="67"/>
      <c r="R548" s="67"/>
      <c r="S548" s="67"/>
    </row>
    <row r="549">
      <c r="B549" s="66"/>
      <c r="M549" s="67"/>
      <c r="N549" s="67"/>
      <c r="O549" s="67"/>
      <c r="P549" s="67"/>
      <c r="Q549" s="67"/>
      <c r="R549" s="67"/>
      <c r="S549" s="67"/>
    </row>
    <row r="550">
      <c r="B550" s="66"/>
      <c r="M550" s="67"/>
      <c r="N550" s="67"/>
      <c r="O550" s="67"/>
      <c r="P550" s="67"/>
      <c r="Q550" s="67"/>
      <c r="R550" s="67"/>
      <c r="S550" s="67"/>
    </row>
    <row r="551">
      <c r="B551" s="66"/>
      <c r="M551" s="67"/>
      <c r="N551" s="67"/>
      <c r="O551" s="67"/>
      <c r="P551" s="67"/>
      <c r="Q551" s="67"/>
      <c r="R551" s="67"/>
      <c r="S551" s="67"/>
    </row>
    <row r="552">
      <c r="B552" s="66"/>
      <c r="M552" s="67"/>
      <c r="N552" s="67"/>
      <c r="O552" s="67"/>
      <c r="P552" s="67"/>
      <c r="Q552" s="67"/>
      <c r="R552" s="67"/>
      <c r="S552" s="67"/>
    </row>
    <row r="553">
      <c r="B553" s="66"/>
      <c r="M553" s="67"/>
      <c r="N553" s="67"/>
      <c r="O553" s="67"/>
      <c r="P553" s="67"/>
      <c r="Q553" s="67"/>
      <c r="R553" s="67"/>
      <c r="S553" s="67"/>
    </row>
    <row r="554">
      <c r="B554" s="66"/>
      <c r="M554" s="67"/>
      <c r="N554" s="67"/>
      <c r="O554" s="67"/>
      <c r="P554" s="67"/>
      <c r="Q554" s="67"/>
      <c r="R554" s="67"/>
      <c r="S554" s="67"/>
    </row>
    <row r="555">
      <c r="B555" s="66"/>
      <c r="M555" s="67"/>
      <c r="N555" s="67"/>
      <c r="O555" s="67"/>
      <c r="P555" s="67"/>
      <c r="Q555" s="67"/>
      <c r="R555" s="67"/>
      <c r="S555" s="67"/>
    </row>
    <row r="556">
      <c r="B556" s="66"/>
      <c r="M556" s="67"/>
      <c r="N556" s="67"/>
      <c r="O556" s="67"/>
      <c r="P556" s="67"/>
      <c r="Q556" s="67"/>
      <c r="R556" s="67"/>
      <c r="S556" s="67"/>
    </row>
    <row r="557">
      <c r="B557" s="66"/>
      <c r="M557" s="67"/>
      <c r="N557" s="67"/>
      <c r="O557" s="67"/>
      <c r="P557" s="67"/>
      <c r="Q557" s="67"/>
      <c r="R557" s="67"/>
      <c r="S557" s="67"/>
    </row>
    <row r="558">
      <c r="B558" s="66"/>
      <c r="M558" s="67"/>
      <c r="N558" s="67"/>
      <c r="O558" s="67"/>
      <c r="P558" s="67"/>
      <c r="Q558" s="67"/>
      <c r="R558" s="67"/>
      <c r="S558" s="67"/>
    </row>
    <row r="559">
      <c r="B559" s="66"/>
      <c r="M559" s="67"/>
      <c r="N559" s="67"/>
      <c r="O559" s="67"/>
      <c r="P559" s="67"/>
      <c r="Q559" s="67"/>
      <c r="R559" s="67"/>
      <c r="S559" s="67"/>
    </row>
    <row r="560">
      <c r="B560" s="66"/>
      <c r="M560" s="67"/>
      <c r="N560" s="67"/>
      <c r="O560" s="67"/>
      <c r="P560" s="67"/>
      <c r="Q560" s="67"/>
      <c r="R560" s="67"/>
      <c r="S560" s="67"/>
    </row>
    <row r="561">
      <c r="B561" s="66"/>
      <c r="M561" s="67"/>
      <c r="N561" s="67"/>
      <c r="O561" s="67"/>
      <c r="P561" s="67"/>
      <c r="Q561" s="67"/>
      <c r="R561" s="67"/>
      <c r="S561" s="67"/>
    </row>
    <row r="562">
      <c r="B562" s="66"/>
      <c r="M562" s="67"/>
      <c r="N562" s="67"/>
      <c r="O562" s="67"/>
      <c r="P562" s="67"/>
      <c r="Q562" s="67"/>
      <c r="R562" s="67"/>
      <c r="S562" s="67"/>
    </row>
    <row r="563">
      <c r="B563" s="66"/>
      <c r="M563" s="67"/>
      <c r="N563" s="67"/>
      <c r="O563" s="67"/>
      <c r="P563" s="67"/>
      <c r="Q563" s="67"/>
      <c r="R563" s="67"/>
      <c r="S563" s="67"/>
    </row>
    <row r="564">
      <c r="B564" s="66"/>
      <c r="M564" s="67"/>
      <c r="N564" s="67"/>
      <c r="O564" s="67"/>
      <c r="P564" s="67"/>
      <c r="Q564" s="67"/>
      <c r="R564" s="67"/>
      <c r="S564" s="67"/>
    </row>
    <row r="565">
      <c r="B565" s="66"/>
      <c r="M565" s="67"/>
      <c r="N565" s="67"/>
      <c r="O565" s="67"/>
      <c r="P565" s="67"/>
      <c r="Q565" s="67"/>
      <c r="R565" s="67"/>
      <c r="S565" s="67"/>
    </row>
    <row r="566">
      <c r="B566" s="66"/>
      <c r="M566" s="67"/>
      <c r="N566" s="67"/>
      <c r="O566" s="67"/>
      <c r="P566" s="67"/>
      <c r="Q566" s="67"/>
      <c r="R566" s="67"/>
      <c r="S566" s="67"/>
    </row>
    <row r="567">
      <c r="B567" s="66"/>
      <c r="M567" s="67"/>
      <c r="N567" s="67"/>
      <c r="O567" s="67"/>
      <c r="P567" s="67"/>
      <c r="Q567" s="67"/>
      <c r="R567" s="67"/>
      <c r="S567" s="67"/>
    </row>
    <row r="568">
      <c r="B568" s="66"/>
      <c r="M568" s="67"/>
      <c r="N568" s="67"/>
      <c r="O568" s="67"/>
      <c r="P568" s="67"/>
      <c r="Q568" s="67"/>
      <c r="R568" s="67"/>
      <c r="S568" s="67"/>
    </row>
    <row r="569">
      <c r="B569" s="66"/>
      <c r="M569" s="67"/>
      <c r="N569" s="67"/>
      <c r="O569" s="67"/>
      <c r="P569" s="67"/>
      <c r="Q569" s="67"/>
      <c r="R569" s="67"/>
      <c r="S569" s="67"/>
    </row>
    <row r="570">
      <c r="B570" s="66"/>
      <c r="M570" s="67"/>
      <c r="N570" s="67"/>
      <c r="O570" s="67"/>
      <c r="P570" s="67"/>
      <c r="Q570" s="67"/>
      <c r="R570" s="67"/>
      <c r="S570" s="67"/>
    </row>
    <row r="571">
      <c r="B571" s="66"/>
      <c r="M571" s="67"/>
      <c r="N571" s="67"/>
      <c r="O571" s="67"/>
      <c r="P571" s="67"/>
      <c r="Q571" s="67"/>
      <c r="R571" s="67"/>
      <c r="S571" s="67"/>
    </row>
    <row r="572">
      <c r="B572" s="66"/>
      <c r="M572" s="67"/>
      <c r="N572" s="67"/>
      <c r="O572" s="67"/>
      <c r="P572" s="67"/>
      <c r="Q572" s="67"/>
      <c r="R572" s="67"/>
      <c r="S572" s="67"/>
    </row>
    <row r="573">
      <c r="B573" s="66"/>
      <c r="M573" s="67"/>
      <c r="N573" s="67"/>
      <c r="O573" s="67"/>
      <c r="P573" s="67"/>
      <c r="Q573" s="67"/>
      <c r="R573" s="67"/>
      <c r="S573" s="67"/>
    </row>
    <row r="574">
      <c r="B574" s="66"/>
      <c r="M574" s="67"/>
      <c r="N574" s="67"/>
      <c r="O574" s="67"/>
      <c r="P574" s="67"/>
      <c r="Q574" s="67"/>
      <c r="R574" s="67"/>
      <c r="S574" s="67"/>
    </row>
    <row r="575">
      <c r="B575" s="66"/>
      <c r="M575" s="67"/>
      <c r="N575" s="67"/>
      <c r="O575" s="67"/>
      <c r="P575" s="67"/>
      <c r="Q575" s="67"/>
      <c r="R575" s="67"/>
      <c r="S575" s="67"/>
    </row>
    <row r="576">
      <c r="B576" s="66"/>
      <c r="M576" s="67"/>
      <c r="N576" s="67"/>
      <c r="O576" s="67"/>
      <c r="P576" s="67"/>
      <c r="Q576" s="67"/>
      <c r="R576" s="67"/>
      <c r="S576" s="67"/>
    </row>
    <row r="577">
      <c r="B577" s="66"/>
      <c r="M577" s="67"/>
      <c r="N577" s="67"/>
      <c r="O577" s="67"/>
      <c r="P577" s="67"/>
      <c r="Q577" s="67"/>
      <c r="R577" s="67"/>
      <c r="S577" s="67"/>
    </row>
    <row r="578">
      <c r="B578" s="66"/>
      <c r="M578" s="67"/>
      <c r="N578" s="67"/>
      <c r="O578" s="67"/>
      <c r="P578" s="67"/>
      <c r="Q578" s="67"/>
      <c r="R578" s="67"/>
      <c r="S578" s="67"/>
    </row>
    <row r="579">
      <c r="B579" s="66"/>
      <c r="M579" s="67"/>
      <c r="N579" s="67"/>
      <c r="O579" s="67"/>
      <c r="P579" s="67"/>
      <c r="Q579" s="67"/>
      <c r="R579" s="67"/>
      <c r="S579" s="67"/>
    </row>
    <row r="580">
      <c r="B580" s="66"/>
      <c r="M580" s="67"/>
      <c r="N580" s="67"/>
      <c r="O580" s="67"/>
      <c r="P580" s="67"/>
      <c r="Q580" s="67"/>
      <c r="R580" s="67"/>
      <c r="S580" s="67"/>
    </row>
    <row r="581">
      <c r="B581" s="66"/>
      <c r="M581" s="67"/>
      <c r="N581" s="67"/>
      <c r="O581" s="67"/>
      <c r="P581" s="67"/>
      <c r="Q581" s="67"/>
      <c r="R581" s="67"/>
      <c r="S581" s="67"/>
    </row>
    <row r="582">
      <c r="B582" s="66"/>
      <c r="M582" s="67"/>
      <c r="N582" s="67"/>
      <c r="O582" s="67"/>
      <c r="P582" s="67"/>
      <c r="Q582" s="67"/>
      <c r="R582" s="67"/>
      <c r="S582" s="67"/>
    </row>
    <row r="583">
      <c r="B583" s="66"/>
      <c r="M583" s="67"/>
      <c r="N583" s="67"/>
      <c r="O583" s="67"/>
      <c r="P583" s="67"/>
      <c r="Q583" s="67"/>
      <c r="R583" s="67"/>
      <c r="S583" s="67"/>
    </row>
    <row r="584">
      <c r="B584" s="66"/>
      <c r="M584" s="67"/>
      <c r="N584" s="67"/>
      <c r="O584" s="67"/>
      <c r="P584" s="67"/>
      <c r="Q584" s="67"/>
      <c r="R584" s="67"/>
      <c r="S584" s="67"/>
    </row>
    <row r="585">
      <c r="B585" s="66"/>
      <c r="M585" s="67"/>
      <c r="N585" s="67"/>
      <c r="O585" s="67"/>
      <c r="P585" s="67"/>
      <c r="Q585" s="67"/>
      <c r="R585" s="67"/>
      <c r="S585" s="67"/>
    </row>
    <row r="586">
      <c r="B586" s="66"/>
      <c r="M586" s="67"/>
      <c r="N586" s="67"/>
      <c r="O586" s="67"/>
      <c r="P586" s="67"/>
      <c r="Q586" s="67"/>
      <c r="R586" s="67"/>
      <c r="S586" s="67"/>
    </row>
    <row r="587">
      <c r="B587" s="66"/>
      <c r="M587" s="67"/>
      <c r="N587" s="67"/>
      <c r="O587" s="67"/>
      <c r="P587" s="67"/>
      <c r="Q587" s="67"/>
      <c r="R587" s="67"/>
      <c r="S587" s="67"/>
    </row>
    <row r="588">
      <c r="B588" s="66"/>
      <c r="M588" s="67"/>
      <c r="N588" s="67"/>
      <c r="O588" s="67"/>
      <c r="P588" s="67"/>
      <c r="Q588" s="67"/>
      <c r="R588" s="67"/>
      <c r="S588" s="67"/>
    </row>
    <row r="589">
      <c r="B589" s="66"/>
      <c r="M589" s="67"/>
      <c r="N589" s="67"/>
      <c r="O589" s="67"/>
      <c r="P589" s="67"/>
      <c r="Q589" s="67"/>
      <c r="R589" s="67"/>
      <c r="S589" s="67"/>
    </row>
    <row r="590">
      <c r="B590" s="66"/>
      <c r="M590" s="67"/>
      <c r="N590" s="67"/>
      <c r="O590" s="67"/>
      <c r="P590" s="67"/>
      <c r="Q590" s="67"/>
      <c r="R590" s="67"/>
      <c r="S590" s="67"/>
    </row>
    <row r="591">
      <c r="B591" s="66"/>
      <c r="M591" s="67"/>
      <c r="N591" s="67"/>
      <c r="O591" s="67"/>
      <c r="P591" s="67"/>
      <c r="Q591" s="67"/>
      <c r="R591" s="67"/>
      <c r="S591" s="67"/>
    </row>
    <row r="592">
      <c r="B592" s="66"/>
      <c r="M592" s="67"/>
      <c r="N592" s="67"/>
      <c r="O592" s="67"/>
      <c r="P592" s="67"/>
      <c r="Q592" s="67"/>
      <c r="R592" s="67"/>
      <c r="S592" s="67"/>
    </row>
    <row r="593">
      <c r="B593" s="66"/>
      <c r="M593" s="67"/>
      <c r="N593" s="67"/>
      <c r="O593" s="67"/>
      <c r="P593" s="67"/>
      <c r="Q593" s="67"/>
      <c r="R593" s="67"/>
      <c r="S593" s="67"/>
    </row>
    <row r="594">
      <c r="B594" s="66"/>
      <c r="M594" s="67"/>
      <c r="N594" s="67"/>
      <c r="O594" s="67"/>
      <c r="P594" s="67"/>
      <c r="Q594" s="67"/>
      <c r="R594" s="67"/>
      <c r="S594" s="67"/>
    </row>
    <row r="595">
      <c r="B595" s="66"/>
      <c r="M595" s="67"/>
      <c r="N595" s="67"/>
      <c r="O595" s="67"/>
      <c r="P595" s="67"/>
      <c r="Q595" s="67"/>
      <c r="R595" s="67"/>
      <c r="S595" s="67"/>
    </row>
    <row r="596">
      <c r="B596" s="66"/>
      <c r="M596" s="67"/>
      <c r="N596" s="67"/>
      <c r="O596" s="67"/>
      <c r="P596" s="67"/>
      <c r="Q596" s="67"/>
      <c r="R596" s="67"/>
      <c r="S596" s="67"/>
    </row>
    <row r="597">
      <c r="B597" s="66"/>
      <c r="M597" s="67"/>
      <c r="N597" s="67"/>
      <c r="O597" s="67"/>
      <c r="P597" s="67"/>
      <c r="Q597" s="67"/>
      <c r="R597" s="67"/>
      <c r="S597" s="67"/>
    </row>
    <row r="598">
      <c r="B598" s="66"/>
      <c r="M598" s="67"/>
      <c r="N598" s="67"/>
      <c r="O598" s="67"/>
      <c r="P598" s="67"/>
      <c r="Q598" s="67"/>
      <c r="R598" s="67"/>
      <c r="S598" s="67"/>
    </row>
    <row r="599">
      <c r="B599" s="66"/>
      <c r="M599" s="67"/>
      <c r="N599" s="67"/>
      <c r="O599" s="67"/>
      <c r="P599" s="67"/>
      <c r="Q599" s="67"/>
      <c r="R599" s="67"/>
      <c r="S599" s="67"/>
    </row>
    <row r="600">
      <c r="B600" s="66"/>
      <c r="M600" s="67"/>
      <c r="N600" s="67"/>
      <c r="O600" s="67"/>
      <c r="P600" s="67"/>
      <c r="Q600" s="67"/>
      <c r="R600" s="67"/>
      <c r="S600" s="67"/>
    </row>
    <row r="601">
      <c r="B601" s="66"/>
      <c r="M601" s="67"/>
      <c r="N601" s="67"/>
      <c r="O601" s="67"/>
      <c r="P601" s="67"/>
      <c r="Q601" s="67"/>
      <c r="R601" s="67"/>
      <c r="S601" s="67"/>
    </row>
    <row r="602">
      <c r="B602" s="66"/>
      <c r="M602" s="67"/>
      <c r="N602" s="67"/>
      <c r="O602" s="67"/>
      <c r="P602" s="67"/>
      <c r="Q602" s="67"/>
      <c r="R602" s="67"/>
      <c r="S602" s="67"/>
    </row>
    <row r="603">
      <c r="B603" s="66"/>
      <c r="M603" s="67"/>
      <c r="N603" s="67"/>
      <c r="O603" s="67"/>
      <c r="P603" s="67"/>
      <c r="Q603" s="67"/>
      <c r="R603" s="67"/>
      <c r="S603" s="67"/>
    </row>
    <row r="604">
      <c r="B604" s="66"/>
      <c r="M604" s="67"/>
      <c r="N604" s="67"/>
      <c r="O604" s="67"/>
      <c r="P604" s="67"/>
      <c r="Q604" s="67"/>
      <c r="R604" s="67"/>
      <c r="S604" s="67"/>
    </row>
    <row r="605">
      <c r="B605" s="66"/>
      <c r="M605" s="67"/>
      <c r="N605" s="67"/>
      <c r="O605" s="67"/>
      <c r="P605" s="67"/>
      <c r="Q605" s="67"/>
      <c r="R605" s="67"/>
      <c r="S605" s="67"/>
    </row>
    <row r="606">
      <c r="B606" s="66"/>
      <c r="M606" s="67"/>
      <c r="N606" s="67"/>
      <c r="O606" s="67"/>
      <c r="P606" s="67"/>
      <c r="Q606" s="67"/>
      <c r="R606" s="67"/>
      <c r="S606" s="67"/>
    </row>
    <row r="607">
      <c r="B607" s="66"/>
      <c r="M607" s="67"/>
      <c r="N607" s="67"/>
      <c r="O607" s="67"/>
      <c r="P607" s="67"/>
      <c r="Q607" s="67"/>
      <c r="R607" s="67"/>
      <c r="S607" s="67"/>
    </row>
    <row r="608">
      <c r="B608" s="66"/>
      <c r="M608" s="67"/>
      <c r="N608" s="67"/>
      <c r="O608" s="67"/>
      <c r="P608" s="67"/>
      <c r="Q608" s="67"/>
      <c r="R608" s="67"/>
      <c r="S608" s="67"/>
    </row>
    <row r="609">
      <c r="B609" s="66"/>
      <c r="M609" s="67"/>
      <c r="N609" s="67"/>
      <c r="O609" s="67"/>
      <c r="P609" s="67"/>
      <c r="Q609" s="67"/>
      <c r="R609" s="67"/>
      <c r="S609" s="67"/>
    </row>
    <row r="610">
      <c r="B610" s="66"/>
      <c r="M610" s="67"/>
      <c r="N610" s="67"/>
      <c r="O610" s="67"/>
      <c r="P610" s="67"/>
      <c r="Q610" s="67"/>
      <c r="R610" s="67"/>
      <c r="S610" s="67"/>
    </row>
    <row r="611">
      <c r="B611" s="66"/>
      <c r="M611" s="67"/>
      <c r="N611" s="67"/>
      <c r="O611" s="67"/>
      <c r="P611" s="67"/>
      <c r="Q611" s="67"/>
      <c r="R611" s="67"/>
      <c r="S611" s="67"/>
    </row>
    <row r="612">
      <c r="B612" s="66"/>
      <c r="M612" s="67"/>
      <c r="N612" s="67"/>
      <c r="O612" s="67"/>
      <c r="P612" s="67"/>
      <c r="Q612" s="67"/>
      <c r="R612" s="67"/>
      <c r="S612" s="67"/>
    </row>
    <row r="613">
      <c r="B613" s="66"/>
      <c r="M613" s="67"/>
      <c r="N613" s="67"/>
      <c r="O613" s="67"/>
      <c r="P613" s="67"/>
      <c r="Q613" s="67"/>
      <c r="R613" s="67"/>
      <c r="S613" s="67"/>
    </row>
    <row r="614">
      <c r="B614" s="66"/>
      <c r="M614" s="67"/>
      <c r="N614" s="67"/>
      <c r="O614" s="67"/>
      <c r="P614" s="67"/>
      <c r="Q614" s="67"/>
      <c r="R614" s="67"/>
      <c r="S614" s="67"/>
    </row>
    <row r="615">
      <c r="B615" s="66"/>
      <c r="M615" s="67"/>
      <c r="N615" s="67"/>
      <c r="O615" s="67"/>
      <c r="P615" s="67"/>
      <c r="Q615" s="67"/>
      <c r="R615" s="67"/>
      <c r="S615" s="67"/>
    </row>
    <row r="616">
      <c r="B616" s="66"/>
      <c r="M616" s="67"/>
      <c r="N616" s="67"/>
      <c r="O616" s="67"/>
      <c r="P616" s="67"/>
      <c r="Q616" s="67"/>
      <c r="R616" s="67"/>
      <c r="S616" s="67"/>
    </row>
    <row r="617">
      <c r="B617" s="66"/>
      <c r="M617" s="67"/>
      <c r="N617" s="67"/>
      <c r="O617" s="67"/>
      <c r="P617" s="67"/>
      <c r="Q617" s="67"/>
      <c r="R617" s="67"/>
      <c r="S617" s="67"/>
    </row>
    <row r="618">
      <c r="B618" s="66"/>
      <c r="M618" s="67"/>
      <c r="N618" s="67"/>
      <c r="O618" s="67"/>
      <c r="P618" s="67"/>
      <c r="Q618" s="67"/>
      <c r="R618" s="67"/>
      <c r="S618" s="67"/>
    </row>
    <row r="619">
      <c r="B619" s="66"/>
      <c r="M619" s="67"/>
      <c r="N619" s="67"/>
      <c r="O619" s="67"/>
      <c r="P619" s="67"/>
      <c r="Q619" s="67"/>
      <c r="R619" s="67"/>
      <c r="S619" s="67"/>
    </row>
    <row r="620">
      <c r="B620" s="66"/>
      <c r="M620" s="67"/>
      <c r="N620" s="67"/>
      <c r="O620" s="67"/>
      <c r="P620" s="67"/>
      <c r="Q620" s="67"/>
      <c r="R620" s="67"/>
      <c r="S620" s="67"/>
    </row>
    <row r="621">
      <c r="B621" s="66"/>
      <c r="M621" s="67"/>
      <c r="N621" s="67"/>
      <c r="O621" s="67"/>
      <c r="P621" s="67"/>
      <c r="Q621" s="67"/>
      <c r="R621" s="67"/>
      <c r="S621" s="67"/>
    </row>
    <row r="622">
      <c r="B622" s="66"/>
      <c r="M622" s="67"/>
      <c r="N622" s="67"/>
      <c r="O622" s="67"/>
      <c r="P622" s="67"/>
      <c r="Q622" s="67"/>
      <c r="R622" s="67"/>
      <c r="S622" s="67"/>
    </row>
    <row r="623">
      <c r="B623" s="66"/>
      <c r="M623" s="67"/>
      <c r="N623" s="67"/>
      <c r="O623" s="67"/>
      <c r="P623" s="67"/>
      <c r="Q623" s="67"/>
      <c r="R623" s="67"/>
      <c r="S623" s="67"/>
    </row>
    <row r="624">
      <c r="B624" s="66"/>
      <c r="M624" s="67"/>
      <c r="N624" s="67"/>
      <c r="O624" s="67"/>
      <c r="P624" s="67"/>
      <c r="Q624" s="67"/>
      <c r="R624" s="67"/>
      <c r="S624" s="67"/>
    </row>
    <row r="625">
      <c r="B625" s="66"/>
      <c r="M625" s="67"/>
      <c r="N625" s="67"/>
      <c r="O625" s="67"/>
      <c r="P625" s="67"/>
      <c r="Q625" s="67"/>
      <c r="R625" s="67"/>
      <c r="S625" s="67"/>
    </row>
    <row r="626">
      <c r="B626" s="66"/>
      <c r="M626" s="67"/>
      <c r="N626" s="67"/>
      <c r="O626" s="67"/>
      <c r="P626" s="67"/>
      <c r="Q626" s="67"/>
      <c r="R626" s="67"/>
      <c r="S626" s="67"/>
    </row>
    <row r="627">
      <c r="B627" s="66"/>
      <c r="M627" s="67"/>
      <c r="N627" s="67"/>
      <c r="O627" s="67"/>
      <c r="P627" s="67"/>
      <c r="Q627" s="67"/>
      <c r="R627" s="67"/>
      <c r="S627" s="67"/>
    </row>
    <row r="628">
      <c r="B628" s="66"/>
      <c r="M628" s="67"/>
      <c r="N628" s="67"/>
      <c r="O628" s="67"/>
      <c r="P628" s="67"/>
      <c r="Q628" s="67"/>
      <c r="R628" s="67"/>
      <c r="S628" s="67"/>
    </row>
    <row r="629">
      <c r="B629" s="66"/>
      <c r="M629" s="67"/>
      <c r="N629" s="67"/>
      <c r="O629" s="67"/>
      <c r="P629" s="67"/>
      <c r="Q629" s="67"/>
      <c r="R629" s="67"/>
      <c r="S629" s="67"/>
    </row>
    <row r="630">
      <c r="B630" s="66"/>
      <c r="M630" s="67"/>
      <c r="N630" s="67"/>
      <c r="O630" s="67"/>
      <c r="P630" s="67"/>
      <c r="Q630" s="67"/>
      <c r="R630" s="67"/>
      <c r="S630" s="67"/>
    </row>
    <row r="631">
      <c r="B631" s="66"/>
      <c r="M631" s="67"/>
      <c r="N631" s="67"/>
      <c r="O631" s="67"/>
      <c r="P631" s="67"/>
      <c r="Q631" s="67"/>
      <c r="R631" s="67"/>
      <c r="S631" s="67"/>
    </row>
    <row r="632">
      <c r="B632" s="66"/>
      <c r="M632" s="67"/>
      <c r="N632" s="67"/>
      <c r="O632" s="67"/>
      <c r="P632" s="67"/>
      <c r="Q632" s="67"/>
      <c r="R632" s="67"/>
      <c r="S632" s="67"/>
    </row>
    <row r="633">
      <c r="B633" s="66"/>
      <c r="M633" s="67"/>
      <c r="N633" s="67"/>
      <c r="O633" s="67"/>
      <c r="P633" s="67"/>
      <c r="Q633" s="67"/>
      <c r="R633" s="67"/>
      <c r="S633" s="67"/>
    </row>
    <row r="634">
      <c r="B634" s="66"/>
      <c r="M634" s="67"/>
      <c r="N634" s="67"/>
      <c r="O634" s="67"/>
      <c r="P634" s="67"/>
      <c r="Q634" s="67"/>
      <c r="R634" s="67"/>
      <c r="S634" s="67"/>
    </row>
    <row r="635">
      <c r="B635" s="66"/>
      <c r="M635" s="67"/>
      <c r="N635" s="67"/>
      <c r="O635" s="67"/>
      <c r="P635" s="67"/>
      <c r="Q635" s="67"/>
      <c r="R635" s="67"/>
      <c r="S635" s="67"/>
    </row>
    <row r="636">
      <c r="B636" s="66"/>
      <c r="M636" s="67"/>
      <c r="N636" s="67"/>
      <c r="O636" s="67"/>
      <c r="P636" s="67"/>
      <c r="Q636" s="67"/>
      <c r="R636" s="67"/>
      <c r="S636" s="67"/>
    </row>
    <row r="637">
      <c r="B637" s="66"/>
      <c r="M637" s="67"/>
      <c r="N637" s="67"/>
      <c r="O637" s="67"/>
      <c r="P637" s="67"/>
      <c r="Q637" s="67"/>
      <c r="R637" s="67"/>
      <c r="S637" s="67"/>
    </row>
    <row r="638">
      <c r="B638" s="66"/>
      <c r="M638" s="67"/>
      <c r="N638" s="67"/>
      <c r="O638" s="67"/>
      <c r="P638" s="67"/>
      <c r="Q638" s="67"/>
      <c r="R638" s="67"/>
      <c r="S638" s="67"/>
    </row>
    <row r="639">
      <c r="B639" s="66"/>
      <c r="M639" s="67"/>
      <c r="N639" s="67"/>
      <c r="O639" s="67"/>
      <c r="P639" s="67"/>
      <c r="Q639" s="67"/>
      <c r="R639" s="67"/>
      <c r="S639" s="67"/>
    </row>
    <row r="640">
      <c r="B640" s="66"/>
      <c r="M640" s="67"/>
      <c r="N640" s="67"/>
      <c r="O640" s="67"/>
      <c r="P640" s="67"/>
      <c r="Q640" s="67"/>
      <c r="R640" s="67"/>
      <c r="S640" s="67"/>
    </row>
    <row r="641">
      <c r="B641" s="66"/>
      <c r="M641" s="67"/>
      <c r="N641" s="67"/>
      <c r="O641" s="67"/>
      <c r="P641" s="67"/>
      <c r="Q641" s="67"/>
      <c r="R641" s="67"/>
      <c r="S641" s="67"/>
    </row>
    <row r="642">
      <c r="B642" s="66"/>
      <c r="M642" s="67"/>
      <c r="N642" s="67"/>
      <c r="O642" s="67"/>
      <c r="P642" s="67"/>
      <c r="Q642" s="67"/>
      <c r="R642" s="67"/>
      <c r="S642" s="67"/>
    </row>
    <row r="643">
      <c r="B643" s="66"/>
      <c r="M643" s="67"/>
      <c r="N643" s="67"/>
      <c r="O643" s="67"/>
      <c r="P643" s="67"/>
      <c r="Q643" s="67"/>
      <c r="R643" s="67"/>
      <c r="S643" s="67"/>
    </row>
    <row r="644">
      <c r="B644" s="66"/>
      <c r="M644" s="67"/>
      <c r="N644" s="67"/>
      <c r="O644" s="67"/>
      <c r="P644" s="67"/>
      <c r="Q644" s="67"/>
      <c r="R644" s="67"/>
      <c r="S644" s="67"/>
    </row>
    <row r="645">
      <c r="B645" s="66"/>
      <c r="M645" s="67"/>
      <c r="N645" s="67"/>
      <c r="O645" s="67"/>
      <c r="P645" s="67"/>
      <c r="Q645" s="67"/>
      <c r="R645" s="67"/>
      <c r="S645" s="67"/>
    </row>
    <row r="646">
      <c r="B646" s="66"/>
      <c r="M646" s="67"/>
      <c r="N646" s="67"/>
      <c r="O646" s="67"/>
      <c r="P646" s="67"/>
      <c r="Q646" s="67"/>
      <c r="R646" s="67"/>
      <c r="S646" s="67"/>
    </row>
    <row r="647">
      <c r="B647" s="66"/>
      <c r="M647" s="67"/>
      <c r="N647" s="67"/>
      <c r="O647" s="67"/>
      <c r="P647" s="67"/>
      <c r="Q647" s="67"/>
      <c r="R647" s="67"/>
      <c r="S647" s="67"/>
    </row>
    <row r="648">
      <c r="B648" s="66"/>
      <c r="M648" s="67"/>
      <c r="N648" s="67"/>
      <c r="O648" s="67"/>
      <c r="P648" s="67"/>
      <c r="Q648" s="67"/>
      <c r="R648" s="67"/>
      <c r="S648" s="67"/>
    </row>
    <row r="649">
      <c r="B649" s="66"/>
      <c r="M649" s="67"/>
      <c r="N649" s="67"/>
      <c r="O649" s="67"/>
      <c r="P649" s="67"/>
      <c r="Q649" s="67"/>
      <c r="R649" s="67"/>
      <c r="S649" s="67"/>
    </row>
    <row r="650">
      <c r="B650" s="66"/>
      <c r="M650" s="67"/>
      <c r="N650" s="67"/>
      <c r="O650" s="67"/>
      <c r="P650" s="67"/>
      <c r="Q650" s="67"/>
      <c r="R650" s="67"/>
      <c r="S650" s="67"/>
    </row>
    <row r="651">
      <c r="B651" s="66"/>
      <c r="M651" s="67"/>
      <c r="N651" s="67"/>
      <c r="O651" s="67"/>
      <c r="P651" s="67"/>
      <c r="Q651" s="67"/>
      <c r="R651" s="67"/>
      <c r="S651" s="67"/>
    </row>
    <row r="652">
      <c r="B652" s="66"/>
      <c r="M652" s="67"/>
      <c r="N652" s="67"/>
      <c r="O652" s="67"/>
      <c r="P652" s="67"/>
      <c r="Q652" s="67"/>
      <c r="R652" s="67"/>
      <c r="S652" s="67"/>
    </row>
    <row r="653">
      <c r="B653" s="66"/>
      <c r="M653" s="67"/>
      <c r="N653" s="67"/>
      <c r="O653" s="67"/>
      <c r="P653" s="67"/>
      <c r="Q653" s="67"/>
      <c r="R653" s="67"/>
      <c r="S653" s="67"/>
    </row>
    <row r="654">
      <c r="B654" s="66"/>
      <c r="M654" s="67"/>
      <c r="N654" s="67"/>
      <c r="O654" s="67"/>
      <c r="P654" s="67"/>
      <c r="Q654" s="67"/>
      <c r="R654" s="67"/>
      <c r="S654" s="67"/>
    </row>
    <row r="655">
      <c r="B655" s="66"/>
      <c r="M655" s="67"/>
      <c r="N655" s="67"/>
      <c r="O655" s="67"/>
      <c r="P655" s="67"/>
      <c r="Q655" s="67"/>
      <c r="R655" s="67"/>
      <c r="S655" s="67"/>
    </row>
    <row r="656">
      <c r="B656" s="66"/>
      <c r="M656" s="67"/>
      <c r="N656" s="67"/>
      <c r="O656" s="67"/>
      <c r="P656" s="67"/>
      <c r="Q656" s="67"/>
      <c r="R656" s="67"/>
      <c r="S656" s="67"/>
    </row>
    <row r="657">
      <c r="B657" s="66"/>
      <c r="M657" s="67"/>
      <c r="N657" s="67"/>
      <c r="O657" s="67"/>
      <c r="P657" s="67"/>
      <c r="Q657" s="67"/>
      <c r="R657" s="67"/>
      <c r="S657" s="67"/>
    </row>
    <row r="658">
      <c r="B658" s="66"/>
      <c r="M658" s="67"/>
      <c r="N658" s="67"/>
      <c r="O658" s="67"/>
      <c r="P658" s="67"/>
      <c r="Q658" s="67"/>
      <c r="R658" s="67"/>
      <c r="S658" s="67"/>
    </row>
    <row r="659">
      <c r="B659" s="66"/>
      <c r="M659" s="67"/>
      <c r="N659" s="67"/>
      <c r="O659" s="67"/>
      <c r="P659" s="67"/>
      <c r="Q659" s="67"/>
      <c r="R659" s="67"/>
      <c r="S659" s="67"/>
    </row>
    <row r="660">
      <c r="B660" s="66"/>
      <c r="M660" s="67"/>
      <c r="N660" s="67"/>
      <c r="O660" s="67"/>
      <c r="P660" s="67"/>
      <c r="Q660" s="67"/>
      <c r="R660" s="67"/>
      <c r="S660" s="67"/>
    </row>
    <row r="661">
      <c r="B661" s="66"/>
      <c r="M661" s="67"/>
      <c r="N661" s="67"/>
      <c r="O661" s="67"/>
      <c r="P661" s="67"/>
      <c r="Q661" s="67"/>
      <c r="R661" s="67"/>
      <c r="S661" s="67"/>
    </row>
    <row r="662">
      <c r="B662" s="66"/>
      <c r="M662" s="67"/>
      <c r="N662" s="67"/>
      <c r="O662" s="67"/>
      <c r="P662" s="67"/>
      <c r="Q662" s="67"/>
      <c r="R662" s="67"/>
      <c r="S662" s="67"/>
    </row>
    <row r="663">
      <c r="B663" s="66"/>
      <c r="M663" s="67"/>
      <c r="N663" s="67"/>
      <c r="O663" s="67"/>
      <c r="P663" s="67"/>
      <c r="Q663" s="67"/>
      <c r="R663" s="67"/>
      <c r="S663" s="67"/>
    </row>
    <row r="664">
      <c r="B664" s="66"/>
      <c r="M664" s="67"/>
      <c r="N664" s="67"/>
      <c r="O664" s="67"/>
      <c r="P664" s="67"/>
      <c r="Q664" s="67"/>
      <c r="R664" s="67"/>
      <c r="S664" s="67"/>
    </row>
    <row r="665">
      <c r="B665" s="66"/>
      <c r="M665" s="67"/>
      <c r="N665" s="67"/>
      <c r="O665" s="67"/>
      <c r="P665" s="67"/>
      <c r="Q665" s="67"/>
      <c r="R665" s="67"/>
      <c r="S665" s="67"/>
    </row>
    <row r="666">
      <c r="B666" s="66"/>
      <c r="M666" s="67"/>
      <c r="N666" s="67"/>
      <c r="O666" s="67"/>
      <c r="P666" s="67"/>
      <c r="Q666" s="67"/>
      <c r="R666" s="67"/>
      <c r="S666" s="67"/>
    </row>
    <row r="667">
      <c r="B667" s="66"/>
      <c r="M667" s="67"/>
      <c r="N667" s="67"/>
      <c r="O667" s="67"/>
      <c r="P667" s="67"/>
      <c r="Q667" s="67"/>
      <c r="R667" s="67"/>
      <c r="S667" s="67"/>
    </row>
    <row r="668">
      <c r="B668" s="66"/>
      <c r="M668" s="67"/>
      <c r="N668" s="67"/>
      <c r="O668" s="67"/>
      <c r="P668" s="67"/>
      <c r="Q668" s="67"/>
      <c r="R668" s="67"/>
      <c r="S668" s="67"/>
    </row>
    <row r="669">
      <c r="B669" s="66"/>
      <c r="M669" s="67"/>
      <c r="N669" s="67"/>
      <c r="O669" s="67"/>
      <c r="P669" s="67"/>
      <c r="Q669" s="67"/>
      <c r="R669" s="67"/>
      <c r="S669" s="67"/>
    </row>
    <row r="670">
      <c r="B670" s="66"/>
      <c r="M670" s="67"/>
      <c r="N670" s="67"/>
      <c r="O670" s="67"/>
      <c r="P670" s="67"/>
      <c r="Q670" s="67"/>
      <c r="R670" s="67"/>
      <c r="S670" s="67"/>
    </row>
    <row r="671">
      <c r="B671" s="66"/>
      <c r="M671" s="67"/>
      <c r="N671" s="67"/>
      <c r="O671" s="67"/>
      <c r="P671" s="67"/>
      <c r="Q671" s="67"/>
      <c r="R671" s="67"/>
      <c r="S671" s="67"/>
    </row>
    <row r="672">
      <c r="B672" s="66"/>
      <c r="M672" s="67"/>
      <c r="N672" s="67"/>
      <c r="O672" s="67"/>
      <c r="P672" s="67"/>
      <c r="Q672" s="67"/>
      <c r="R672" s="67"/>
      <c r="S672" s="67"/>
    </row>
    <row r="673">
      <c r="B673" s="66"/>
      <c r="M673" s="67"/>
      <c r="N673" s="67"/>
      <c r="O673" s="67"/>
      <c r="P673" s="67"/>
      <c r="Q673" s="67"/>
      <c r="R673" s="67"/>
      <c r="S673" s="67"/>
    </row>
    <row r="674">
      <c r="B674" s="66"/>
      <c r="M674" s="67"/>
      <c r="N674" s="67"/>
      <c r="O674" s="67"/>
      <c r="P674" s="67"/>
      <c r="Q674" s="67"/>
      <c r="R674" s="67"/>
      <c r="S674" s="67"/>
    </row>
    <row r="675">
      <c r="B675" s="66"/>
      <c r="M675" s="67"/>
      <c r="N675" s="67"/>
      <c r="O675" s="67"/>
      <c r="P675" s="67"/>
      <c r="Q675" s="67"/>
      <c r="R675" s="67"/>
      <c r="S675" s="67"/>
    </row>
    <row r="676">
      <c r="B676" s="66"/>
      <c r="M676" s="67"/>
      <c r="N676" s="67"/>
      <c r="O676" s="67"/>
      <c r="P676" s="67"/>
      <c r="Q676" s="67"/>
      <c r="R676" s="67"/>
      <c r="S676" s="67"/>
    </row>
    <row r="677">
      <c r="B677" s="66"/>
      <c r="M677" s="67"/>
      <c r="N677" s="67"/>
      <c r="O677" s="67"/>
      <c r="P677" s="67"/>
      <c r="Q677" s="67"/>
      <c r="R677" s="67"/>
      <c r="S677" s="67"/>
    </row>
    <row r="678">
      <c r="B678" s="66"/>
      <c r="M678" s="67"/>
      <c r="N678" s="67"/>
      <c r="O678" s="67"/>
      <c r="P678" s="67"/>
      <c r="Q678" s="67"/>
      <c r="R678" s="67"/>
      <c r="S678" s="67"/>
    </row>
    <row r="679">
      <c r="B679" s="66"/>
      <c r="M679" s="67"/>
      <c r="N679" s="67"/>
      <c r="O679" s="67"/>
      <c r="P679" s="67"/>
      <c r="Q679" s="67"/>
      <c r="R679" s="67"/>
      <c r="S679" s="67"/>
    </row>
    <row r="680">
      <c r="B680" s="66"/>
      <c r="M680" s="67"/>
      <c r="N680" s="67"/>
      <c r="O680" s="67"/>
      <c r="P680" s="67"/>
      <c r="Q680" s="67"/>
      <c r="R680" s="67"/>
      <c r="S680" s="67"/>
    </row>
    <row r="681">
      <c r="B681" s="66"/>
      <c r="M681" s="67"/>
      <c r="N681" s="67"/>
      <c r="O681" s="67"/>
      <c r="P681" s="67"/>
      <c r="Q681" s="67"/>
      <c r="R681" s="67"/>
      <c r="S681" s="67"/>
    </row>
    <row r="682">
      <c r="B682" s="66"/>
      <c r="M682" s="67"/>
      <c r="N682" s="67"/>
      <c r="O682" s="67"/>
      <c r="P682" s="67"/>
      <c r="Q682" s="67"/>
      <c r="R682" s="67"/>
      <c r="S682" s="67"/>
    </row>
    <row r="683">
      <c r="B683" s="66"/>
      <c r="M683" s="67"/>
      <c r="N683" s="67"/>
      <c r="O683" s="67"/>
      <c r="P683" s="67"/>
      <c r="Q683" s="67"/>
      <c r="R683" s="67"/>
      <c r="S683" s="67"/>
    </row>
    <row r="684">
      <c r="B684" s="66"/>
      <c r="M684" s="67"/>
      <c r="N684" s="67"/>
      <c r="O684" s="67"/>
      <c r="P684" s="67"/>
      <c r="Q684" s="67"/>
      <c r="R684" s="67"/>
      <c r="S684" s="67"/>
    </row>
    <row r="685">
      <c r="B685" s="66"/>
      <c r="M685" s="67"/>
      <c r="N685" s="67"/>
      <c r="O685" s="67"/>
      <c r="P685" s="67"/>
      <c r="Q685" s="67"/>
      <c r="R685" s="67"/>
      <c r="S685" s="67"/>
    </row>
    <row r="686">
      <c r="B686" s="66"/>
      <c r="M686" s="67"/>
      <c r="N686" s="67"/>
      <c r="O686" s="67"/>
      <c r="P686" s="67"/>
      <c r="Q686" s="67"/>
      <c r="R686" s="67"/>
      <c r="S686" s="67"/>
    </row>
    <row r="687">
      <c r="B687" s="66"/>
      <c r="M687" s="67"/>
      <c r="N687" s="67"/>
      <c r="O687" s="67"/>
      <c r="P687" s="67"/>
      <c r="Q687" s="67"/>
      <c r="R687" s="67"/>
      <c r="S687" s="67"/>
    </row>
    <row r="688">
      <c r="B688" s="66"/>
      <c r="M688" s="67"/>
      <c r="N688" s="67"/>
      <c r="O688" s="67"/>
      <c r="P688" s="67"/>
      <c r="Q688" s="67"/>
      <c r="R688" s="67"/>
      <c r="S688" s="67"/>
    </row>
    <row r="689">
      <c r="B689" s="66"/>
      <c r="M689" s="67"/>
      <c r="N689" s="67"/>
      <c r="O689" s="67"/>
      <c r="P689" s="67"/>
      <c r="Q689" s="67"/>
      <c r="R689" s="67"/>
      <c r="S689" s="67"/>
    </row>
    <row r="690">
      <c r="B690" s="66"/>
      <c r="M690" s="67"/>
      <c r="N690" s="67"/>
      <c r="O690" s="67"/>
      <c r="P690" s="67"/>
      <c r="Q690" s="67"/>
      <c r="R690" s="67"/>
      <c r="S690" s="67"/>
    </row>
    <row r="691">
      <c r="B691" s="66"/>
      <c r="M691" s="67"/>
      <c r="N691" s="67"/>
      <c r="O691" s="67"/>
      <c r="P691" s="67"/>
      <c r="Q691" s="67"/>
      <c r="R691" s="67"/>
      <c r="S691" s="67"/>
    </row>
    <row r="692">
      <c r="B692" s="66"/>
      <c r="M692" s="67"/>
      <c r="N692" s="67"/>
      <c r="O692" s="67"/>
      <c r="P692" s="67"/>
      <c r="Q692" s="67"/>
      <c r="R692" s="67"/>
      <c r="S692" s="67"/>
    </row>
    <row r="693">
      <c r="B693" s="66"/>
      <c r="M693" s="67"/>
      <c r="N693" s="67"/>
      <c r="O693" s="67"/>
      <c r="P693" s="67"/>
      <c r="Q693" s="67"/>
      <c r="R693" s="67"/>
      <c r="S693" s="67"/>
    </row>
    <row r="694">
      <c r="B694" s="66"/>
      <c r="M694" s="67"/>
      <c r="N694" s="67"/>
      <c r="O694" s="67"/>
      <c r="P694" s="67"/>
      <c r="Q694" s="67"/>
      <c r="R694" s="67"/>
      <c r="S694" s="67"/>
    </row>
    <row r="695">
      <c r="B695" s="66"/>
      <c r="M695" s="67"/>
      <c r="N695" s="67"/>
      <c r="O695" s="67"/>
      <c r="P695" s="67"/>
      <c r="Q695" s="67"/>
      <c r="R695" s="67"/>
      <c r="S695" s="67"/>
    </row>
    <row r="696">
      <c r="B696" s="66"/>
      <c r="M696" s="67"/>
      <c r="N696" s="67"/>
      <c r="O696" s="67"/>
      <c r="P696" s="67"/>
      <c r="Q696" s="67"/>
      <c r="R696" s="67"/>
      <c r="S696" s="67"/>
    </row>
    <row r="697">
      <c r="B697" s="66"/>
      <c r="M697" s="67"/>
      <c r="N697" s="67"/>
      <c r="O697" s="67"/>
      <c r="P697" s="67"/>
      <c r="Q697" s="67"/>
      <c r="R697" s="67"/>
      <c r="S697" s="67"/>
    </row>
    <row r="698">
      <c r="B698" s="66"/>
      <c r="M698" s="67"/>
      <c r="N698" s="67"/>
      <c r="O698" s="67"/>
      <c r="P698" s="67"/>
      <c r="Q698" s="67"/>
      <c r="R698" s="67"/>
      <c r="S698" s="67"/>
    </row>
    <row r="699">
      <c r="B699" s="66"/>
      <c r="M699" s="67"/>
      <c r="N699" s="67"/>
      <c r="O699" s="67"/>
      <c r="P699" s="67"/>
      <c r="Q699" s="67"/>
      <c r="R699" s="67"/>
      <c r="S699" s="67"/>
    </row>
    <row r="700">
      <c r="B700" s="66"/>
      <c r="M700" s="67"/>
      <c r="N700" s="67"/>
      <c r="O700" s="67"/>
      <c r="P700" s="67"/>
      <c r="Q700" s="67"/>
      <c r="R700" s="67"/>
      <c r="S700" s="67"/>
    </row>
    <row r="701">
      <c r="B701" s="66"/>
      <c r="M701" s="67"/>
      <c r="N701" s="67"/>
      <c r="O701" s="67"/>
      <c r="P701" s="67"/>
      <c r="Q701" s="67"/>
      <c r="R701" s="67"/>
      <c r="S701" s="67"/>
    </row>
    <row r="702">
      <c r="B702" s="66"/>
      <c r="M702" s="67"/>
      <c r="N702" s="67"/>
      <c r="O702" s="67"/>
      <c r="P702" s="67"/>
      <c r="Q702" s="67"/>
      <c r="R702" s="67"/>
      <c r="S702" s="67"/>
    </row>
    <row r="703">
      <c r="B703" s="66"/>
      <c r="M703" s="67"/>
      <c r="N703" s="67"/>
      <c r="O703" s="67"/>
      <c r="P703" s="67"/>
      <c r="Q703" s="67"/>
      <c r="R703" s="67"/>
      <c r="S703" s="67"/>
    </row>
    <row r="704">
      <c r="B704" s="66"/>
      <c r="M704" s="67"/>
      <c r="N704" s="67"/>
      <c r="O704" s="67"/>
      <c r="P704" s="67"/>
      <c r="Q704" s="67"/>
      <c r="R704" s="67"/>
      <c r="S704" s="67"/>
    </row>
    <row r="705">
      <c r="B705" s="66"/>
      <c r="M705" s="67"/>
      <c r="N705" s="67"/>
      <c r="O705" s="67"/>
      <c r="P705" s="67"/>
      <c r="Q705" s="67"/>
      <c r="R705" s="67"/>
      <c r="S705" s="67"/>
    </row>
    <row r="706">
      <c r="B706" s="66"/>
      <c r="M706" s="67"/>
      <c r="N706" s="67"/>
      <c r="O706" s="67"/>
      <c r="P706" s="67"/>
      <c r="Q706" s="67"/>
      <c r="R706" s="67"/>
      <c r="S706" s="67"/>
    </row>
    <row r="707">
      <c r="B707" s="66"/>
      <c r="M707" s="67"/>
      <c r="N707" s="67"/>
      <c r="O707" s="67"/>
      <c r="P707" s="67"/>
      <c r="Q707" s="67"/>
      <c r="R707" s="67"/>
      <c r="S707" s="67"/>
    </row>
    <row r="708">
      <c r="B708" s="66"/>
      <c r="M708" s="67"/>
      <c r="N708" s="67"/>
      <c r="O708" s="67"/>
      <c r="P708" s="67"/>
      <c r="Q708" s="67"/>
      <c r="R708" s="67"/>
      <c r="S708" s="67"/>
    </row>
    <row r="709">
      <c r="B709" s="66"/>
      <c r="M709" s="67"/>
      <c r="N709" s="67"/>
      <c r="O709" s="67"/>
      <c r="P709" s="67"/>
      <c r="Q709" s="67"/>
      <c r="R709" s="67"/>
      <c r="S709" s="67"/>
    </row>
    <row r="710">
      <c r="B710" s="66"/>
      <c r="M710" s="67"/>
      <c r="N710" s="67"/>
      <c r="O710" s="67"/>
      <c r="P710" s="67"/>
      <c r="Q710" s="67"/>
      <c r="R710" s="67"/>
      <c r="S710" s="67"/>
    </row>
    <row r="711">
      <c r="B711" s="66"/>
      <c r="M711" s="67"/>
      <c r="N711" s="67"/>
      <c r="O711" s="67"/>
      <c r="P711" s="67"/>
      <c r="Q711" s="67"/>
      <c r="R711" s="67"/>
      <c r="S711" s="67"/>
    </row>
    <row r="712">
      <c r="B712" s="66"/>
      <c r="M712" s="67"/>
      <c r="N712" s="67"/>
      <c r="O712" s="67"/>
      <c r="P712" s="67"/>
      <c r="Q712" s="67"/>
      <c r="R712" s="67"/>
      <c r="S712" s="67"/>
    </row>
    <row r="713">
      <c r="B713" s="66"/>
      <c r="M713" s="67"/>
      <c r="N713" s="67"/>
      <c r="O713" s="67"/>
      <c r="P713" s="67"/>
      <c r="Q713" s="67"/>
      <c r="R713" s="67"/>
      <c r="S713" s="67"/>
    </row>
    <row r="714">
      <c r="B714" s="66"/>
      <c r="M714" s="67"/>
      <c r="N714" s="67"/>
      <c r="O714" s="67"/>
      <c r="P714" s="67"/>
      <c r="Q714" s="67"/>
      <c r="R714" s="67"/>
      <c r="S714" s="67"/>
    </row>
    <row r="715">
      <c r="B715" s="66"/>
      <c r="M715" s="67"/>
      <c r="N715" s="67"/>
      <c r="O715" s="67"/>
      <c r="P715" s="67"/>
      <c r="Q715" s="67"/>
      <c r="R715" s="67"/>
      <c r="S715" s="67"/>
    </row>
    <row r="716">
      <c r="B716" s="66"/>
      <c r="M716" s="67"/>
      <c r="N716" s="67"/>
      <c r="O716" s="67"/>
      <c r="P716" s="67"/>
      <c r="Q716" s="67"/>
      <c r="R716" s="67"/>
      <c r="S716" s="67"/>
    </row>
    <row r="717">
      <c r="B717" s="66"/>
      <c r="M717" s="67"/>
      <c r="N717" s="67"/>
      <c r="O717" s="67"/>
      <c r="P717" s="67"/>
      <c r="Q717" s="67"/>
      <c r="R717" s="67"/>
      <c r="S717" s="67"/>
    </row>
    <row r="718">
      <c r="B718" s="66"/>
      <c r="M718" s="67"/>
      <c r="N718" s="67"/>
      <c r="O718" s="67"/>
      <c r="P718" s="67"/>
      <c r="Q718" s="67"/>
      <c r="R718" s="67"/>
      <c r="S718" s="67"/>
    </row>
    <row r="719">
      <c r="B719" s="66"/>
      <c r="M719" s="67"/>
      <c r="N719" s="67"/>
      <c r="O719" s="67"/>
      <c r="P719" s="67"/>
      <c r="Q719" s="67"/>
      <c r="R719" s="67"/>
      <c r="S719" s="67"/>
    </row>
    <row r="720">
      <c r="B720" s="66"/>
      <c r="M720" s="67"/>
      <c r="N720" s="67"/>
      <c r="O720" s="67"/>
      <c r="P720" s="67"/>
      <c r="Q720" s="67"/>
      <c r="R720" s="67"/>
      <c r="S720" s="67"/>
    </row>
    <row r="721">
      <c r="B721" s="66"/>
      <c r="M721" s="67"/>
      <c r="N721" s="67"/>
      <c r="O721" s="67"/>
      <c r="P721" s="67"/>
      <c r="Q721" s="67"/>
      <c r="R721" s="67"/>
      <c r="S721" s="67"/>
    </row>
    <row r="722">
      <c r="B722" s="66"/>
      <c r="M722" s="67"/>
      <c r="N722" s="67"/>
      <c r="O722" s="67"/>
      <c r="P722" s="67"/>
      <c r="Q722" s="67"/>
      <c r="R722" s="67"/>
      <c r="S722" s="67"/>
    </row>
    <row r="723">
      <c r="B723" s="66"/>
      <c r="M723" s="67"/>
      <c r="N723" s="67"/>
      <c r="O723" s="67"/>
      <c r="P723" s="67"/>
      <c r="Q723" s="67"/>
      <c r="R723" s="67"/>
      <c r="S723" s="67"/>
    </row>
    <row r="724">
      <c r="B724" s="66"/>
      <c r="M724" s="67"/>
      <c r="N724" s="67"/>
      <c r="O724" s="67"/>
      <c r="P724" s="67"/>
      <c r="Q724" s="67"/>
      <c r="R724" s="67"/>
      <c r="S724" s="67"/>
    </row>
    <row r="725">
      <c r="B725" s="66"/>
      <c r="M725" s="67"/>
      <c r="N725" s="67"/>
      <c r="O725" s="67"/>
      <c r="P725" s="67"/>
      <c r="Q725" s="67"/>
      <c r="R725" s="67"/>
      <c r="S725" s="67"/>
    </row>
    <row r="726">
      <c r="B726" s="66"/>
      <c r="M726" s="67"/>
      <c r="N726" s="67"/>
      <c r="O726" s="67"/>
      <c r="P726" s="67"/>
      <c r="Q726" s="67"/>
      <c r="R726" s="67"/>
      <c r="S726" s="67"/>
    </row>
    <row r="727">
      <c r="B727" s="66"/>
      <c r="M727" s="67"/>
      <c r="N727" s="67"/>
      <c r="O727" s="67"/>
      <c r="P727" s="67"/>
      <c r="Q727" s="67"/>
      <c r="R727" s="67"/>
      <c r="S727" s="67"/>
    </row>
    <row r="728">
      <c r="B728" s="66"/>
      <c r="M728" s="67"/>
      <c r="N728" s="67"/>
      <c r="O728" s="67"/>
      <c r="P728" s="67"/>
      <c r="Q728" s="67"/>
      <c r="R728" s="67"/>
      <c r="S728" s="67"/>
    </row>
    <row r="729">
      <c r="B729" s="66"/>
      <c r="M729" s="67"/>
      <c r="N729" s="67"/>
      <c r="O729" s="67"/>
      <c r="P729" s="67"/>
      <c r="Q729" s="67"/>
      <c r="R729" s="67"/>
      <c r="S729" s="67"/>
    </row>
    <row r="730">
      <c r="B730" s="66"/>
      <c r="M730" s="67"/>
      <c r="N730" s="67"/>
      <c r="O730" s="67"/>
      <c r="P730" s="67"/>
      <c r="Q730" s="67"/>
      <c r="R730" s="67"/>
      <c r="S730" s="67"/>
    </row>
    <row r="731">
      <c r="B731" s="66"/>
      <c r="M731" s="67"/>
      <c r="N731" s="67"/>
      <c r="O731" s="67"/>
      <c r="P731" s="67"/>
      <c r="Q731" s="67"/>
      <c r="R731" s="67"/>
      <c r="S731" s="67"/>
    </row>
    <row r="732">
      <c r="B732" s="66"/>
      <c r="M732" s="67"/>
      <c r="N732" s="67"/>
      <c r="O732" s="67"/>
      <c r="P732" s="67"/>
      <c r="Q732" s="67"/>
      <c r="R732" s="67"/>
      <c r="S732" s="67"/>
    </row>
    <row r="733">
      <c r="B733" s="66"/>
      <c r="M733" s="67"/>
      <c r="N733" s="67"/>
      <c r="O733" s="67"/>
      <c r="P733" s="67"/>
      <c r="Q733" s="67"/>
      <c r="R733" s="67"/>
      <c r="S733" s="67"/>
    </row>
    <row r="734">
      <c r="B734" s="66"/>
      <c r="M734" s="67"/>
      <c r="N734" s="67"/>
      <c r="O734" s="67"/>
      <c r="P734" s="67"/>
      <c r="Q734" s="67"/>
      <c r="R734" s="67"/>
      <c r="S734" s="67"/>
    </row>
    <row r="735">
      <c r="B735" s="66"/>
      <c r="M735" s="67"/>
      <c r="N735" s="67"/>
      <c r="O735" s="67"/>
      <c r="P735" s="67"/>
      <c r="Q735" s="67"/>
      <c r="R735" s="67"/>
      <c r="S735" s="67"/>
    </row>
    <row r="736">
      <c r="B736" s="66"/>
      <c r="M736" s="67"/>
      <c r="N736" s="67"/>
      <c r="O736" s="67"/>
      <c r="P736" s="67"/>
      <c r="Q736" s="67"/>
      <c r="R736" s="67"/>
      <c r="S736" s="67"/>
    </row>
    <row r="737">
      <c r="B737" s="66"/>
      <c r="M737" s="67"/>
      <c r="N737" s="67"/>
      <c r="O737" s="67"/>
      <c r="P737" s="67"/>
      <c r="Q737" s="67"/>
      <c r="R737" s="67"/>
      <c r="S737" s="67"/>
    </row>
    <row r="738">
      <c r="B738" s="66"/>
      <c r="M738" s="67"/>
      <c r="N738" s="67"/>
      <c r="O738" s="67"/>
      <c r="P738" s="67"/>
      <c r="Q738" s="67"/>
      <c r="R738" s="67"/>
      <c r="S738" s="67"/>
    </row>
    <row r="739">
      <c r="B739" s="66"/>
      <c r="M739" s="67"/>
      <c r="N739" s="67"/>
      <c r="O739" s="67"/>
      <c r="P739" s="67"/>
      <c r="Q739" s="67"/>
      <c r="R739" s="67"/>
      <c r="S739" s="67"/>
    </row>
    <row r="740">
      <c r="B740" s="66"/>
      <c r="M740" s="67"/>
      <c r="N740" s="67"/>
      <c r="O740" s="67"/>
      <c r="P740" s="67"/>
      <c r="Q740" s="67"/>
      <c r="R740" s="67"/>
      <c r="S740" s="67"/>
    </row>
    <row r="741">
      <c r="B741" s="66"/>
      <c r="M741" s="67"/>
      <c r="N741" s="67"/>
      <c r="O741" s="67"/>
      <c r="P741" s="67"/>
      <c r="Q741" s="67"/>
      <c r="R741" s="67"/>
      <c r="S741" s="67"/>
    </row>
    <row r="742">
      <c r="B742" s="66"/>
      <c r="M742" s="67"/>
      <c r="N742" s="67"/>
      <c r="O742" s="67"/>
      <c r="P742" s="67"/>
      <c r="Q742" s="67"/>
      <c r="R742" s="67"/>
      <c r="S742" s="67"/>
    </row>
    <row r="743">
      <c r="B743" s="66"/>
      <c r="M743" s="67"/>
      <c r="N743" s="67"/>
      <c r="O743" s="67"/>
      <c r="P743" s="67"/>
      <c r="Q743" s="67"/>
      <c r="R743" s="67"/>
      <c r="S743" s="67"/>
    </row>
    <row r="744">
      <c r="B744" s="66"/>
      <c r="M744" s="67"/>
      <c r="N744" s="67"/>
      <c r="O744" s="67"/>
      <c r="P744" s="67"/>
      <c r="Q744" s="67"/>
      <c r="R744" s="67"/>
      <c r="S744" s="67"/>
    </row>
    <row r="745">
      <c r="B745" s="66"/>
      <c r="M745" s="67"/>
      <c r="N745" s="67"/>
      <c r="O745" s="67"/>
      <c r="P745" s="67"/>
      <c r="Q745" s="67"/>
      <c r="R745" s="67"/>
      <c r="S745" s="67"/>
    </row>
    <row r="746">
      <c r="B746" s="66"/>
      <c r="M746" s="67"/>
      <c r="N746" s="67"/>
      <c r="O746" s="67"/>
      <c r="P746" s="67"/>
      <c r="Q746" s="67"/>
      <c r="R746" s="67"/>
      <c r="S746" s="67"/>
    </row>
    <row r="747">
      <c r="B747" s="66"/>
      <c r="M747" s="67"/>
      <c r="N747" s="67"/>
      <c r="O747" s="67"/>
      <c r="P747" s="67"/>
      <c r="Q747" s="67"/>
      <c r="R747" s="67"/>
      <c r="S747" s="67"/>
    </row>
    <row r="748">
      <c r="B748" s="66"/>
      <c r="M748" s="67"/>
      <c r="N748" s="67"/>
      <c r="O748" s="67"/>
      <c r="P748" s="67"/>
      <c r="Q748" s="67"/>
      <c r="R748" s="67"/>
      <c r="S748" s="67"/>
    </row>
    <row r="749">
      <c r="B749" s="66"/>
      <c r="M749" s="67"/>
      <c r="N749" s="67"/>
      <c r="O749" s="67"/>
      <c r="P749" s="67"/>
      <c r="Q749" s="67"/>
      <c r="R749" s="67"/>
      <c r="S749" s="67"/>
    </row>
    <row r="750">
      <c r="B750" s="66"/>
      <c r="M750" s="67"/>
      <c r="N750" s="67"/>
      <c r="O750" s="67"/>
      <c r="P750" s="67"/>
      <c r="Q750" s="67"/>
      <c r="R750" s="67"/>
      <c r="S750" s="67"/>
    </row>
    <row r="751">
      <c r="B751" s="66"/>
      <c r="M751" s="67"/>
      <c r="N751" s="67"/>
      <c r="O751" s="67"/>
      <c r="P751" s="67"/>
      <c r="Q751" s="67"/>
      <c r="R751" s="67"/>
      <c r="S751" s="67"/>
    </row>
    <row r="752">
      <c r="B752" s="66"/>
      <c r="M752" s="67"/>
      <c r="N752" s="67"/>
      <c r="O752" s="67"/>
      <c r="P752" s="67"/>
      <c r="Q752" s="67"/>
      <c r="R752" s="67"/>
      <c r="S752" s="67"/>
    </row>
    <row r="753">
      <c r="B753" s="66"/>
      <c r="M753" s="67"/>
      <c r="N753" s="67"/>
      <c r="O753" s="67"/>
      <c r="P753" s="67"/>
      <c r="Q753" s="67"/>
      <c r="R753" s="67"/>
      <c r="S753" s="67"/>
    </row>
    <row r="754">
      <c r="B754" s="66"/>
      <c r="M754" s="67"/>
      <c r="N754" s="67"/>
      <c r="O754" s="67"/>
      <c r="P754" s="67"/>
      <c r="Q754" s="67"/>
      <c r="R754" s="67"/>
      <c r="S754" s="67"/>
    </row>
    <row r="755">
      <c r="B755" s="66"/>
      <c r="M755" s="67"/>
      <c r="N755" s="67"/>
      <c r="O755" s="67"/>
      <c r="P755" s="67"/>
      <c r="Q755" s="67"/>
      <c r="R755" s="67"/>
      <c r="S755" s="67"/>
    </row>
    <row r="756">
      <c r="B756" s="66"/>
      <c r="M756" s="67"/>
      <c r="N756" s="67"/>
      <c r="O756" s="67"/>
      <c r="P756" s="67"/>
      <c r="Q756" s="67"/>
      <c r="R756" s="67"/>
      <c r="S756" s="67"/>
    </row>
    <row r="757">
      <c r="B757" s="66"/>
      <c r="M757" s="67"/>
      <c r="N757" s="67"/>
      <c r="O757" s="67"/>
      <c r="P757" s="67"/>
      <c r="Q757" s="67"/>
      <c r="R757" s="67"/>
      <c r="S757" s="67"/>
    </row>
    <row r="758">
      <c r="B758" s="66"/>
      <c r="M758" s="67"/>
      <c r="N758" s="67"/>
      <c r="O758" s="67"/>
      <c r="P758" s="67"/>
      <c r="Q758" s="67"/>
      <c r="R758" s="67"/>
      <c r="S758" s="67"/>
    </row>
    <row r="759">
      <c r="B759" s="66"/>
      <c r="M759" s="67"/>
      <c r="N759" s="67"/>
      <c r="O759" s="67"/>
      <c r="P759" s="67"/>
      <c r="Q759" s="67"/>
      <c r="R759" s="67"/>
      <c r="S759" s="67"/>
    </row>
    <row r="760">
      <c r="B760" s="66"/>
      <c r="M760" s="67"/>
      <c r="N760" s="67"/>
      <c r="O760" s="67"/>
      <c r="P760" s="67"/>
      <c r="Q760" s="67"/>
      <c r="R760" s="67"/>
      <c r="S760" s="67"/>
    </row>
    <row r="761">
      <c r="B761" s="66"/>
      <c r="M761" s="67"/>
      <c r="N761" s="67"/>
      <c r="O761" s="67"/>
      <c r="P761" s="67"/>
      <c r="Q761" s="67"/>
      <c r="R761" s="67"/>
      <c r="S761" s="67"/>
    </row>
    <row r="762">
      <c r="B762" s="66"/>
      <c r="M762" s="67"/>
      <c r="N762" s="67"/>
      <c r="O762" s="67"/>
      <c r="P762" s="67"/>
      <c r="Q762" s="67"/>
      <c r="R762" s="67"/>
      <c r="S762" s="67"/>
    </row>
    <row r="763">
      <c r="B763" s="66"/>
      <c r="M763" s="67"/>
      <c r="N763" s="67"/>
      <c r="O763" s="67"/>
      <c r="P763" s="67"/>
      <c r="Q763" s="67"/>
      <c r="R763" s="67"/>
      <c r="S763" s="67"/>
    </row>
    <row r="764">
      <c r="B764" s="66"/>
      <c r="M764" s="67"/>
      <c r="N764" s="67"/>
      <c r="O764" s="67"/>
      <c r="P764" s="67"/>
      <c r="Q764" s="67"/>
      <c r="R764" s="67"/>
      <c r="S764" s="67"/>
    </row>
    <row r="765">
      <c r="B765" s="66"/>
      <c r="M765" s="67"/>
      <c r="N765" s="67"/>
      <c r="O765" s="67"/>
      <c r="P765" s="67"/>
      <c r="Q765" s="67"/>
      <c r="R765" s="67"/>
      <c r="S765" s="67"/>
    </row>
    <row r="766">
      <c r="B766" s="66"/>
      <c r="M766" s="67"/>
      <c r="N766" s="67"/>
      <c r="O766" s="67"/>
      <c r="P766" s="67"/>
      <c r="Q766" s="67"/>
      <c r="R766" s="67"/>
      <c r="S766" s="67"/>
    </row>
    <row r="767">
      <c r="B767" s="66"/>
      <c r="M767" s="67"/>
      <c r="N767" s="67"/>
      <c r="O767" s="67"/>
      <c r="P767" s="67"/>
      <c r="Q767" s="67"/>
      <c r="R767" s="67"/>
      <c r="S767" s="67"/>
    </row>
    <row r="768">
      <c r="B768" s="66"/>
      <c r="M768" s="67"/>
      <c r="N768" s="67"/>
      <c r="O768" s="67"/>
      <c r="P768" s="67"/>
      <c r="Q768" s="67"/>
      <c r="R768" s="67"/>
      <c r="S768" s="67"/>
    </row>
    <row r="769">
      <c r="B769" s="66"/>
      <c r="M769" s="67"/>
      <c r="N769" s="67"/>
      <c r="O769" s="67"/>
      <c r="P769" s="67"/>
      <c r="Q769" s="67"/>
      <c r="R769" s="67"/>
      <c r="S769" s="67"/>
    </row>
    <row r="770">
      <c r="B770" s="66"/>
      <c r="M770" s="67"/>
      <c r="N770" s="67"/>
      <c r="O770" s="67"/>
      <c r="P770" s="67"/>
      <c r="Q770" s="67"/>
      <c r="R770" s="67"/>
      <c r="S770" s="67"/>
    </row>
    <row r="771">
      <c r="B771" s="66"/>
      <c r="M771" s="67"/>
      <c r="N771" s="67"/>
      <c r="O771" s="67"/>
      <c r="P771" s="67"/>
      <c r="Q771" s="67"/>
      <c r="R771" s="67"/>
      <c r="S771" s="67"/>
    </row>
    <row r="772">
      <c r="B772" s="66"/>
      <c r="M772" s="67"/>
      <c r="N772" s="67"/>
      <c r="O772" s="67"/>
      <c r="P772" s="67"/>
      <c r="Q772" s="67"/>
      <c r="R772" s="67"/>
      <c r="S772" s="67"/>
    </row>
    <row r="773">
      <c r="B773" s="66"/>
      <c r="M773" s="67"/>
      <c r="N773" s="67"/>
      <c r="O773" s="67"/>
      <c r="P773" s="67"/>
      <c r="Q773" s="67"/>
      <c r="R773" s="67"/>
      <c r="S773" s="67"/>
    </row>
    <row r="774">
      <c r="B774" s="66"/>
      <c r="M774" s="67"/>
      <c r="N774" s="67"/>
      <c r="O774" s="67"/>
      <c r="P774" s="67"/>
      <c r="Q774" s="67"/>
      <c r="R774" s="67"/>
      <c r="S774" s="67"/>
    </row>
    <row r="775">
      <c r="B775" s="66"/>
      <c r="M775" s="67"/>
      <c r="N775" s="67"/>
      <c r="O775" s="67"/>
      <c r="P775" s="67"/>
      <c r="Q775" s="67"/>
      <c r="R775" s="67"/>
      <c r="S775" s="67"/>
    </row>
    <row r="776">
      <c r="B776" s="66"/>
      <c r="M776" s="67"/>
      <c r="N776" s="67"/>
      <c r="O776" s="67"/>
      <c r="P776" s="67"/>
      <c r="Q776" s="67"/>
      <c r="R776" s="67"/>
      <c r="S776" s="67"/>
    </row>
    <row r="777">
      <c r="B777" s="66"/>
      <c r="M777" s="67"/>
      <c r="N777" s="67"/>
      <c r="O777" s="67"/>
      <c r="P777" s="67"/>
      <c r="Q777" s="67"/>
      <c r="R777" s="67"/>
      <c r="S777" s="67"/>
    </row>
    <row r="778">
      <c r="B778" s="66"/>
      <c r="M778" s="67"/>
      <c r="N778" s="67"/>
      <c r="O778" s="67"/>
      <c r="P778" s="67"/>
      <c r="Q778" s="67"/>
      <c r="R778" s="67"/>
      <c r="S778" s="67"/>
    </row>
    <row r="779">
      <c r="B779" s="66"/>
      <c r="M779" s="67"/>
      <c r="N779" s="67"/>
      <c r="O779" s="67"/>
      <c r="P779" s="67"/>
      <c r="Q779" s="67"/>
      <c r="R779" s="67"/>
      <c r="S779" s="67"/>
    </row>
    <row r="780">
      <c r="B780" s="66"/>
      <c r="M780" s="67"/>
      <c r="N780" s="67"/>
      <c r="O780" s="67"/>
      <c r="P780" s="67"/>
      <c r="Q780" s="67"/>
      <c r="R780" s="67"/>
      <c r="S780" s="67"/>
    </row>
    <row r="781">
      <c r="B781" s="66"/>
      <c r="M781" s="67"/>
      <c r="N781" s="67"/>
      <c r="O781" s="67"/>
      <c r="P781" s="67"/>
      <c r="Q781" s="67"/>
      <c r="R781" s="67"/>
      <c r="S781" s="67"/>
    </row>
    <row r="782">
      <c r="B782" s="66"/>
      <c r="M782" s="67"/>
      <c r="N782" s="67"/>
      <c r="O782" s="67"/>
      <c r="P782" s="67"/>
      <c r="Q782" s="67"/>
      <c r="R782" s="67"/>
      <c r="S782" s="67"/>
    </row>
    <row r="783">
      <c r="B783" s="66"/>
      <c r="M783" s="67"/>
      <c r="N783" s="67"/>
      <c r="O783" s="67"/>
      <c r="P783" s="67"/>
      <c r="Q783" s="67"/>
      <c r="R783" s="67"/>
      <c r="S783" s="67"/>
    </row>
    <row r="784">
      <c r="B784" s="66"/>
      <c r="M784" s="67"/>
      <c r="N784" s="67"/>
      <c r="O784" s="67"/>
      <c r="P784" s="67"/>
      <c r="Q784" s="67"/>
      <c r="R784" s="67"/>
      <c r="S784" s="67"/>
    </row>
    <row r="785">
      <c r="B785" s="66"/>
      <c r="M785" s="67"/>
      <c r="N785" s="67"/>
      <c r="O785" s="67"/>
      <c r="P785" s="67"/>
      <c r="Q785" s="67"/>
      <c r="R785" s="67"/>
      <c r="S785" s="67"/>
    </row>
    <row r="786">
      <c r="B786" s="66"/>
      <c r="M786" s="67"/>
      <c r="N786" s="67"/>
      <c r="O786" s="67"/>
      <c r="P786" s="67"/>
      <c r="Q786" s="67"/>
      <c r="R786" s="67"/>
      <c r="S786" s="67"/>
    </row>
    <row r="787">
      <c r="B787" s="66"/>
      <c r="M787" s="67"/>
      <c r="N787" s="67"/>
      <c r="O787" s="67"/>
      <c r="P787" s="67"/>
      <c r="Q787" s="67"/>
      <c r="R787" s="67"/>
      <c r="S787" s="67"/>
    </row>
    <row r="788">
      <c r="B788" s="66"/>
      <c r="M788" s="67"/>
      <c r="N788" s="67"/>
      <c r="O788" s="67"/>
      <c r="P788" s="67"/>
      <c r="Q788" s="67"/>
      <c r="R788" s="67"/>
      <c r="S788" s="67"/>
    </row>
    <row r="789">
      <c r="B789" s="66"/>
      <c r="M789" s="67"/>
      <c r="N789" s="67"/>
      <c r="O789" s="67"/>
      <c r="P789" s="67"/>
      <c r="Q789" s="67"/>
      <c r="R789" s="67"/>
      <c r="S789" s="67"/>
    </row>
    <row r="790">
      <c r="B790" s="66"/>
      <c r="M790" s="67"/>
      <c r="N790" s="67"/>
      <c r="O790" s="67"/>
      <c r="P790" s="67"/>
      <c r="Q790" s="67"/>
      <c r="R790" s="67"/>
      <c r="S790" s="67"/>
    </row>
    <row r="791">
      <c r="B791" s="66"/>
      <c r="M791" s="67"/>
      <c r="N791" s="67"/>
      <c r="O791" s="67"/>
      <c r="P791" s="67"/>
      <c r="Q791" s="67"/>
      <c r="R791" s="67"/>
      <c r="S791" s="67"/>
    </row>
    <row r="792">
      <c r="B792" s="66"/>
      <c r="M792" s="67"/>
      <c r="N792" s="67"/>
      <c r="O792" s="67"/>
      <c r="P792" s="67"/>
      <c r="Q792" s="67"/>
      <c r="R792" s="67"/>
      <c r="S792" s="67"/>
    </row>
    <row r="793">
      <c r="B793" s="66"/>
      <c r="M793" s="67"/>
      <c r="N793" s="67"/>
      <c r="O793" s="67"/>
      <c r="P793" s="67"/>
      <c r="Q793" s="67"/>
      <c r="R793" s="67"/>
      <c r="S793" s="67"/>
    </row>
    <row r="794">
      <c r="B794" s="66"/>
      <c r="M794" s="67"/>
      <c r="N794" s="67"/>
      <c r="O794" s="67"/>
      <c r="P794" s="67"/>
      <c r="Q794" s="67"/>
      <c r="R794" s="67"/>
      <c r="S794" s="67"/>
    </row>
    <row r="795">
      <c r="B795" s="66"/>
      <c r="M795" s="67"/>
      <c r="N795" s="67"/>
      <c r="O795" s="67"/>
      <c r="P795" s="67"/>
      <c r="Q795" s="67"/>
      <c r="R795" s="67"/>
      <c r="S795" s="67"/>
    </row>
    <row r="796">
      <c r="B796" s="66"/>
      <c r="M796" s="67"/>
      <c r="N796" s="67"/>
      <c r="O796" s="67"/>
      <c r="P796" s="67"/>
      <c r="Q796" s="67"/>
      <c r="R796" s="67"/>
      <c r="S796" s="67"/>
    </row>
    <row r="797">
      <c r="B797" s="66"/>
      <c r="M797" s="67"/>
      <c r="N797" s="67"/>
      <c r="O797" s="67"/>
      <c r="P797" s="67"/>
      <c r="Q797" s="67"/>
      <c r="R797" s="67"/>
      <c r="S797" s="67"/>
    </row>
    <row r="798">
      <c r="B798" s="66"/>
      <c r="M798" s="67"/>
      <c r="N798" s="67"/>
      <c r="O798" s="67"/>
      <c r="P798" s="67"/>
      <c r="Q798" s="67"/>
      <c r="R798" s="67"/>
      <c r="S798" s="67"/>
    </row>
    <row r="799">
      <c r="B799" s="66"/>
      <c r="M799" s="67"/>
      <c r="N799" s="67"/>
      <c r="O799" s="67"/>
      <c r="P799" s="67"/>
      <c r="Q799" s="67"/>
      <c r="R799" s="67"/>
      <c r="S799" s="67"/>
    </row>
    <row r="800">
      <c r="B800" s="66"/>
      <c r="M800" s="67"/>
      <c r="N800" s="67"/>
      <c r="O800" s="67"/>
      <c r="P800" s="67"/>
      <c r="Q800" s="67"/>
      <c r="R800" s="67"/>
      <c r="S800" s="67"/>
    </row>
    <row r="801">
      <c r="B801" s="66"/>
      <c r="M801" s="67"/>
      <c r="N801" s="67"/>
      <c r="O801" s="67"/>
      <c r="P801" s="67"/>
      <c r="Q801" s="67"/>
      <c r="R801" s="67"/>
      <c r="S801" s="67"/>
    </row>
    <row r="802">
      <c r="B802" s="66"/>
      <c r="M802" s="67"/>
      <c r="N802" s="67"/>
      <c r="O802" s="67"/>
      <c r="P802" s="67"/>
      <c r="Q802" s="67"/>
      <c r="R802" s="67"/>
      <c r="S802" s="67"/>
    </row>
    <row r="803">
      <c r="B803" s="66"/>
      <c r="M803" s="67"/>
      <c r="N803" s="67"/>
      <c r="O803" s="67"/>
      <c r="P803" s="67"/>
      <c r="Q803" s="67"/>
      <c r="R803" s="67"/>
      <c r="S803" s="67"/>
    </row>
    <row r="804">
      <c r="B804" s="66"/>
      <c r="M804" s="67"/>
      <c r="N804" s="67"/>
      <c r="O804" s="67"/>
      <c r="P804" s="67"/>
      <c r="Q804" s="67"/>
      <c r="R804" s="67"/>
      <c r="S804" s="67"/>
    </row>
    <row r="805">
      <c r="B805" s="66"/>
      <c r="M805" s="67"/>
      <c r="N805" s="67"/>
      <c r="O805" s="67"/>
      <c r="P805" s="67"/>
      <c r="Q805" s="67"/>
      <c r="R805" s="67"/>
      <c r="S805" s="67"/>
    </row>
    <row r="806">
      <c r="B806" s="66"/>
      <c r="M806" s="67"/>
      <c r="N806" s="67"/>
      <c r="O806" s="67"/>
      <c r="P806" s="67"/>
      <c r="Q806" s="67"/>
      <c r="R806" s="67"/>
      <c r="S806" s="67"/>
    </row>
    <row r="807">
      <c r="B807" s="66"/>
      <c r="M807" s="67"/>
      <c r="N807" s="67"/>
      <c r="O807" s="67"/>
      <c r="P807" s="67"/>
      <c r="Q807" s="67"/>
      <c r="R807" s="67"/>
      <c r="S807" s="67"/>
    </row>
    <row r="808">
      <c r="B808" s="66"/>
      <c r="M808" s="67"/>
      <c r="N808" s="67"/>
      <c r="O808" s="67"/>
      <c r="P808" s="67"/>
      <c r="Q808" s="67"/>
      <c r="R808" s="67"/>
      <c r="S808" s="67"/>
    </row>
    <row r="809">
      <c r="B809" s="66"/>
      <c r="M809" s="67"/>
      <c r="N809" s="67"/>
      <c r="O809" s="67"/>
      <c r="P809" s="67"/>
      <c r="Q809" s="67"/>
      <c r="R809" s="67"/>
      <c r="S809" s="67"/>
    </row>
    <row r="810">
      <c r="B810" s="66"/>
      <c r="M810" s="67"/>
      <c r="N810" s="67"/>
      <c r="O810" s="67"/>
      <c r="P810" s="67"/>
      <c r="Q810" s="67"/>
      <c r="R810" s="67"/>
      <c r="S810" s="67"/>
    </row>
    <row r="811">
      <c r="B811" s="66"/>
      <c r="M811" s="67"/>
      <c r="N811" s="67"/>
      <c r="O811" s="67"/>
      <c r="P811" s="67"/>
      <c r="Q811" s="67"/>
      <c r="R811" s="67"/>
      <c r="S811" s="67"/>
    </row>
    <row r="812">
      <c r="B812" s="66"/>
      <c r="M812" s="67"/>
      <c r="N812" s="67"/>
      <c r="O812" s="67"/>
      <c r="P812" s="67"/>
      <c r="Q812" s="67"/>
      <c r="R812" s="67"/>
      <c r="S812" s="67"/>
    </row>
    <row r="813">
      <c r="B813" s="66"/>
      <c r="M813" s="67"/>
      <c r="N813" s="67"/>
      <c r="O813" s="67"/>
      <c r="P813" s="67"/>
      <c r="Q813" s="67"/>
      <c r="R813" s="67"/>
      <c r="S813" s="67"/>
    </row>
    <row r="814">
      <c r="B814" s="66"/>
      <c r="M814" s="67"/>
      <c r="N814" s="67"/>
      <c r="O814" s="67"/>
      <c r="P814" s="67"/>
      <c r="Q814" s="67"/>
      <c r="R814" s="67"/>
      <c r="S814" s="67"/>
    </row>
    <row r="815">
      <c r="B815" s="66"/>
      <c r="M815" s="67"/>
      <c r="N815" s="67"/>
      <c r="O815" s="67"/>
      <c r="P815" s="67"/>
      <c r="Q815" s="67"/>
      <c r="R815" s="67"/>
      <c r="S815" s="67"/>
    </row>
    <row r="816">
      <c r="B816" s="66"/>
      <c r="M816" s="67"/>
      <c r="N816" s="67"/>
      <c r="O816" s="67"/>
      <c r="P816" s="67"/>
      <c r="Q816" s="67"/>
      <c r="R816" s="67"/>
      <c r="S816" s="67"/>
    </row>
    <row r="817">
      <c r="B817" s="66"/>
      <c r="M817" s="67"/>
      <c r="N817" s="67"/>
      <c r="O817" s="67"/>
      <c r="P817" s="67"/>
      <c r="Q817" s="67"/>
      <c r="R817" s="67"/>
      <c r="S817" s="67"/>
    </row>
    <row r="818">
      <c r="B818" s="66"/>
      <c r="M818" s="67"/>
      <c r="N818" s="67"/>
      <c r="O818" s="67"/>
      <c r="P818" s="67"/>
      <c r="Q818" s="67"/>
      <c r="R818" s="67"/>
      <c r="S818" s="67"/>
    </row>
    <row r="819">
      <c r="B819" s="66"/>
      <c r="M819" s="67"/>
      <c r="N819" s="67"/>
      <c r="O819" s="67"/>
      <c r="P819" s="67"/>
      <c r="Q819" s="67"/>
      <c r="R819" s="67"/>
      <c r="S819" s="67"/>
    </row>
    <row r="820">
      <c r="B820" s="66"/>
      <c r="M820" s="67"/>
      <c r="N820" s="67"/>
      <c r="O820" s="67"/>
      <c r="P820" s="67"/>
      <c r="Q820" s="67"/>
      <c r="R820" s="67"/>
      <c r="S820" s="67"/>
    </row>
    <row r="821">
      <c r="B821" s="66"/>
      <c r="M821" s="67"/>
      <c r="N821" s="67"/>
      <c r="O821" s="67"/>
      <c r="P821" s="67"/>
      <c r="Q821" s="67"/>
      <c r="R821" s="67"/>
      <c r="S821" s="67"/>
    </row>
    <row r="822">
      <c r="B822" s="66"/>
      <c r="M822" s="67"/>
      <c r="N822" s="67"/>
      <c r="O822" s="67"/>
      <c r="P822" s="67"/>
      <c r="Q822" s="67"/>
      <c r="R822" s="67"/>
      <c r="S822" s="67"/>
    </row>
    <row r="823">
      <c r="B823" s="66"/>
      <c r="M823" s="67"/>
      <c r="N823" s="67"/>
      <c r="O823" s="67"/>
      <c r="P823" s="67"/>
      <c r="Q823" s="67"/>
      <c r="R823" s="67"/>
      <c r="S823" s="67"/>
    </row>
    <row r="824">
      <c r="B824" s="66"/>
      <c r="M824" s="67"/>
      <c r="N824" s="67"/>
      <c r="O824" s="67"/>
      <c r="P824" s="67"/>
      <c r="Q824" s="67"/>
      <c r="R824" s="67"/>
      <c r="S824" s="67"/>
    </row>
    <row r="825">
      <c r="B825" s="66"/>
      <c r="M825" s="67"/>
      <c r="N825" s="67"/>
      <c r="O825" s="67"/>
      <c r="P825" s="67"/>
      <c r="Q825" s="67"/>
      <c r="R825" s="67"/>
      <c r="S825" s="67"/>
    </row>
    <row r="826">
      <c r="B826" s="66"/>
      <c r="M826" s="67"/>
      <c r="N826" s="67"/>
      <c r="O826" s="67"/>
      <c r="P826" s="67"/>
      <c r="Q826" s="67"/>
      <c r="R826" s="67"/>
      <c r="S826" s="67"/>
    </row>
    <row r="827">
      <c r="B827" s="66"/>
      <c r="M827" s="67"/>
      <c r="N827" s="67"/>
      <c r="O827" s="67"/>
      <c r="P827" s="67"/>
      <c r="Q827" s="67"/>
      <c r="R827" s="67"/>
      <c r="S827" s="67"/>
    </row>
    <row r="828">
      <c r="B828" s="66"/>
      <c r="M828" s="67"/>
      <c r="N828" s="67"/>
      <c r="O828" s="67"/>
      <c r="P828" s="67"/>
      <c r="Q828" s="67"/>
      <c r="R828" s="67"/>
      <c r="S828" s="67"/>
    </row>
    <row r="829">
      <c r="B829" s="66"/>
      <c r="M829" s="67"/>
      <c r="N829" s="67"/>
      <c r="O829" s="67"/>
      <c r="P829" s="67"/>
      <c r="Q829" s="67"/>
      <c r="R829" s="67"/>
      <c r="S829" s="67"/>
    </row>
    <row r="830">
      <c r="B830" s="66"/>
      <c r="M830" s="67"/>
      <c r="N830" s="67"/>
      <c r="O830" s="67"/>
      <c r="P830" s="67"/>
      <c r="Q830" s="67"/>
      <c r="R830" s="67"/>
      <c r="S830" s="67"/>
    </row>
    <row r="831">
      <c r="B831" s="66"/>
      <c r="M831" s="67"/>
      <c r="N831" s="67"/>
      <c r="O831" s="67"/>
      <c r="P831" s="67"/>
      <c r="Q831" s="67"/>
      <c r="R831" s="67"/>
      <c r="S831" s="67"/>
    </row>
    <row r="832">
      <c r="B832" s="66"/>
      <c r="M832" s="67"/>
      <c r="N832" s="67"/>
      <c r="O832" s="67"/>
      <c r="P832" s="67"/>
      <c r="Q832" s="67"/>
      <c r="R832" s="67"/>
      <c r="S832" s="67"/>
    </row>
    <row r="833">
      <c r="B833" s="66"/>
      <c r="M833" s="67"/>
      <c r="N833" s="67"/>
      <c r="O833" s="67"/>
      <c r="P833" s="67"/>
      <c r="Q833" s="67"/>
      <c r="R833" s="67"/>
      <c r="S833" s="67"/>
    </row>
    <row r="834">
      <c r="B834" s="66"/>
      <c r="M834" s="67"/>
      <c r="N834" s="67"/>
      <c r="O834" s="67"/>
      <c r="P834" s="67"/>
      <c r="Q834" s="67"/>
      <c r="R834" s="67"/>
      <c r="S834" s="67"/>
    </row>
    <row r="835">
      <c r="B835" s="66"/>
      <c r="M835" s="67"/>
      <c r="N835" s="67"/>
      <c r="O835" s="67"/>
      <c r="P835" s="67"/>
      <c r="Q835" s="67"/>
      <c r="R835" s="67"/>
      <c r="S835" s="67"/>
    </row>
    <row r="836">
      <c r="B836" s="66"/>
      <c r="M836" s="67"/>
      <c r="N836" s="67"/>
      <c r="O836" s="67"/>
      <c r="P836" s="67"/>
      <c r="Q836" s="67"/>
      <c r="R836" s="67"/>
      <c r="S836" s="67"/>
    </row>
    <row r="837">
      <c r="B837" s="66"/>
      <c r="M837" s="67"/>
      <c r="N837" s="67"/>
      <c r="O837" s="67"/>
      <c r="P837" s="67"/>
      <c r="Q837" s="67"/>
      <c r="R837" s="67"/>
      <c r="S837" s="67"/>
    </row>
    <row r="838">
      <c r="B838" s="66"/>
      <c r="M838" s="67"/>
      <c r="N838" s="67"/>
      <c r="O838" s="67"/>
      <c r="P838" s="67"/>
      <c r="Q838" s="67"/>
      <c r="R838" s="67"/>
      <c r="S838" s="67"/>
    </row>
    <row r="839">
      <c r="B839" s="66"/>
      <c r="M839" s="67"/>
      <c r="N839" s="67"/>
      <c r="O839" s="67"/>
      <c r="P839" s="67"/>
      <c r="Q839" s="67"/>
      <c r="R839" s="67"/>
      <c r="S839" s="67"/>
    </row>
    <row r="840">
      <c r="B840" s="66"/>
      <c r="M840" s="67"/>
      <c r="N840" s="67"/>
      <c r="O840" s="67"/>
      <c r="P840" s="67"/>
      <c r="Q840" s="67"/>
      <c r="R840" s="67"/>
      <c r="S840" s="67"/>
    </row>
    <row r="841">
      <c r="B841" s="66"/>
      <c r="M841" s="67"/>
      <c r="N841" s="67"/>
      <c r="O841" s="67"/>
      <c r="P841" s="67"/>
      <c r="Q841" s="67"/>
      <c r="R841" s="67"/>
      <c r="S841" s="67"/>
    </row>
    <row r="842">
      <c r="B842" s="66"/>
      <c r="M842" s="67"/>
      <c r="N842" s="67"/>
      <c r="O842" s="67"/>
      <c r="P842" s="67"/>
      <c r="Q842" s="67"/>
      <c r="R842" s="67"/>
      <c r="S842" s="67"/>
    </row>
    <row r="843">
      <c r="B843" s="66"/>
      <c r="M843" s="67"/>
      <c r="N843" s="67"/>
      <c r="O843" s="67"/>
      <c r="P843" s="67"/>
      <c r="Q843" s="67"/>
      <c r="R843" s="67"/>
      <c r="S843" s="67"/>
    </row>
    <row r="844">
      <c r="B844" s="66"/>
      <c r="M844" s="67"/>
      <c r="N844" s="67"/>
      <c r="O844" s="67"/>
      <c r="P844" s="67"/>
      <c r="Q844" s="67"/>
      <c r="R844" s="67"/>
      <c r="S844" s="67"/>
    </row>
    <row r="845">
      <c r="B845" s="66"/>
      <c r="M845" s="67"/>
      <c r="N845" s="67"/>
      <c r="O845" s="67"/>
      <c r="P845" s="67"/>
      <c r="Q845" s="67"/>
      <c r="R845" s="67"/>
      <c r="S845" s="67"/>
    </row>
    <row r="846">
      <c r="B846" s="66"/>
      <c r="M846" s="67"/>
      <c r="N846" s="67"/>
      <c r="O846" s="67"/>
      <c r="P846" s="67"/>
      <c r="Q846" s="67"/>
      <c r="R846" s="67"/>
      <c r="S846" s="67"/>
    </row>
    <row r="847">
      <c r="B847" s="66"/>
      <c r="M847" s="67"/>
      <c r="N847" s="67"/>
      <c r="O847" s="67"/>
      <c r="P847" s="67"/>
      <c r="Q847" s="67"/>
      <c r="R847" s="67"/>
      <c r="S847" s="67"/>
    </row>
    <row r="848">
      <c r="B848" s="66"/>
      <c r="M848" s="67"/>
      <c r="N848" s="67"/>
      <c r="O848" s="67"/>
      <c r="P848" s="67"/>
      <c r="Q848" s="67"/>
      <c r="R848" s="67"/>
      <c r="S848" s="67"/>
    </row>
    <row r="849">
      <c r="B849" s="66"/>
      <c r="M849" s="67"/>
      <c r="N849" s="67"/>
      <c r="O849" s="67"/>
      <c r="P849" s="67"/>
      <c r="Q849" s="67"/>
      <c r="R849" s="67"/>
      <c r="S849" s="67"/>
    </row>
    <row r="850">
      <c r="B850" s="66"/>
      <c r="M850" s="67"/>
      <c r="N850" s="67"/>
      <c r="O850" s="67"/>
      <c r="P850" s="67"/>
      <c r="Q850" s="67"/>
      <c r="R850" s="67"/>
      <c r="S850" s="67"/>
    </row>
    <row r="851">
      <c r="B851" s="66"/>
      <c r="M851" s="67"/>
      <c r="N851" s="67"/>
      <c r="O851" s="67"/>
      <c r="P851" s="67"/>
      <c r="Q851" s="67"/>
      <c r="R851" s="67"/>
      <c r="S851" s="67"/>
    </row>
    <row r="852">
      <c r="B852" s="66"/>
      <c r="M852" s="67"/>
      <c r="N852" s="67"/>
      <c r="O852" s="67"/>
      <c r="P852" s="67"/>
      <c r="Q852" s="67"/>
      <c r="R852" s="67"/>
      <c r="S852" s="67"/>
    </row>
    <row r="853">
      <c r="B853" s="66"/>
      <c r="M853" s="67"/>
      <c r="N853" s="67"/>
      <c r="O853" s="67"/>
      <c r="P853" s="67"/>
      <c r="Q853" s="67"/>
      <c r="R853" s="67"/>
      <c r="S853" s="67"/>
    </row>
    <row r="854">
      <c r="B854" s="66"/>
      <c r="M854" s="67"/>
      <c r="N854" s="67"/>
      <c r="O854" s="67"/>
      <c r="P854" s="67"/>
      <c r="Q854" s="67"/>
      <c r="R854" s="67"/>
      <c r="S854" s="67"/>
    </row>
    <row r="855">
      <c r="B855" s="66"/>
      <c r="M855" s="67"/>
      <c r="N855" s="67"/>
      <c r="O855" s="67"/>
      <c r="P855" s="67"/>
      <c r="Q855" s="67"/>
      <c r="R855" s="67"/>
      <c r="S855" s="67"/>
    </row>
    <row r="856">
      <c r="B856" s="66"/>
      <c r="M856" s="67"/>
      <c r="N856" s="67"/>
      <c r="O856" s="67"/>
      <c r="P856" s="67"/>
      <c r="Q856" s="67"/>
      <c r="R856" s="67"/>
      <c r="S856" s="67"/>
    </row>
    <row r="857">
      <c r="B857" s="66"/>
      <c r="M857" s="67"/>
      <c r="N857" s="67"/>
      <c r="O857" s="67"/>
      <c r="P857" s="67"/>
      <c r="Q857" s="67"/>
      <c r="R857" s="67"/>
      <c r="S857" s="67"/>
    </row>
    <row r="858">
      <c r="B858" s="66"/>
      <c r="M858" s="67"/>
      <c r="N858" s="67"/>
      <c r="O858" s="67"/>
      <c r="P858" s="67"/>
      <c r="Q858" s="67"/>
      <c r="R858" s="67"/>
      <c r="S858" s="67"/>
    </row>
    <row r="859">
      <c r="B859" s="66"/>
      <c r="M859" s="67"/>
      <c r="N859" s="67"/>
      <c r="O859" s="67"/>
      <c r="P859" s="67"/>
      <c r="Q859" s="67"/>
      <c r="R859" s="67"/>
      <c r="S859" s="67"/>
    </row>
    <row r="860">
      <c r="B860" s="66"/>
      <c r="M860" s="67"/>
      <c r="N860" s="67"/>
      <c r="O860" s="67"/>
      <c r="P860" s="67"/>
      <c r="Q860" s="67"/>
      <c r="R860" s="67"/>
      <c r="S860" s="67"/>
    </row>
    <row r="861">
      <c r="B861" s="66"/>
      <c r="M861" s="67"/>
      <c r="N861" s="67"/>
      <c r="O861" s="67"/>
      <c r="P861" s="67"/>
      <c r="Q861" s="67"/>
      <c r="R861" s="67"/>
      <c r="S861" s="67"/>
    </row>
    <row r="862">
      <c r="B862" s="66"/>
      <c r="M862" s="67"/>
      <c r="N862" s="67"/>
      <c r="O862" s="67"/>
      <c r="P862" s="67"/>
      <c r="Q862" s="67"/>
      <c r="R862" s="67"/>
      <c r="S862" s="67"/>
    </row>
    <row r="863">
      <c r="B863" s="66"/>
      <c r="M863" s="67"/>
      <c r="N863" s="67"/>
      <c r="O863" s="67"/>
      <c r="P863" s="67"/>
      <c r="Q863" s="67"/>
      <c r="R863" s="67"/>
      <c r="S863" s="67"/>
    </row>
    <row r="864">
      <c r="B864" s="66"/>
      <c r="M864" s="67"/>
      <c r="N864" s="67"/>
      <c r="O864" s="67"/>
      <c r="P864" s="67"/>
      <c r="Q864" s="67"/>
      <c r="R864" s="67"/>
      <c r="S864" s="67"/>
    </row>
    <row r="865">
      <c r="B865" s="66"/>
      <c r="M865" s="67"/>
      <c r="N865" s="67"/>
      <c r="O865" s="67"/>
      <c r="P865" s="67"/>
      <c r="Q865" s="67"/>
      <c r="R865" s="67"/>
      <c r="S865" s="67"/>
    </row>
    <row r="866">
      <c r="B866" s="66"/>
      <c r="M866" s="67"/>
      <c r="N866" s="67"/>
      <c r="O866" s="67"/>
      <c r="P866" s="67"/>
      <c r="Q866" s="67"/>
      <c r="R866" s="67"/>
      <c r="S866" s="67"/>
    </row>
    <row r="867">
      <c r="B867" s="66"/>
      <c r="M867" s="67"/>
      <c r="N867" s="67"/>
      <c r="O867" s="67"/>
      <c r="P867" s="67"/>
      <c r="Q867" s="67"/>
      <c r="R867" s="67"/>
      <c r="S867" s="67"/>
    </row>
    <row r="868">
      <c r="B868" s="66"/>
      <c r="M868" s="67"/>
      <c r="N868" s="67"/>
      <c r="O868" s="67"/>
      <c r="P868" s="67"/>
      <c r="Q868" s="67"/>
      <c r="R868" s="67"/>
      <c r="S868" s="67"/>
    </row>
    <row r="869">
      <c r="B869" s="66"/>
      <c r="M869" s="67"/>
      <c r="N869" s="67"/>
      <c r="O869" s="67"/>
      <c r="P869" s="67"/>
      <c r="Q869" s="67"/>
      <c r="R869" s="67"/>
      <c r="S869" s="67"/>
    </row>
    <row r="870">
      <c r="B870" s="66"/>
      <c r="M870" s="67"/>
      <c r="N870" s="67"/>
      <c r="O870" s="67"/>
      <c r="P870" s="67"/>
      <c r="Q870" s="67"/>
      <c r="R870" s="67"/>
      <c r="S870" s="67"/>
    </row>
    <row r="871">
      <c r="B871" s="66"/>
      <c r="M871" s="67"/>
      <c r="N871" s="67"/>
      <c r="O871" s="67"/>
      <c r="P871" s="67"/>
      <c r="Q871" s="67"/>
      <c r="R871" s="67"/>
      <c r="S871" s="67"/>
    </row>
    <row r="872">
      <c r="B872" s="66"/>
      <c r="M872" s="67"/>
      <c r="N872" s="67"/>
      <c r="O872" s="67"/>
      <c r="P872" s="67"/>
      <c r="Q872" s="67"/>
      <c r="R872" s="67"/>
      <c r="S872" s="67"/>
    </row>
    <row r="873">
      <c r="B873" s="66"/>
      <c r="M873" s="67"/>
      <c r="N873" s="67"/>
      <c r="O873" s="67"/>
      <c r="P873" s="67"/>
      <c r="Q873" s="67"/>
      <c r="R873" s="67"/>
      <c r="S873" s="67"/>
    </row>
    <row r="874">
      <c r="B874" s="66"/>
      <c r="M874" s="67"/>
      <c r="N874" s="67"/>
      <c r="O874" s="67"/>
      <c r="P874" s="67"/>
      <c r="Q874" s="67"/>
      <c r="R874" s="67"/>
      <c r="S874" s="67"/>
    </row>
    <row r="875">
      <c r="B875" s="66"/>
      <c r="M875" s="67"/>
      <c r="N875" s="67"/>
      <c r="O875" s="67"/>
      <c r="P875" s="67"/>
      <c r="Q875" s="67"/>
      <c r="R875" s="67"/>
      <c r="S875" s="67"/>
    </row>
    <row r="876">
      <c r="B876" s="66"/>
      <c r="M876" s="67"/>
      <c r="N876" s="67"/>
      <c r="O876" s="67"/>
      <c r="P876" s="67"/>
      <c r="Q876" s="67"/>
      <c r="R876" s="67"/>
      <c r="S876" s="67"/>
    </row>
    <row r="877">
      <c r="B877" s="66"/>
      <c r="M877" s="67"/>
      <c r="N877" s="67"/>
      <c r="O877" s="67"/>
      <c r="P877" s="67"/>
      <c r="Q877" s="67"/>
      <c r="R877" s="67"/>
      <c r="S877" s="67"/>
    </row>
    <row r="878">
      <c r="B878" s="66"/>
      <c r="M878" s="67"/>
      <c r="N878" s="67"/>
      <c r="O878" s="67"/>
      <c r="P878" s="67"/>
      <c r="Q878" s="67"/>
      <c r="R878" s="67"/>
      <c r="S878" s="67"/>
    </row>
    <row r="879">
      <c r="B879" s="66"/>
      <c r="M879" s="67"/>
      <c r="N879" s="67"/>
      <c r="O879" s="67"/>
      <c r="P879" s="67"/>
      <c r="Q879" s="67"/>
      <c r="R879" s="67"/>
      <c r="S879" s="67"/>
    </row>
    <row r="880">
      <c r="B880" s="66"/>
      <c r="M880" s="67"/>
      <c r="N880" s="67"/>
      <c r="O880" s="67"/>
      <c r="P880" s="67"/>
      <c r="Q880" s="67"/>
      <c r="R880" s="67"/>
      <c r="S880" s="67"/>
    </row>
    <row r="881">
      <c r="B881" s="66"/>
      <c r="M881" s="67"/>
      <c r="N881" s="67"/>
      <c r="O881" s="67"/>
      <c r="P881" s="67"/>
      <c r="Q881" s="67"/>
      <c r="R881" s="67"/>
      <c r="S881" s="67"/>
    </row>
    <row r="882">
      <c r="B882" s="66"/>
      <c r="M882" s="67"/>
      <c r="N882" s="67"/>
      <c r="O882" s="67"/>
      <c r="P882" s="67"/>
      <c r="Q882" s="67"/>
      <c r="R882" s="67"/>
      <c r="S882" s="67"/>
    </row>
    <row r="883">
      <c r="B883" s="66"/>
      <c r="M883" s="67"/>
      <c r="N883" s="67"/>
      <c r="O883" s="67"/>
      <c r="P883" s="67"/>
      <c r="Q883" s="67"/>
      <c r="R883" s="67"/>
      <c r="S883" s="67"/>
    </row>
    <row r="884">
      <c r="B884" s="66"/>
      <c r="M884" s="67"/>
      <c r="N884" s="67"/>
      <c r="O884" s="67"/>
      <c r="P884" s="67"/>
      <c r="Q884" s="67"/>
      <c r="R884" s="67"/>
      <c r="S884" s="67"/>
    </row>
    <row r="885">
      <c r="B885" s="66"/>
      <c r="M885" s="67"/>
      <c r="N885" s="67"/>
      <c r="O885" s="67"/>
      <c r="P885" s="67"/>
      <c r="Q885" s="67"/>
      <c r="R885" s="67"/>
      <c r="S885" s="67"/>
    </row>
    <row r="886">
      <c r="B886" s="66"/>
      <c r="M886" s="67"/>
      <c r="N886" s="67"/>
      <c r="O886" s="67"/>
      <c r="P886" s="67"/>
      <c r="Q886" s="67"/>
      <c r="R886" s="67"/>
      <c r="S886" s="67"/>
    </row>
    <row r="887">
      <c r="B887" s="66"/>
      <c r="M887" s="67"/>
      <c r="N887" s="67"/>
      <c r="O887" s="67"/>
      <c r="P887" s="67"/>
      <c r="Q887" s="67"/>
      <c r="R887" s="67"/>
      <c r="S887" s="67"/>
    </row>
    <row r="888">
      <c r="B888" s="66"/>
      <c r="M888" s="67"/>
      <c r="N888" s="67"/>
      <c r="O888" s="67"/>
      <c r="P888" s="67"/>
      <c r="Q888" s="67"/>
      <c r="R888" s="67"/>
      <c r="S888" s="67"/>
    </row>
    <row r="889">
      <c r="B889" s="66"/>
      <c r="M889" s="67"/>
      <c r="N889" s="67"/>
      <c r="O889" s="67"/>
      <c r="P889" s="67"/>
      <c r="Q889" s="67"/>
      <c r="R889" s="67"/>
      <c r="S889" s="67"/>
    </row>
    <row r="890">
      <c r="B890" s="66"/>
      <c r="M890" s="67"/>
      <c r="N890" s="67"/>
      <c r="O890" s="67"/>
      <c r="P890" s="67"/>
      <c r="Q890" s="67"/>
      <c r="R890" s="67"/>
      <c r="S890" s="67"/>
    </row>
    <row r="891">
      <c r="B891" s="66"/>
      <c r="M891" s="67"/>
      <c r="N891" s="67"/>
      <c r="O891" s="67"/>
      <c r="P891" s="67"/>
      <c r="Q891" s="67"/>
      <c r="R891" s="67"/>
      <c r="S891" s="67"/>
    </row>
    <row r="892">
      <c r="B892" s="66"/>
      <c r="M892" s="67"/>
      <c r="N892" s="67"/>
      <c r="O892" s="67"/>
      <c r="P892" s="67"/>
      <c r="Q892" s="67"/>
      <c r="R892" s="67"/>
      <c r="S892" s="67"/>
    </row>
    <row r="893">
      <c r="B893" s="66"/>
      <c r="M893" s="67"/>
      <c r="N893" s="67"/>
      <c r="O893" s="67"/>
      <c r="P893" s="67"/>
      <c r="Q893" s="67"/>
      <c r="R893" s="67"/>
      <c r="S893" s="67"/>
    </row>
    <row r="894">
      <c r="B894" s="66"/>
      <c r="M894" s="67"/>
      <c r="N894" s="67"/>
      <c r="O894" s="67"/>
      <c r="P894" s="67"/>
      <c r="Q894" s="67"/>
      <c r="R894" s="67"/>
      <c r="S894" s="67"/>
    </row>
    <row r="895">
      <c r="B895" s="66"/>
      <c r="M895" s="67"/>
      <c r="N895" s="67"/>
      <c r="O895" s="67"/>
      <c r="P895" s="67"/>
      <c r="Q895" s="67"/>
      <c r="R895" s="67"/>
      <c r="S895" s="67"/>
    </row>
    <row r="896">
      <c r="B896" s="66"/>
      <c r="M896" s="67"/>
      <c r="N896" s="67"/>
      <c r="O896" s="67"/>
      <c r="P896" s="67"/>
      <c r="Q896" s="67"/>
      <c r="R896" s="67"/>
      <c r="S896" s="67"/>
    </row>
    <row r="897">
      <c r="B897" s="66"/>
      <c r="M897" s="67"/>
      <c r="N897" s="67"/>
      <c r="O897" s="67"/>
      <c r="P897" s="67"/>
      <c r="Q897" s="67"/>
      <c r="R897" s="67"/>
      <c r="S897" s="67"/>
    </row>
    <row r="898">
      <c r="B898" s="66"/>
      <c r="M898" s="67"/>
      <c r="N898" s="67"/>
      <c r="O898" s="67"/>
      <c r="P898" s="67"/>
      <c r="Q898" s="67"/>
      <c r="R898" s="67"/>
      <c r="S898" s="67"/>
    </row>
    <row r="899">
      <c r="B899" s="66"/>
      <c r="M899" s="67"/>
      <c r="N899" s="67"/>
      <c r="O899" s="67"/>
      <c r="P899" s="67"/>
      <c r="Q899" s="67"/>
      <c r="R899" s="67"/>
      <c r="S899" s="67"/>
    </row>
    <row r="900">
      <c r="B900" s="66"/>
      <c r="M900" s="67"/>
      <c r="N900" s="67"/>
      <c r="O900" s="67"/>
      <c r="P900" s="67"/>
      <c r="Q900" s="67"/>
      <c r="R900" s="67"/>
      <c r="S900" s="67"/>
    </row>
    <row r="901">
      <c r="B901" s="66"/>
      <c r="M901" s="67"/>
      <c r="N901" s="67"/>
      <c r="O901" s="67"/>
      <c r="P901" s="67"/>
      <c r="Q901" s="67"/>
      <c r="R901" s="67"/>
      <c r="S901" s="67"/>
    </row>
    <row r="902">
      <c r="B902" s="66"/>
      <c r="M902" s="67"/>
      <c r="N902" s="67"/>
      <c r="O902" s="67"/>
      <c r="P902" s="67"/>
      <c r="Q902" s="67"/>
      <c r="R902" s="67"/>
      <c r="S902" s="67"/>
    </row>
    <row r="903">
      <c r="B903" s="66"/>
      <c r="M903" s="67"/>
      <c r="N903" s="67"/>
      <c r="O903" s="67"/>
      <c r="P903" s="67"/>
      <c r="Q903" s="67"/>
      <c r="R903" s="67"/>
      <c r="S903" s="67"/>
    </row>
    <row r="904">
      <c r="B904" s="66"/>
      <c r="M904" s="67"/>
      <c r="N904" s="67"/>
      <c r="O904" s="67"/>
      <c r="P904" s="67"/>
      <c r="Q904" s="67"/>
      <c r="R904" s="67"/>
      <c r="S904" s="67"/>
    </row>
    <row r="905">
      <c r="B905" s="66"/>
      <c r="M905" s="67"/>
      <c r="N905" s="67"/>
      <c r="O905" s="67"/>
      <c r="P905" s="67"/>
      <c r="Q905" s="67"/>
      <c r="R905" s="67"/>
      <c r="S905" s="67"/>
    </row>
    <row r="906">
      <c r="B906" s="66"/>
      <c r="M906" s="67"/>
      <c r="N906" s="67"/>
      <c r="O906" s="67"/>
      <c r="P906" s="67"/>
      <c r="Q906" s="67"/>
      <c r="R906" s="67"/>
      <c r="S906" s="67"/>
    </row>
    <row r="907">
      <c r="B907" s="66"/>
      <c r="M907" s="67"/>
      <c r="N907" s="67"/>
      <c r="O907" s="67"/>
      <c r="P907" s="67"/>
      <c r="Q907" s="67"/>
      <c r="R907" s="67"/>
      <c r="S907" s="67"/>
    </row>
    <row r="908">
      <c r="B908" s="66"/>
      <c r="M908" s="67"/>
      <c r="N908" s="67"/>
      <c r="O908" s="67"/>
      <c r="P908" s="67"/>
      <c r="Q908" s="67"/>
      <c r="R908" s="67"/>
      <c r="S908" s="67"/>
    </row>
    <row r="909">
      <c r="B909" s="66"/>
      <c r="M909" s="67"/>
      <c r="N909" s="67"/>
      <c r="O909" s="67"/>
      <c r="P909" s="67"/>
      <c r="Q909" s="67"/>
      <c r="R909" s="67"/>
      <c r="S909" s="67"/>
    </row>
    <row r="910">
      <c r="B910" s="66"/>
      <c r="M910" s="67"/>
      <c r="N910" s="67"/>
      <c r="O910" s="67"/>
      <c r="P910" s="67"/>
      <c r="Q910" s="67"/>
      <c r="R910" s="67"/>
      <c r="S910" s="67"/>
    </row>
    <row r="911">
      <c r="B911" s="66"/>
      <c r="M911" s="67"/>
      <c r="N911" s="67"/>
      <c r="O911" s="67"/>
      <c r="P911" s="67"/>
      <c r="Q911" s="67"/>
      <c r="R911" s="67"/>
      <c r="S911" s="67"/>
    </row>
    <row r="912">
      <c r="B912" s="66"/>
      <c r="M912" s="67"/>
      <c r="N912" s="67"/>
      <c r="O912" s="67"/>
      <c r="P912" s="67"/>
      <c r="Q912" s="67"/>
      <c r="R912" s="67"/>
      <c r="S912" s="67"/>
    </row>
    <row r="913">
      <c r="B913" s="66"/>
      <c r="M913" s="67"/>
      <c r="N913" s="67"/>
      <c r="O913" s="67"/>
      <c r="P913" s="67"/>
      <c r="Q913" s="67"/>
      <c r="R913" s="67"/>
      <c r="S913" s="67"/>
    </row>
    <row r="914">
      <c r="B914" s="66"/>
      <c r="M914" s="67"/>
      <c r="N914" s="67"/>
      <c r="O914" s="67"/>
      <c r="P914" s="67"/>
      <c r="Q914" s="67"/>
      <c r="R914" s="67"/>
      <c r="S914" s="67"/>
    </row>
    <row r="915">
      <c r="B915" s="66"/>
      <c r="M915" s="67"/>
      <c r="N915" s="67"/>
      <c r="O915" s="67"/>
      <c r="P915" s="67"/>
      <c r="Q915" s="67"/>
      <c r="R915" s="67"/>
      <c r="S915" s="67"/>
    </row>
    <row r="916">
      <c r="B916" s="66"/>
      <c r="M916" s="67"/>
      <c r="N916" s="67"/>
      <c r="O916" s="67"/>
      <c r="P916" s="67"/>
      <c r="Q916" s="67"/>
      <c r="R916" s="67"/>
      <c r="S916" s="67"/>
    </row>
    <row r="917">
      <c r="B917" s="66"/>
      <c r="M917" s="67"/>
      <c r="N917" s="67"/>
      <c r="O917" s="67"/>
      <c r="P917" s="67"/>
      <c r="Q917" s="67"/>
      <c r="R917" s="67"/>
      <c r="S917" s="67"/>
    </row>
    <row r="918">
      <c r="B918" s="66"/>
      <c r="M918" s="67"/>
      <c r="N918" s="67"/>
      <c r="O918" s="67"/>
      <c r="P918" s="67"/>
      <c r="Q918" s="67"/>
      <c r="R918" s="67"/>
      <c r="S918" s="67"/>
    </row>
    <row r="919">
      <c r="B919" s="66"/>
      <c r="M919" s="67"/>
      <c r="N919" s="67"/>
      <c r="O919" s="67"/>
      <c r="P919" s="67"/>
      <c r="Q919" s="67"/>
      <c r="R919" s="67"/>
      <c r="S919" s="67"/>
    </row>
    <row r="920">
      <c r="B920" s="66"/>
      <c r="M920" s="67"/>
      <c r="N920" s="67"/>
      <c r="O920" s="67"/>
      <c r="P920" s="67"/>
      <c r="Q920" s="67"/>
      <c r="R920" s="67"/>
      <c r="S920" s="67"/>
    </row>
    <row r="921">
      <c r="B921" s="66"/>
      <c r="M921" s="67"/>
      <c r="N921" s="67"/>
      <c r="O921" s="67"/>
      <c r="P921" s="67"/>
      <c r="Q921" s="67"/>
      <c r="R921" s="67"/>
      <c r="S921" s="67"/>
    </row>
    <row r="922">
      <c r="B922" s="66"/>
      <c r="M922" s="67"/>
      <c r="N922" s="67"/>
      <c r="O922" s="67"/>
      <c r="P922" s="67"/>
      <c r="Q922" s="67"/>
      <c r="R922" s="67"/>
      <c r="S922" s="67"/>
    </row>
    <row r="923">
      <c r="B923" s="66"/>
      <c r="M923" s="67"/>
      <c r="N923" s="67"/>
      <c r="O923" s="67"/>
      <c r="P923" s="67"/>
      <c r="Q923" s="67"/>
      <c r="R923" s="67"/>
      <c r="S923" s="67"/>
    </row>
    <row r="924">
      <c r="B924" s="66"/>
      <c r="M924" s="67"/>
      <c r="N924" s="67"/>
      <c r="O924" s="67"/>
      <c r="P924" s="67"/>
      <c r="Q924" s="67"/>
      <c r="R924" s="67"/>
      <c r="S924" s="67"/>
    </row>
    <row r="925">
      <c r="B925" s="66"/>
      <c r="M925" s="67"/>
      <c r="N925" s="67"/>
      <c r="O925" s="67"/>
      <c r="P925" s="67"/>
      <c r="Q925" s="67"/>
      <c r="R925" s="67"/>
      <c r="S925" s="67"/>
    </row>
    <row r="926">
      <c r="B926" s="66"/>
      <c r="M926" s="67"/>
      <c r="N926" s="67"/>
      <c r="O926" s="67"/>
      <c r="P926" s="67"/>
      <c r="Q926" s="67"/>
      <c r="R926" s="67"/>
      <c r="S926" s="67"/>
    </row>
    <row r="927">
      <c r="B927" s="66"/>
      <c r="M927" s="67"/>
      <c r="N927" s="67"/>
      <c r="O927" s="67"/>
      <c r="P927" s="67"/>
      <c r="Q927" s="67"/>
      <c r="R927" s="67"/>
      <c r="S927" s="67"/>
    </row>
    <row r="928">
      <c r="B928" s="66"/>
      <c r="M928" s="67"/>
      <c r="N928" s="67"/>
      <c r="O928" s="67"/>
      <c r="P928" s="67"/>
      <c r="Q928" s="67"/>
      <c r="R928" s="67"/>
      <c r="S928" s="67"/>
    </row>
    <row r="929">
      <c r="B929" s="66"/>
      <c r="M929" s="67"/>
      <c r="N929" s="67"/>
      <c r="O929" s="67"/>
      <c r="P929" s="67"/>
      <c r="Q929" s="67"/>
      <c r="R929" s="67"/>
      <c r="S929" s="67"/>
    </row>
    <row r="930">
      <c r="B930" s="66"/>
      <c r="M930" s="67"/>
      <c r="N930" s="67"/>
      <c r="O930" s="67"/>
      <c r="P930" s="67"/>
      <c r="Q930" s="67"/>
      <c r="R930" s="67"/>
      <c r="S930" s="67"/>
    </row>
    <row r="931">
      <c r="B931" s="66"/>
      <c r="M931" s="67"/>
      <c r="N931" s="67"/>
      <c r="O931" s="67"/>
      <c r="P931" s="67"/>
      <c r="Q931" s="67"/>
      <c r="R931" s="67"/>
      <c r="S931" s="67"/>
    </row>
    <row r="932">
      <c r="B932" s="66"/>
      <c r="M932" s="67"/>
      <c r="N932" s="67"/>
      <c r="O932" s="67"/>
      <c r="P932" s="67"/>
      <c r="Q932" s="67"/>
      <c r="R932" s="67"/>
      <c r="S932" s="67"/>
    </row>
    <row r="933">
      <c r="B933" s="66"/>
      <c r="M933" s="67"/>
      <c r="N933" s="67"/>
      <c r="O933" s="67"/>
      <c r="P933" s="67"/>
      <c r="Q933" s="67"/>
      <c r="R933" s="67"/>
      <c r="S933" s="67"/>
    </row>
    <row r="934">
      <c r="B934" s="66"/>
      <c r="M934" s="67"/>
      <c r="N934" s="67"/>
      <c r="O934" s="67"/>
      <c r="P934" s="67"/>
      <c r="Q934" s="67"/>
      <c r="R934" s="67"/>
      <c r="S934" s="67"/>
    </row>
    <row r="935">
      <c r="B935" s="66"/>
      <c r="M935" s="67"/>
      <c r="N935" s="67"/>
      <c r="O935" s="67"/>
      <c r="P935" s="67"/>
      <c r="Q935" s="67"/>
      <c r="R935" s="67"/>
      <c r="S935" s="67"/>
    </row>
    <row r="936">
      <c r="B936" s="66"/>
      <c r="M936" s="67"/>
      <c r="N936" s="67"/>
      <c r="O936" s="67"/>
      <c r="P936" s="67"/>
      <c r="Q936" s="67"/>
      <c r="R936" s="67"/>
      <c r="S936" s="67"/>
    </row>
    <row r="937">
      <c r="B937" s="66"/>
      <c r="M937" s="67"/>
      <c r="N937" s="67"/>
      <c r="O937" s="67"/>
      <c r="P937" s="67"/>
      <c r="Q937" s="67"/>
      <c r="R937" s="67"/>
      <c r="S937" s="67"/>
    </row>
    <row r="938">
      <c r="B938" s="66"/>
      <c r="M938" s="67"/>
      <c r="N938" s="67"/>
      <c r="O938" s="67"/>
      <c r="P938" s="67"/>
      <c r="Q938" s="67"/>
      <c r="R938" s="67"/>
      <c r="S938" s="67"/>
    </row>
    <row r="939">
      <c r="B939" s="66"/>
      <c r="M939" s="67"/>
      <c r="N939" s="67"/>
      <c r="O939" s="67"/>
      <c r="P939" s="67"/>
      <c r="Q939" s="67"/>
      <c r="R939" s="67"/>
      <c r="S939" s="67"/>
    </row>
    <row r="940">
      <c r="B940" s="66"/>
      <c r="M940" s="67"/>
      <c r="N940" s="67"/>
      <c r="O940" s="67"/>
      <c r="P940" s="67"/>
      <c r="Q940" s="67"/>
      <c r="R940" s="67"/>
      <c r="S940" s="67"/>
    </row>
    <row r="941">
      <c r="B941" s="66"/>
      <c r="M941" s="67"/>
      <c r="N941" s="67"/>
      <c r="O941" s="67"/>
      <c r="P941" s="67"/>
      <c r="Q941" s="67"/>
      <c r="R941" s="67"/>
      <c r="S941" s="67"/>
    </row>
    <row r="942">
      <c r="B942" s="66"/>
      <c r="M942" s="67"/>
      <c r="N942" s="67"/>
      <c r="O942" s="67"/>
      <c r="P942" s="67"/>
      <c r="Q942" s="67"/>
      <c r="R942" s="67"/>
      <c r="S942" s="67"/>
    </row>
    <row r="943">
      <c r="B943" s="66"/>
      <c r="M943" s="67"/>
      <c r="N943" s="67"/>
      <c r="O943" s="67"/>
      <c r="P943" s="67"/>
      <c r="Q943" s="67"/>
      <c r="R943" s="67"/>
      <c r="S943" s="67"/>
    </row>
    <row r="944">
      <c r="B944" s="66"/>
      <c r="M944" s="67"/>
      <c r="N944" s="67"/>
      <c r="O944" s="67"/>
      <c r="P944" s="67"/>
      <c r="Q944" s="67"/>
      <c r="R944" s="67"/>
      <c r="S944" s="67"/>
    </row>
    <row r="945">
      <c r="B945" s="66"/>
      <c r="M945" s="67"/>
      <c r="N945" s="67"/>
      <c r="O945" s="67"/>
      <c r="P945" s="67"/>
      <c r="Q945" s="67"/>
      <c r="R945" s="67"/>
      <c r="S945" s="67"/>
    </row>
    <row r="946">
      <c r="B946" s="66"/>
      <c r="M946" s="67"/>
      <c r="N946" s="67"/>
      <c r="O946" s="67"/>
      <c r="P946" s="67"/>
      <c r="Q946" s="67"/>
      <c r="R946" s="67"/>
      <c r="S946" s="67"/>
    </row>
    <row r="947">
      <c r="B947" s="66"/>
      <c r="M947" s="67"/>
      <c r="N947" s="67"/>
      <c r="O947" s="67"/>
      <c r="P947" s="67"/>
      <c r="Q947" s="67"/>
      <c r="R947" s="67"/>
      <c r="S947" s="67"/>
    </row>
    <row r="948">
      <c r="B948" s="66"/>
      <c r="M948" s="67"/>
      <c r="N948" s="67"/>
      <c r="O948" s="67"/>
      <c r="P948" s="67"/>
      <c r="Q948" s="67"/>
      <c r="R948" s="67"/>
      <c r="S948" s="67"/>
    </row>
    <row r="949">
      <c r="B949" s="66"/>
      <c r="M949" s="67"/>
      <c r="N949" s="67"/>
      <c r="O949" s="67"/>
      <c r="P949" s="67"/>
      <c r="Q949" s="67"/>
      <c r="R949" s="67"/>
      <c r="S949" s="67"/>
    </row>
    <row r="950">
      <c r="B950" s="66"/>
      <c r="M950" s="67"/>
      <c r="N950" s="67"/>
      <c r="O950" s="67"/>
      <c r="P950" s="67"/>
      <c r="Q950" s="67"/>
      <c r="R950" s="67"/>
      <c r="S950" s="67"/>
    </row>
    <row r="951">
      <c r="B951" s="66"/>
      <c r="M951" s="67"/>
      <c r="N951" s="67"/>
      <c r="O951" s="67"/>
      <c r="P951" s="67"/>
      <c r="Q951" s="67"/>
      <c r="R951" s="67"/>
      <c r="S951" s="67"/>
    </row>
    <row r="952">
      <c r="B952" s="66"/>
      <c r="M952" s="67"/>
      <c r="N952" s="67"/>
      <c r="O952" s="67"/>
      <c r="P952" s="67"/>
      <c r="Q952" s="67"/>
      <c r="R952" s="67"/>
      <c r="S952" s="67"/>
    </row>
    <row r="953">
      <c r="B953" s="66"/>
      <c r="M953" s="67"/>
      <c r="N953" s="67"/>
      <c r="O953" s="67"/>
      <c r="P953" s="67"/>
      <c r="Q953" s="67"/>
      <c r="R953" s="67"/>
      <c r="S953" s="67"/>
    </row>
    <row r="954">
      <c r="B954" s="66"/>
      <c r="M954" s="67"/>
      <c r="N954" s="67"/>
      <c r="O954" s="67"/>
      <c r="P954" s="67"/>
      <c r="Q954" s="67"/>
      <c r="R954" s="67"/>
      <c r="S954" s="67"/>
    </row>
    <row r="955">
      <c r="B955" s="66"/>
      <c r="M955" s="67"/>
      <c r="N955" s="67"/>
      <c r="O955" s="67"/>
      <c r="P955" s="67"/>
      <c r="Q955" s="67"/>
      <c r="R955" s="67"/>
      <c r="S955" s="67"/>
    </row>
    <row r="956">
      <c r="B956" s="66"/>
      <c r="M956" s="67"/>
      <c r="N956" s="67"/>
      <c r="O956" s="67"/>
      <c r="P956" s="67"/>
      <c r="Q956" s="67"/>
      <c r="R956" s="67"/>
      <c r="S956" s="67"/>
    </row>
    <row r="957">
      <c r="B957" s="66"/>
      <c r="M957" s="67"/>
      <c r="N957" s="67"/>
      <c r="O957" s="67"/>
      <c r="P957" s="67"/>
      <c r="Q957" s="67"/>
      <c r="R957" s="67"/>
      <c r="S957" s="67"/>
    </row>
    <row r="958">
      <c r="B958" s="66"/>
      <c r="M958" s="67"/>
      <c r="N958" s="67"/>
      <c r="O958" s="67"/>
      <c r="P958" s="67"/>
      <c r="Q958" s="67"/>
      <c r="R958" s="67"/>
      <c r="S958" s="67"/>
    </row>
    <row r="959">
      <c r="B959" s="66"/>
      <c r="M959" s="67"/>
      <c r="N959" s="67"/>
      <c r="O959" s="67"/>
      <c r="P959" s="67"/>
      <c r="Q959" s="67"/>
      <c r="R959" s="67"/>
      <c r="S959" s="67"/>
    </row>
    <row r="960">
      <c r="B960" s="66"/>
      <c r="M960" s="67"/>
      <c r="N960" s="67"/>
      <c r="O960" s="67"/>
      <c r="P960" s="67"/>
      <c r="Q960" s="67"/>
      <c r="R960" s="67"/>
      <c r="S960" s="67"/>
    </row>
    <row r="961">
      <c r="B961" s="66"/>
      <c r="M961" s="67"/>
      <c r="N961" s="67"/>
      <c r="O961" s="67"/>
      <c r="P961" s="67"/>
      <c r="Q961" s="67"/>
      <c r="R961" s="67"/>
      <c r="S961" s="67"/>
    </row>
    <row r="962">
      <c r="B962" s="66"/>
      <c r="M962" s="67"/>
      <c r="N962" s="67"/>
      <c r="O962" s="67"/>
      <c r="P962" s="67"/>
      <c r="Q962" s="67"/>
      <c r="R962" s="67"/>
      <c r="S962" s="67"/>
    </row>
    <row r="963">
      <c r="B963" s="66"/>
      <c r="M963" s="67"/>
      <c r="N963" s="67"/>
      <c r="O963" s="67"/>
      <c r="P963" s="67"/>
      <c r="Q963" s="67"/>
      <c r="R963" s="67"/>
      <c r="S963" s="67"/>
    </row>
    <row r="964">
      <c r="B964" s="66"/>
      <c r="M964" s="67"/>
      <c r="N964" s="67"/>
      <c r="O964" s="67"/>
      <c r="P964" s="67"/>
      <c r="Q964" s="67"/>
      <c r="R964" s="67"/>
      <c r="S964" s="67"/>
    </row>
    <row r="965">
      <c r="B965" s="66"/>
      <c r="M965" s="67"/>
      <c r="N965" s="67"/>
      <c r="O965" s="67"/>
      <c r="P965" s="67"/>
      <c r="Q965" s="67"/>
      <c r="R965" s="67"/>
      <c r="S965" s="67"/>
    </row>
    <row r="966">
      <c r="B966" s="66"/>
      <c r="M966" s="67"/>
      <c r="N966" s="67"/>
      <c r="O966" s="67"/>
      <c r="P966" s="67"/>
      <c r="Q966" s="67"/>
      <c r="R966" s="67"/>
      <c r="S966" s="67"/>
    </row>
    <row r="967">
      <c r="B967" s="66"/>
      <c r="M967" s="67"/>
      <c r="N967" s="67"/>
      <c r="O967" s="67"/>
      <c r="P967" s="67"/>
      <c r="Q967" s="67"/>
      <c r="R967" s="67"/>
      <c r="S967" s="67"/>
    </row>
    <row r="968">
      <c r="B968" s="66"/>
      <c r="M968" s="67"/>
      <c r="N968" s="67"/>
      <c r="O968" s="67"/>
      <c r="P968" s="67"/>
      <c r="Q968" s="67"/>
      <c r="R968" s="67"/>
      <c r="S968" s="67"/>
    </row>
    <row r="969">
      <c r="B969" s="66"/>
      <c r="M969" s="67"/>
      <c r="N969" s="67"/>
      <c r="O969" s="67"/>
      <c r="P969" s="67"/>
      <c r="Q969" s="67"/>
      <c r="R969" s="67"/>
      <c r="S969" s="67"/>
    </row>
    <row r="970">
      <c r="B970" s="66"/>
      <c r="M970" s="67"/>
      <c r="N970" s="67"/>
      <c r="O970" s="67"/>
      <c r="P970" s="67"/>
      <c r="Q970" s="67"/>
      <c r="R970" s="67"/>
      <c r="S970" s="67"/>
    </row>
    <row r="971">
      <c r="B971" s="66"/>
      <c r="M971" s="67"/>
      <c r="N971" s="67"/>
      <c r="O971" s="67"/>
      <c r="P971" s="67"/>
      <c r="Q971" s="67"/>
      <c r="R971" s="67"/>
      <c r="S971" s="67"/>
    </row>
    <row r="972">
      <c r="B972" s="66"/>
      <c r="M972" s="67"/>
      <c r="N972" s="67"/>
      <c r="O972" s="67"/>
      <c r="P972" s="67"/>
      <c r="Q972" s="67"/>
      <c r="R972" s="67"/>
      <c r="S972" s="67"/>
    </row>
    <row r="973">
      <c r="B973" s="66"/>
      <c r="M973" s="67"/>
      <c r="N973" s="67"/>
      <c r="O973" s="67"/>
      <c r="P973" s="67"/>
      <c r="Q973" s="67"/>
      <c r="R973" s="67"/>
      <c r="S973" s="67"/>
    </row>
    <row r="974">
      <c r="B974" s="66"/>
      <c r="M974" s="67"/>
      <c r="N974" s="67"/>
      <c r="O974" s="67"/>
      <c r="P974" s="67"/>
      <c r="Q974" s="67"/>
      <c r="R974" s="67"/>
      <c r="S974" s="67"/>
    </row>
    <row r="975">
      <c r="B975" s="66"/>
      <c r="M975" s="67"/>
      <c r="N975" s="67"/>
      <c r="O975" s="67"/>
      <c r="P975" s="67"/>
      <c r="Q975" s="67"/>
      <c r="R975" s="67"/>
      <c r="S975" s="67"/>
    </row>
    <row r="976">
      <c r="B976" s="66"/>
      <c r="M976" s="67"/>
      <c r="N976" s="67"/>
      <c r="O976" s="67"/>
      <c r="P976" s="67"/>
      <c r="Q976" s="67"/>
      <c r="R976" s="67"/>
      <c r="S976" s="67"/>
    </row>
    <row r="977">
      <c r="B977" s="66"/>
      <c r="M977" s="67"/>
      <c r="N977" s="67"/>
      <c r="O977" s="67"/>
      <c r="P977" s="67"/>
      <c r="Q977" s="67"/>
      <c r="R977" s="67"/>
      <c r="S977" s="67"/>
    </row>
    <row r="978">
      <c r="B978" s="66"/>
      <c r="M978" s="67"/>
      <c r="N978" s="67"/>
      <c r="O978" s="67"/>
      <c r="P978" s="67"/>
      <c r="Q978" s="67"/>
      <c r="R978" s="67"/>
      <c r="S978" s="67"/>
    </row>
    <row r="979">
      <c r="B979" s="66"/>
      <c r="M979" s="67"/>
      <c r="N979" s="67"/>
      <c r="O979" s="67"/>
      <c r="P979" s="67"/>
      <c r="Q979" s="67"/>
      <c r="R979" s="67"/>
      <c r="S979" s="67"/>
    </row>
    <row r="980">
      <c r="B980" s="66"/>
      <c r="M980" s="67"/>
      <c r="N980" s="67"/>
      <c r="O980" s="67"/>
      <c r="P980" s="67"/>
      <c r="Q980" s="67"/>
      <c r="R980" s="67"/>
      <c r="S980" s="67"/>
    </row>
    <row r="981">
      <c r="B981" s="66"/>
      <c r="M981" s="67"/>
      <c r="N981" s="67"/>
      <c r="O981" s="67"/>
      <c r="P981" s="67"/>
      <c r="Q981" s="67"/>
      <c r="R981" s="67"/>
      <c r="S981" s="67"/>
    </row>
    <row r="982">
      <c r="B982" s="66"/>
      <c r="M982" s="67"/>
      <c r="N982" s="67"/>
      <c r="O982" s="67"/>
      <c r="P982" s="67"/>
      <c r="Q982" s="67"/>
      <c r="R982" s="67"/>
      <c r="S982" s="67"/>
    </row>
    <row r="983">
      <c r="B983" s="66"/>
      <c r="M983" s="67"/>
      <c r="N983" s="67"/>
      <c r="O983" s="67"/>
      <c r="P983" s="67"/>
      <c r="Q983" s="67"/>
      <c r="R983" s="67"/>
      <c r="S983" s="67"/>
    </row>
    <row r="984">
      <c r="B984" s="66"/>
      <c r="M984" s="67"/>
      <c r="N984" s="67"/>
      <c r="O984" s="67"/>
      <c r="P984" s="67"/>
      <c r="Q984" s="67"/>
      <c r="R984" s="67"/>
      <c r="S984" s="67"/>
    </row>
    <row r="985">
      <c r="B985" s="66"/>
      <c r="M985" s="67"/>
      <c r="N985" s="67"/>
      <c r="O985" s="67"/>
      <c r="P985" s="67"/>
      <c r="Q985" s="67"/>
      <c r="R985" s="67"/>
      <c r="S985" s="67"/>
    </row>
    <row r="986">
      <c r="B986" s="66"/>
      <c r="M986" s="67"/>
      <c r="N986" s="67"/>
      <c r="O986" s="67"/>
      <c r="P986" s="67"/>
      <c r="Q986" s="67"/>
      <c r="R986" s="67"/>
      <c r="S986" s="67"/>
    </row>
    <row r="987">
      <c r="B987" s="66"/>
      <c r="M987" s="67"/>
      <c r="N987" s="67"/>
      <c r="O987" s="67"/>
      <c r="P987" s="67"/>
      <c r="Q987" s="67"/>
      <c r="R987" s="67"/>
      <c r="S987" s="67"/>
    </row>
    <row r="988">
      <c r="B988" s="66"/>
      <c r="M988" s="67"/>
      <c r="N988" s="67"/>
      <c r="O988" s="67"/>
      <c r="P988" s="67"/>
      <c r="Q988" s="67"/>
      <c r="R988" s="67"/>
      <c r="S988" s="67"/>
    </row>
    <row r="989">
      <c r="B989" s="66"/>
      <c r="M989" s="67"/>
      <c r="N989" s="67"/>
      <c r="O989" s="67"/>
      <c r="P989" s="67"/>
      <c r="Q989" s="67"/>
      <c r="R989" s="67"/>
      <c r="S989" s="67"/>
    </row>
    <row r="990">
      <c r="B990" s="66"/>
      <c r="M990" s="67"/>
      <c r="N990" s="67"/>
      <c r="O990" s="67"/>
      <c r="P990" s="67"/>
      <c r="Q990" s="67"/>
      <c r="R990" s="67"/>
      <c r="S990" s="67"/>
    </row>
    <row r="991">
      <c r="B991" s="66"/>
      <c r="M991" s="67"/>
      <c r="N991" s="67"/>
      <c r="O991" s="67"/>
      <c r="P991" s="67"/>
      <c r="Q991" s="67"/>
      <c r="R991" s="67"/>
      <c r="S991" s="67"/>
    </row>
    <row r="992">
      <c r="B992" s="66"/>
      <c r="M992" s="67"/>
      <c r="N992" s="67"/>
      <c r="O992" s="67"/>
      <c r="P992" s="67"/>
      <c r="Q992" s="67"/>
      <c r="R992" s="67"/>
      <c r="S992" s="67"/>
    </row>
    <row r="993">
      <c r="B993" s="66"/>
      <c r="M993" s="67"/>
      <c r="N993" s="67"/>
      <c r="O993" s="67"/>
      <c r="P993" s="67"/>
      <c r="Q993" s="67"/>
      <c r="R993" s="67"/>
      <c r="S993" s="67"/>
    </row>
    <row r="994">
      <c r="B994" s="66"/>
      <c r="M994" s="67"/>
      <c r="N994" s="67"/>
      <c r="O994" s="67"/>
      <c r="P994" s="67"/>
      <c r="Q994" s="67"/>
      <c r="R994" s="67"/>
      <c r="S994" s="67"/>
    </row>
    <row r="995">
      <c r="B995" s="66"/>
      <c r="M995" s="67"/>
      <c r="N995" s="67"/>
      <c r="O995" s="67"/>
      <c r="P995" s="67"/>
      <c r="Q995" s="67"/>
      <c r="R995" s="67"/>
      <c r="S995" s="67"/>
    </row>
    <row r="996">
      <c r="B996" s="66"/>
      <c r="M996" s="67"/>
      <c r="N996" s="67"/>
      <c r="O996" s="67"/>
      <c r="P996" s="67"/>
      <c r="Q996" s="67"/>
      <c r="R996" s="67"/>
      <c r="S996" s="67"/>
    </row>
    <row r="997">
      <c r="B997" s="66"/>
      <c r="M997" s="67"/>
      <c r="N997" s="67"/>
      <c r="O997" s="67"/>
      <c r="P997" s="67"/>
      <c r="Q997" s="67"/>
      <c r="R997" s="67"/>
      <c r="S997" s="67"/>
    </row>
    <row r="998">
      <c r="B998" s="66"/>
      <c r="M998" s="67"/>
      <c r="N998" s="67"/>
      <c r="O998" s="67"/>
      <c r="P998" s="67"/>
      <c r="Q998" s="67"/>
      <c r="R998" s="67"/>
      <c r="S998" s="67"/>
    </row>
    <row r="999">
      <c r="B999" s="66"/>
      <c r="M999" s="67"/>
      <c r="N999" s="67"/>
      <c r="O999" s="67"/>
      <c r="P999" s="67"/>
      <c r="Q999" s="67"/>
      <c r="R999" s="67"/>
      <c r="S999" s="67"/>
    </row>
    <row r="1000">
      <c r="B1000" s="66"/>
      <c r="M1000" s="67"/>
      <c r="N1000" s="67"/>
      <c r="O1000" s="67"/>
      <c r="P1000" s="67"/>
      <c r="Q1000" s="67"/>
      <c r="R1000" s="67"/>
      <c r="S1000" s="67"/>
    </row>
    <row r="1001">
      <c r="B1001" s="66"/>
      <c r="M1001" s="67"/>
      <c r="N1001" s="67"/>
      <c r="O1001" s="67"/>
      <c r="P1001" s="67"/>
      <c r="Q1001" s="67"/>
      <c r="R1001" s="67"/>
      <c r="S1001" s="67"/>
    </row>
    <row r="1002">
      <c r="B1002" s="66"/>
      <c r="M1002" s="67"/>
      <c r="N1002" s="67"/>
      <c r="O1002" s="67"/>
      <c r="P1002" s="67"/>
      <c r="Q1002" s="67"/>
      <c r="R1002" s="67"/>
      <c r="S1002" s="67"/>
    </row>
    <row r="1003">
      <c r="B1003" s="66"/>
      <c r="M1003" s="67"/>
      <c r="N1003" s="67"/>
      <c r="O1003" s="67"/>
      <c r="P1003" s="67"/>
      <c r="Q1003" s="67"/>
      <c r="R1003" s="67"/>
      <c r="S1003" s="67"/>
    </row>
    <row r="1004">
      <c r="B1004" s="66"/>
      <c r="M1004" s="67"/>
      <c r="N1004" s="67"/>
      <c r="O1004" s="67"/>
      <c r="P1004" s="67"/>
      <c r="Q1004" s="67"/>
      <c r="R1004" s="67"/>
      <c r="S1004" s="67"/>
    </row>
    <row r="1005">
      <c r="B1005" s="66"/>
      <c r="M1005" s="67"/>
      <c r="N1005" s="67"/>
      <c r="O1005" s="67"/>
      <c r="P1005" s="67"/>
      <c r="Q1005" s="67"/>
      <c r="R1005" s="67"/>
      <c r="S1005" s="67"/>
    </row>
    <row r="1006">
      <c r="B1006" s="66"/>
      <c r="M1006" s="67"/>
      <c r="N1006" s="67"/>
      <c r="O1006" s="67"/>
      <c r="P1006" s="67"/>
      <c r="Q1006" s="67"/>
      <c r="R1006" s="67"/>
      <c r="S1006" s="67"/>
    </row>
    <row r="1007">
      <c r="B1007" s="66"/>
      <c r="M1007" s="67"/>
      <c r="N1007" s="67"/>
      <c r="O1007" s="67"/>
      <c r="P1007" s="67"/>
      <c r="Q1007" s="67"/>
      <c r="R1007" s="67"/>
      <c r="S1007" s="67"/>
    </row>
    <row r="1008">
      <c r="B1008" s="66"/>
      <c r="M1008" s="67"/>
      <c r="N1008" s="67"/>
      <c r="O1008" s="67"/>
      <c r="P1008" s="67"/>
      <c r="Q1008" s="67"/>
      <c r="R1008" s="67"/>
      <c r="S1008" s="67"/>
    </row>
    <row r="1009">
      <c r="B1009" s="66"/>
      <c r="M1009" s="67"/>
      <c r="N1009" s="67"/>
      <c r="O1009" s="67"/>
      <c r="P1009" s="67"/>
      <c r="Q1009" s="67"/>
      <c r="R1009" s="67"/>
      <c r="S1009" s="67"/>
    </row>
    <row r="1010">
      <c r="B1010" s="66"/>
      <c r="M1010" s="67"/>
      <c r="N1010" s="67"/>
      <c r="O1010" s="67"/>
      <c r="P1010" s="67"/>
      <c r="Q1010" s="67"/>
      <c r="R1010" s="67"/>
      <c r="S1010" s="67"/>
    </row>
    <row r="1011">
      <c r="B1011" s="66"/>
      <c r="M1011" s="67"/>
      <c r="N1011" s="67"/>
      <c r="O1011" s="67"/>
      <c r="P1011" s="67"/>
      <c r="Q1011" s="67"/>
      <c r="R1011" s="67"/>
      <c r="S1011" s="67"/>
    </row>
    <row r="1012">
      <c r="B1012" s="66"/>
      <c r="M1012" s="67"/>
      <c r="N1012" s="67"/>
      <c r="O1012" s="67"/>
      <c r="P1012" s="67"/>
      <c r="Q1012" s="67"/>
      <c r="R1012" s="67"/>
      <c r="S1012" s="67"/>
    </row>
    <row r="1013">
      <c r="B1013" s="66"/>
      <c r="M1013" s="67"/>
      <c r="N1013" s="67"/>
      <c r="O1013" s="67"/>
      <c r="P1013" s="67"/>
      <c r="Q1013" s="67"/>
      <c r="R1013" s="67"/>
      <c r="S1013" s="67"/>
    </row>
    <row r="1014">
      <c r="B1014" s="66"/>
      <c r="M1014" s="67"/>
      <c r="N1014" s="67"/>
      <c r="O1014" s="67"/>
      <c r="P1014" s="67"/>
      <c r="Q1014" s="67"/>
      <c r="R1014" s="67"/>
      <c r="S1014" s="67"/>
    </row>
    <row r="1015">
      <c r="B1015" s="66"/>
      <c r="M1015" s="67"/>
      <c r="N1015" s="67"/>
      <c r="O1015" s="67"/>
      <c r="P1015" s="67"/>
      <c r="Q1015" s="67"/>
      <c r="R1015" s="67"/>
      <c r="S1015" s="67"/>
    </row>
    <row r="1016">
      <c r="B1016" s="66"/>
      <c r="M1016" s="67"/>
      <c r="N1016" s="67"/>
      <c r="O1016" s="67"/>
      <c r="P1016" s="67"/>
      <c r="Q1016" s="67"/>
      <c r="R1016" s="67"/>
      <c r="S1016" s="67"/>
    </row>
    <row r="1017">
      <c r="B1017" s="66"/>
      <c r="M1017" s="67"/>
      <c r="N1017" s="67"/>
      <c r="O1017" s="67"/>
      <c r="P1017" s="67"/>
      <c r="Q1017" s="67"/>
      <c r="R1017" s="67"/>
      <c r="S1017" s="67"/>
    </row>
    <row r="1018">
      <c r="B1018" s="66"/>
      <c r="M1018" s="67"/>
      <c r="N1018" s="67"/>
      <c r="O1018" s="67"/>
      <c r="P1018" s="67"/>
      <c r="Q1018" s="67"/>
      <c r="R1018" s="67"/>
      <c r="S1018" s="67"/>
    </row>
    <row r="1019">
      <c r="B1019" s="66"/>
      <c r="M1019" s="67"/>
      <c r="N1019" s="67"/>
      <c r="O1019" s="67"/>
      <c r="P1019" s="67"/>
      <c r="Q1019" s="67"/>
      <c r="R1019" s="67"/>
      <c r="S1019" s="67"/>
    </row>
    <row r="1020">
      <c r="B1020" s="66"/>
      <c r="M1020" s="67"/>
      <c r="N1020" s="67"/>
      <c r="O1020" s="67"/>
      <c r="P1020" s="67"/>
      <c r="Q1020" s="67"/>
      <c r="R1020" s="67"/>
      <c r="S1020" s="67"/>
    </row>
    <row r="1021">
      <c r="B1021" s="66"/>
      <c r="M1021" s="67"/>
      <c r="N1021" s="67"/>
      <c r="O1021" s="67"/>
      <c r="P1021" s="67"/>
      <c r="Q1021" s="67"/>
      <c r="R1021" s="67"/>
      <c r="S1021" s="67"/>
    </row>
  </sheetData>
  <mergeCells count="1">
    <mergeCell ref="A1:W1"/>
  </mergeCells>
  <dataValidations>
    <dataValidation type="list" allowBlank="1" showErrorMessage="1" sqref="D4:D32">
      <formula1>"Cierre,Open House,Visita proyecto,Webinar,Coctel Inversionista,Evento Proyecto"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5.0"/>
    <col customWidth="1" min="3" max="3" width="12.25"/>
    <col customWidth="1" min="4" max="5" width="10.0"/>
    <col customWidth="1" min="6" max="6" width="12.38"/>
    <col customWidth="1" min="7" max="7" width="10.0"/>
    <col customWidth="1" min="8" max="8" width="13.63"/>
    <col customWidth="1" min="9" max="9" width="10.0"/>
    <col customWidth="1" min="10" max="10" width="12.0"/>
    <col customWidth="1" min="11" max="11" width="10.0"/>
    <col customWidth="1" min="12" max="12" width="13.0"/>
    <col customWidth="1" min="13" max="13" width="10.0"/>
    <col customWidth="1" min="14" max="14" width="14.75"/>
    <col customWidth="1" min="15" max="15" width="12.63"/>
    <col customWidth="1" min="16" max="16" width="16.0"/>
    <col customWidth="1" min="17" max="17" width="17.0"/>
    <col customWidth="1" min="18" max="19" width="11.88"/>
    <col customWidth="1" min="20" max="20" width="11.75"/>
    <col customWidth="1" min="21" max="27" width="12.88"/>
    <col customWidth="1" min="28" max="30" width="10.0"/>
    <col customWidth="1" min="31" max="31" width="29.38"/>
    <col customWidth="1" min="32" max="32" width="12.0"/>
    <col customWidth="1" min="33" max="33" width="10.0"/>
    <col customWidth="1" min="34" max="47" width="8.63"/>
  </cols>
  <sheetData>
    <row r="1">
      <c r="A1" s="1" t="s">
        <v>93</v>
      </c>
      <c r="AC1" s="1"/>
      <c r="AD1" s="1"/>
      <c r="AE1" s="1"/>
      <c r="AF1" s="1"/>
      <c r="AG1" s="1"/>
    </row>
    <row r="2">
      <c r="A2" s="69" t="s">
        <v>94</v>
      </c>
      <c r="B2" s="70">
        <f>Dashboard!C5</f>
        <v>45930</v>
      </c>
      <c r="D2" s="70" t="s">
        <v>95</v>
      </c>
      <c r="E2" s="70">
        <f>Dashboard!E5</f>
        <v>46295</v>
      </c>
      <c r="F2" s="70"/>
      <c r="G2" s="70"/>
    </row>
    <row r="4">
      <c r="A4" s="15" t="s">
        <v>96</v>
      </c>
      <c r="B4" s="71" t="s">
        <v>97</v>
      </c>
      <c r="C4" s="71" t="s">
        <v>52</v>
      </c>
      <c r="D4" s="71" t="s">
        <v>98</v>
      </c>
      <c r="E4" s="71" t="s">
        <v>99</v>
      </c>
      <c r="F4" s="71" t="s">
        <v>100</v>
      </c>
      <c r="G4" s="71" t="s">
        <v>101</v>
      </c>
      <c r="H4" s="71" t="s">
        <v>102</v>
      </c>
      <c r="I4" s="19" t="s">
        <v>6</v>
      </c>
      <c r="J4" s="19" t="s">
        <v>103</v>
      </c>
      <c r="K4" s="19" t="s">
        <v>7</v>
      </c>
      <c r="L4" s="19" t="s">
        <v>8</v>
      </c>
      <c r="M4" s="71" t="s">
        <v>104</v>
      </c>
      <c r="N4" s="71" t="s">
        <v>105</v>
      </c>
      <c r="O4" s="71" t="s">
        <v>106</v>
      </c>
      <c r="P4" s="19" t="s">
        <v>107</v>
      </c>
      <c r="Q4" s="71" t="s">
        <v>108</v>
      </c>
      <c r="R4" s="71" t="s">
        <v>109</v>
      </c>
      <c r="S4" s="71" t="s">
        <v>110</v>
      </c>
      <c r="T4" s="71" t="s">
        <v>111</v>
      </c>
      <c r="U4" s="71" t="s">
        <v>112</v>
      </c>
      <c r="V4" s="71" t="s">
        <v>113</v>
      </c>
      <c r="W4" s="71" t="s">
        <v>114</v>
      </c>
      <c r="X4" s="71" t="s">
        <v>115</v>
      </c>
      <c r="Y4" s="71" t="s">
        <v>116</v>
      </c>
      <c r="Z4" s="71" t="s">
        <v>117</v>
      </c>
      <c r="AA4" s="71" t="s">
        <v>118</v>
      </c>
      <c r="AB4" s="21" t="s">
        <v>119</v>
      </c>
      <c r="AC4" s="13" t="s">
        <v>120</v>
      </c>
      <c r="AD4" s="13" t="s">
        <v>121</v>
      </c>
      <c r="AE4" s="13"/>
      <c r="AF4" s="13" t="s">
        <v>122</v>
      </c>
      <c r="AG4" s="13" t="s">
        <v>123</v>
      </c>
      <c r="AI4" s="72" t="s">
        <v>124</v>
      </c>
      <c r="AJ4" s="72" t="s">
        <v>125</v>
      </c>
    </row>
    <row r="5">
      <c r="A5" s="73" t="s">
        <v>126</v>
      </c>
      <c r="B5" s="74" t="s">
        <v>127</v>
      </c>
      <c r="C5" s="74" t="s">
        <v>128</v>
      </c>
      <c r="D5" s="75"/>
      <c r="E5" s="74">
        <v>3.0</v>
      </c>
      <c r="F5" s="76">
        <f>E5*Configuracion!$B$15</f>
        <v>120000</v>
      </c>
      <c r="G5" s="74">
        <f t="shared" ref="G5:G14" si="1">ROUNDUP((DATEDIF($B$2,$E$2,"m")+(DAY($E$2)/DAY(EOMONTH($E$2,0))))*E5,0)</f>
        <v>39</v>
      </c>
      <c r="H5" s="76">
        <f>G5*Configuracion!$B$15</f>
        <v>1560000</v>
      </c>
      <c r="I5" s="41">
        <f>COUNTIFS(Data_Ventas!$E$2:$E958,A5,Data_Ventas!$A$2:$A958,"&gt;="&amp;$B$2,Data_Ventas!$A$2:$A958,"&lt;="&amp;$E$2)</f>
        <v>2</v>
      </c>
      <c r="J5" s="41">
        <f>COUNTIFS(Data_Ventas!$E$2:$E958,A5,Data_Ventas!$A$2:$A958,"&gt;="&amp;$B$2,Data_Ventas!$A$2:$A958,"&lt;="&amp;$E$2,Data_Ventas!$H$2:$H958,"Visitó proyecto")</f>
        <v>0</v>
      </c>
      <c r="K5" s="41">
        <f>COUNTIFS(Data_Ventas!$E$2:$E958,A5,Data_Ventas!$A$2:$A958,"&gt;="&amp;$B$2,Data_Ventas!$A$2:$A958,"&lt;="&amp;$E$2,Data_Ventas!$H$2:$H958,"Visitó proyecto")</f>
        <v>0</v>
      </c>
      <c r="L5" s="41">
        <f>COUNTIFS(Data_Ventas!$E$2:$E958,A5,Data_Ventas!$A$2:$A958,"&gt;="&amp;$B$2,Data_Ventas!$A$2:$A958,"&lt;="&amp;$E$2,Data_Ventas!$H$2:$H958,"Separado")</f>
        <v>0</v>
      </c>
      <c r="M5" s="41">
        <f>COUNTIFS(Data_Ventas!$E$2:$E958,A5,Data_Ventas!$A$2:$A958,"&gt;="&amp;$B$2,Data_Ventas!$A$2:$A958,"&lt;="&amp;$E$2,Data_Ventas!$H$2:$H958,"Venta")</f>
        <v>1</v>
      </c>
      <c r="N5" s="77">
        <f>SUMIFS(Data_Ventas!$N$2:$N958,Data_Ventas!$E$2:$E958,A5,Data_Ventas!$A$2:$A958,"&gt;="&amp;$B$2,Data_Ventas!$A$2:$A958,"&lt;="&amp;$E$2,Data_Ventas!$H$2:$H958,"Venta")</f>
        <v>40000</v>
      </c>
      <c r="O5" s="78">
        <f t="shared" ref="O5:O14" si="2">N5/H5</f>
        <v>0.02564102564</v>
      </c>
      <c r="P5" s="78">
        <f t="shared" ref="P5:P14" si="3">IFERROR(M5/I5,0)</f>
        <v>0.5</v>
      </c>
      <c r="Q5" s="78">
        <f t="shared" ref="Q5:Q14" si="4">IFERROR(M5/K5,0)</f>
        <v>0</v>
      </c>
      <c r="R5" s="79">
        <f t="shared" ref="R5:R14" si="5">IFERROR(N5/I5,0)</f>
        <v>20000</v>
      </c>
      <c r="S5" s="79">
        <f t="shared" ref="S5:S14" si="6">IFERROR(N5/M5,0)</f>
        <v>40000</v>
      </c>
      <c r="T5" s="79">
        <f>SUMIFS(Data_Ventas!$O$2:$O958,Data_Ventas!$E$2:$E958,A5,Data_Ventas!$A$2:$A958,"&gt;="&amp;$B$2,Data_Ventas!$A$2:$A958,"&lt;="&amp;$E$2,Data_Ventas!$H$2:$H958,"Venta")</f>
        <v>0</v>
      </c>
      <c r="U5" s="79">
        <f>SUMIFS(Data_Ventas!$R$2:$R958,Data_Ventas!$E$2:$E958,A5,Data_Ventas!$A$2:$A958,"&gt;="&amp;$B$2,Data_Ventas!$A$2:$A958,"&lt;="&amp;$E$2,Data_Ventas!$H$2:$H958,"Venta")</f>
        <v>5000</v>
      </c>
      <c r="V5" s="80">
        <f t="shared" ref="V5:V14" si="7">IFERROR(U5/N5,"0%")</f>
        <v>0.125</v>
      </c>
      <c r="W5" s="81">
        <f>IFERROR((SUMIFS(Data_Ventas!$R$2:$R958,Data_Ventas!$E$2:$E958,A5,Data_Ventas!$A$2:$A958,"&gt;="&amp;$B$2,Data_Ventas!$A$2:$A958,"&lt;="&amp;$E$2,Data_Ventas!$H$2:$H958,"Venta",Data_Ventas!$Q$2:$Q958,Dashboard!$B$34))/(SUMIFS(Data_Ventas!$N$2:$N958,Data_Ventas!$E$2:$E958,A5,Data_Ventas!$A$2:$A958,"&gt;="&amp;$B$2,Data_Ventas!$A$2:$A958,"&lt;="&amp;$E$2,Data_Ventas!$H$2:$H958,"Venta",Data_Ventas!$Q$2:$Q958,Dashboard!$B$34)),"0%")</f>
        <v>0.125</v>
      </c>
      <c r="X5" s="81">
        <f>IFERROR((SUMIFS(Data_Ventas!$O$2:$O958,Data_Ventas!$E$2:$E958,A5,Data_Ventas!$A$2:$A958,"&gt;="&amp;$B$2,Data_Ventas!$A$2:$A958,"&lt;="&amp;$E$2,Data_Ventas!$H$2:$H958,"Venta"))/(SUMIFS(Data_Ventas!$M$2:$M958,Data_Ventas!$E$2:$E958,A5,Data_Ventas!$A$2:$A958,"&gt;="&amp;$B$2,Data_Ventas!$A$2:$A958,"&lt;="&amp;$E$2,Data_Ventas!$H$2:$H958,"Venta")),"0%")</f>
        <v>0</v>
      </c>
      <c r="Y5" s="81">
        <f>IFERROR(N5/(SUMIFS(Data_Ventas!$N$2:$N958,Data_Ventas!$E$2:$E958,A5,Data_Ventas!$A$2:$A958,"&gt;="&amp;$B$2,Data_Ventas!$A$2:$A958,"&lt;="&amp;$E$2,Data_Ventas!$H$2:$H958,"Venta Perdida")),0%)</f>
        <v>1</v>
      </c>
      <c r="Z5" s="81">
        <f>IFERROR(N5/(N5+(SUMIFS(Data_Ventas!$N$2:$N958,Data_Ventas!$E$2:$E958,A5,Data_Ventas!$A$2:$A958,"&gt;="&amp;$B$2,Data_Ventas!$A$2:$A958,"&lt;="&amp;$E$2,Data_Ventas!$H$2:$H958,"Venta Perdida"))),"0%")</f>
        <v>0.5</v>
      </c>
      <c r="AA5" s="41"/>
      <c r="AB5" s="83">
        <f t="shared" ref="AB5:AB14" si="8">_xlfn.RANK.EQ(N5,$N$5:$N$14,0)+COUNTIF($N$5:N5,N5)-1</f>
        <v>5</v>
      </c>
      <c r="AC5" s="41" t="str">
        <f t="shared" ref="AC5:AC14" si="9">IF(Q5&gt;=0.18,"🟢",IF(Q5&gt;=0.14,"🟡","🔴"))</f>
        <v>🔴</v>
      </c>
      <c r="AD5" s="84">
        <f>((MIN(V5/Configuracion!$B$20,1)*30%)+(MIN(W5/Configuracion!$B$21,1)*20%)+(MAX(0,1-(X5/Configuracion!$B$22)*20%)*20%)+(IF(Y5=0,1,MIN(Configuracion!$B$23/Y5,1))*20%)+(MIN(Z5/Configuracion!$B$24,1)*10%))*100</f>
        <v>49.47744361</v>
      </c>
      <c r="AE5" s="84" t="str">
        <f t="shared" ref="AE5:AE14" si="10">IF(AD5&gt;=90,"🟢 Ventas de alta calidad",IF(AD5&gt;=80,"🟡 Ventas calidad aceptable, revisar",IF(AD5&gt;=70,"🟠 Venta calidad débil","🔴 Mala calidad comercial")))</f>
        <v>🔴 Mala calidad comercial</v>
      </c>
      <c r="AF5" s="84">
        <f t="shared" ref="AF5:AF14" si="11">IFERROR((N5/H5)*100,"")</f>
        <v>2.564102564</v>
      </c>
      <c r="AG5" s="84">
        <f t="shared" ref="AG5:AG14" si="12">(AF5*60%)+(40%*AD5)</f>
        <v>21.32943898</v>
      </c>
      <c r="AI5" s="85"/>
      <c r="AJ5" s="85"/>
    </row>
    <row r="6">
      <c r="A6" s="73" t="s">
        <v>129</v>
      </c>
      <c r="B6" s="74" t="s">
        <v>126</v>
      </c>
      <c r="C6" s="74" t="s">
        <v>128</v>
      </c>
      <c r="D6" s="75"/>
      <c r="E6" s="74">
        <v>3.0</v>
      </c>
      <c r="F6" s="76">
        <f>E6*Configuracion!$B$15</f>
        <v>120000</v>
      </c>
      <c r="G6" s="74">
        <f t="shared" si="1"/>
        <v>39</v>
      </c>
      <c r="H6" s="76">
        <f>G6*Configuracion!$B$15</f>
        <v>1560000</v>
      </c>
      <c r="I6" s="41">
        <f>COUNTIFS(Data_Ventas!$E$2:$E958,A6,Data_Ventas!$A$2:$A958,"&gt;="&amp;$B$2,Data_Ventas!$A$2:$A958,"&lt;="&amp;$E$2)</f>
        <v>3</v>
      </c>
      <c r="J6" s="41">
        <f>COUNTIFS(Data_Ventas!$E$2:$E958,A6,Data_Ventas!$A$2:$A958,"&gt;="&amp;$B$2,Data_Ventas!$A$2:$A958,"&lt;="&amp;$E$2,Data_Ventas!$H$2:$H958,"Visitó proyecto")</f>
        <v>0</v>
      </c>
      <c r="K6" s="41">
        <f>COUNTIFS(Data_Ventas!$E$2:$E958,A6,Data_Ventas!$A$2:$A958,"&gt;="&amp;$B$2,Data_Ventas!$A$2:$A958,"&lt;="&amp;$E$2,Data_Ventas!$H$2:$H958,"Visitó proyecto")</f>
        <v>0</v>
      </c>
      <c r="L6" s="41">
        <f>COUNTIFS(Data_Ventas!$E$2:$E958,A6,Data_Ventas!$A$2:$A958,"&gt;="&amp;$B$2,Data_Ventas!$A$2:$A958,"&lt;="&amp;$E$2,Data_Ventas!$H$2:$H958,"Separado")</f>
        <v>0</v>
      </c>
      <c r="M6" s="41">
        <f>COUNTIFS(Data_Ventas!$E$2:$E958,A6,Data_Ventas!$A$2:$A958,"&gt;="&amp;$B$2,Data_Ventas!$A$2:$A958,"&lt;="&amp;$E$2,Data_Ventas!$H$2:$H958,"Venta")</f>
        <v>3</v>
      </c>
      <c r="N6" s="77">
        <f>SUMIFS(Data_Ventas!$N$2:$N958,Data_Ventas!$E$2:$E958,A6,Data_Ventas!$A$2:$A958,"&gt;="&amp;$B$2,Data_Ventas!$A$2:$A958,"&lt;="&amp;$E$2,Data_Ventas!$H$2:$H958,"Venta")</f>
        <v>125000</v>
      </c>
      <c r="O6" s="78">
        <f t="shared" si="2"/>
        <v>0.08012820513</v>
      </c>
      <c r="P6" s="78">
        <f t="shared" si="3"/>
        <v>1</v>
      </c>
      <c r="Q6" s="78">
        <f t="shared" si="4"/>
        <v>0</v>
      </c>
      <c r="R6" s="79">
        <f t="shared" si="5"/>
        <v>41666.66667</v>
      </c>
      <c r="S6" s="79">
        <f t="shared" si="6"/>
        <v>41666.66667</v>
      </c>
      <c r="T6" s="79">
        <f>SUMIFS(Data_Ventas!$O$2:$O958,Data_Ventas!$E$2:$E958,A6,Data_Ventas!$A$2:$A958,"&gt;="&amp;$B$2,Data_Ventas!$A$2:$A958,"&lt;="&amp;$E$2,Data_Ventas!$H$2:$H958,"Venta")</f>
        <v>0</v>
      </c>
      <c r="U6" s="79">
        <f>SUMIFS(Data_Ventas!$R$2:$R958,Data_Ventas!$E$2:$E958,A6,Data_Ventas!$A$2:$A958,"&gt;="&amp;$B$2,Data_Ventas!$A$2:$A958,"&lt;="&amp;$E$2,Data_Ventas!$H$2:$H958,"Venta")</f>
        <v>8250</v>
      </c>
      <c r="V6" s="80">
        <f t="shared" si="7"/>
        <v>0.066</v>
      </c>
      <c r="W6" s="81">
        <f>IFERROR((SUMIFS(Data_Ventas!$R$2:$R958,Data_Ventas!$E$2:$E958,A6,Data_Ventas!$A$2:$A958,"&gt;="&amp;$B$2,Data_Ventas!$A$2:$A958,"&lt;="&amp;$E$2,Data_Ventas!$H$2:$H958,"Venta",Data_Ventas!$Q$2:$Q958,Dashboard!$B$34))/(SUMIFS(Data_Ventas!$N$2:$N958,Data_Ventas!$E$2:$E958,A6,Data_Ventas!$A$2:$A958,"&gt;="&amp;$B$2,Data_Ventas!$A$2:$A958,"&lt;="&amp;$E$2,Data_Ventas!$H$2:$H958,"Venta",Data_Ventas!$Q$2:$Q958,Dashboard!$B$34)),"0%")</f>
        <v>0.066</v>
      </c>
      <c r="X6" s="81">
        <f>IFERROR((SUMIFS(Data_Ventas!$O$2:$O958,Data_Ventas!$E$2:$E958,A6,Data_Ventas!$A$2:$A958,"&gt;="&amp;$B$2,Data_Ventas!$A$2:$A958,"&lt;="&amp;$E$2,Data_Ventas!$H$2:$H958,"Venta"))/(SUMIFS(Data_Ventas!$M$2:$M958,Data_Ventas!$E$2:$E958,A6,Data_Ventas!$A$2:$A958,"&gt;="&amp;$B$2,Data_Ventas!$A$2:$A958,"&lt;="&amp;$E$2,Data_Ventas!$H$2:$H958,"Venta")),"0%")</f>
        <v>0</v>
      </c>
      <c r="Y6" s="81">
        <f>IFERROR(N6/(SUMIFS(Data_Ventas!$N$2:$N958,Data_Ventas!$E$2:$E958,A6,Data_Ventas!$A$2:$A958,"&gt;="&amp;$B$2,Data_Ventas!$A$2:$A958,"&lt;="&amp;$E$2,Data_Ventas!$H$2:$H958,"Venta Perdida")),0%)</f>
        <v>0</v>
      </c>
      <c r="Z6" s="81">
        <f>IFERROR(N6/(N6+(SUMIFS(Data_Ventas!$N$2:$N958,Data_Ventas!$E$2:$E958,A6,Data_Ventas!$A$2:$A958,"&gt;="&amp;$B$2,Data_Ventas!$A$2:$A958,"&lt;="&amp;$E$2,Data_Ventas!$H$2:$H958,"Venta Perdida"))),"0%")</f>
        <v>1</v>
      </c>
      <c r="AA6" s="41"/>
      <c r="AB6" s="83">
        <f t="shared" si="8"/>
        <v>3</v>
      </c>
      <c r="AC6" s="41" t="str">
        <f t="shared" si="9"/>
        <v>🔴</v>
      </c>
      <c r="AD6" s="84">
        <f>((MIN(V6/Configuracion!$B$20,1)*30%)+(MIN(W6/Configuracion!$B$21,1)*20%)+(MAX(0,1-(X6/Configuracion!$B$22)*20%)*20%)+(IF(Y6=0,1,MIN(Configuracion!$B$23/Y6,1))*20%)+(MIN(Z6/Configuracion!$B$24,1)*10%))*100</f>
        <v>62.25714286</v>
      </c>
      <c r="AE6" s="84" t="str">
        <f t="shared" si="10"/>
        <v>🔴 Mala calidad comercial</v>
      </c>
      <c r="AF6" s="84">
        <f t="shared" si="11"/>
        <v>8.012820513</v>
      </c>
      <c r="AG6" s="84">
        <f t="shared" si="12"/>
        <v>29.71054945</v>
      </c>
    </row>
    <row r="7">
      <c r="A7" s="73" t="s">
        <v>146</v>
      </c>
      <c r="B7" s="74" t="s">
        <v>129</v>
      </c>
      <c r="C7" s="74" t="s">
        <v>128</v>
      </c>
      <c r="D7" s="75"/>
      <c r="E7" s="74">
        <v>3.0</v>
      </c>
      <c r="F7" s="76">
        <f>E7*Configuracion!$B$15</f>
        <v>120000</v>
      </c>
      <c r="G7" s="74">
        <f t="shared" si="1"/>
        <v>39</v>
      </c>
      <c r="H7" s="76">
        <f>G7*Configuracion!$B$15</f>
        <v>1560000</v>
      </c>
      <c r="I7" s="41">
        <f>COUNTIFS(Data_Ventas!$E$2:$E958,A7,Data_Ventas!$A$2:$A958,"&gt;="&amp;$B$2,Data_Ventas!$A$2:$A958,"&lt;="&amp;$E$2)</f>
        <v>0</v>
      </c>
      <c r="J7" s="41">
        <f>COUNTIFS(Data_Ventas!$E$2:$E958,A7,Data_Ventas!$A$2:$A958,"&gt;="&amp;$B$2,Data_Ventas!$A$2:$A958,"&lt;="&amp;$E$2,Data_Ventas!$H$2:$H958,"Visitó proyecto")</f>
        <v>0</v>
      </c>
      <c r="K7" s="41">
        <f>COUNTIFS(Data_Ventas!$E$2:$E958,A7,Data_Ventas!$A$2:$A958,"&gt;="&amp;$B$2,Data_Ventas!$A$2:$A958,"&lt;="&amp;$E$2,Data_Ventas!$H$2:$H958,"Visitó proyecto")</f>
        <v>0</v>
      </c>
      <c r="L7" s="41">
        <f>COUNTIFS(Data_Ventas!$E$2:$E958,A7,Data_Ventas!$A$2:$A958,"&gt;="&amp;$B$2,Data_Ventas!$A$2:$A958,"&lt;="&amp;$E$2,Data_Ventas!$H$2:$H958,"Separado")</f>
        <v>0</v>
      </c>
      <c r="M7" s="41">
        <f>COUNTIFS(Data_Ventas!$E$2:$E958,A7,Data_Ventas!$A$2:$A958,"&gt;="&amp;$B$2,Data_Ventas!$A$2:$A958,"&lt;="&amp;$E$2,Data_Ventas!$H$2:$H958,"Venta")</f>
        <v>0</v>
      </c>
      <c r="N7" s="77">
        <f>SUMIFS(Data_Ventas!$N$2:$N958,Data_Ventas!$E$2:$E958,A7,Data_Ventas!$A$2:$A958,"&gt;="&amp;$B$2,Data_Ventas!$A$2:$A958,"&lt;="&amp;$E$2,Data_Ventas!$H$2:$H958,"Venta")</f>
        <v>0</v>
      </c>
      <c r="O7" s="78">
        <f t="shared" si="2"/>
        <v>0</v>
      </c>
      <c r="P7" s="78">
        <f t="shared" si="3"/>
        <v>0</v>
      </c>
      <c r="Q7" s="78">
        <f t="shared" si="4"/>
        <v>0</v>
      </c>
      <c r="R7" s="79">
        <f t="shared" si="5"/>
        <v>0</v>
      </c>
      <c r="S7" s="79">
        <f t="shared" si="6"/>
        <v>0</v>
      </c>
      <c r="T7" s="79">
        <f>SUMIFS(Data_Ventas!$O$2:$O958,Data_Ventas!$E$2:$E958,A7,Data_Ventas!$A$2:$A958,"&gt;="&amp;$B$2,Data_Ventas!$A$2:$A958,"&lt;="&amp;$E$2,Data_Ventas!$H$2:$H958,"Venta")</f>
        <v>0</v>
      </c>
      <c r="U7" s="79">
        <f>SUMIFS(Data_Ventas!$R$2:$R958,Data_Ventas!$E$2:$E958,A7,Data_Ventas!$A$2:$A958,"&gt;="&amp;$B$2,Data_Ventas!$A$2:$A958,"&lt;="&amp;$E$2,Data_Ventas!$H$2:$H958,"Venta")</f>
        <v>0</v>
      </c>
      <c r="V7" s="80" t="str">
        <f t="shared" si="7"/>
        <v>0%</v>
      </c>
      <c r="W7" s="81" t="str">
        <f>IFERROR((SUMIFS(Data_Ventas!$R$2:$R958,Data_Ventas!$E$2:$E958,A7,Data_Ventas!$A$2:$A958,"&gt;="&amp;$B$2,Data_Ventas!$A$2:$A958,"&lt;="&amp;$E$2,Data_Ventas!$H$2:$H958,"Venta",Data_Ventas!$Q$2:$Q958,Dashboard!$B$34))/(SUMIFS(Data_Ventas!$N$2:$N958,Data_Ventas!$E$2:$E958,A7,Data_Ventas!$A$2:$A958,"&gt;="&amp;$B$2,Data_Ventas!$A$2:$A958,"&lt;="&amp;$E$2,Data_Ventas!$H$2:$H958,"Venta",Data_Ventas!$Q$2:$Q958,Dashboard!$B$34)),"0%")</f>
        <v>0%</v>
      </c>
      <c r="X7" s="81" t="str">
        <f>IFERROR((SUMIFS(Data_Ventas!$O$2:$O958,Data_Ventas!$E$2:$E958,A7,Data_Ventas!$A$2:$A958,"&gt;="&amp;$B$2,Data_Ventas!$A$2:$A958,"&lt;="&amp;$E$2,Data_Ventas!$H$2:$H958,"Venta"))/(SUMIFS(Data_Ventas!$M$2:$M958,Data_Ventas!$E$2:$E958,A7,Data_Ventas!$A$2:$A958,"&gt;="&amp;$B$2,Data_Ventas!$A$2:$A958,"&lt;="&amp;$E$2,Data_Ventas!$H$2:$H958,"Venta")),"0%")</f>
        <v>0%</v>
      </c>
      <c r="Y7" s="81">
        <f>IFERROR(N7/(SUMIFS(Data_Ventas!$N$2:$N958,Data_Ventas!$E$2:$E958,A7,Data_Ventas!$A$2:$A958,"&gt;="&amp;$B$2,Data_Ventas!$A$2:$A958,"&lt;="&amp;$E$2,Data_Ventas!$H$2:$H958,"Venta Perdida")),0%)</f>
        <v>0</v>
      </c>
      <c r="Z7" s="81" t="str">
        <f>IFERROR(N7/(N7+(SUMIFS(Data_Ventas!$N$2:$N958,Data_Ventas!$E$2:$E958,A7,Data_Ventas!$A$2:$A958,"&gt;="&amp;$B$2,Data_Ventas!$A$2:$A958,"&lt;="&amp;$E$2,Data_Ventas!$H$2:$H958,"Venta Perdida"))),"0%")</f>
        <v>0%</v>
      </c>
      <c r="AA7" s="41"/>
      <c r="AB7" s="83">
        <f t="shared" si="8"/>
        <v>6</v>
      </c>
      <c r="AC7" s="41" t="str">
        <f t="shared" si="9"/>
        <v>🔴</v>
      </c>
      <c r="AD7" s="84">
        <f>((MIN(V7/Configuracion!$B$20,1)*30%)+(MIN(W7/Configuracion!$B$21,1)*20%)+(MAX(0,1-(X7/Configuracion!$B$22)*20%)*20%)+(IF(Y7=0,1,MIN(Configuracion!$B$23/Y7,1))*20%)+(MIN(Z7/Configuracion!$B$24,1)*10%))*100</f>
        <v>40</v>
      </c>
      <c r="AE7" s="84" t="str">
        <f t="shared" si="10"/>
        <v>🔴 Mala calidad comercial</v>
      </c>
      <c r="AF7" s="84">
        <f t="shared" si="11"/>
        <v>0</v>
      </c>
      <c r="AG7" s="84">
        <f t="shared" si="12"/>
        <v>16</v>
      </c>
    </row>
    <row r="8">
      <c r="A8" s="73" t="s">
        <v>127</v>
      </c>
      <c r="B8" s="74"/>
      <c r="C8" s="74" t="s">
        <v>128</v>
      </c>
      <c r="D8" s="75"/>
      <c r="E8" s="74">
        <v>3.0</v>
      </c>
      <c r="F8" s="76">
        <f>E8*Configuracion!$B$15</f>
        <v>120000</v>
      </c>
      <c r="G8" s="74">
        <f t="shared" si="1"/>
        <v>39</v>
      </c>
      <c r="H8" s="76">
        <f>G8*Configuracion!$B$15</f>
        <v>1560000</v>
      </c>
      <c r="I8" s="41">
        <f>COUNTIFS(Data_Ventas!$E$2:$E958,A8,Data_Ventas!$A$2:$A958,"&gt;="&amp;$B$2,Data_Ventas!$A$2:$A958,"&lt;="&amp;$E$2)</f>
        <v>3</v>
      </c>
      <c r="J8" s="41">
        <f>COUNTIFS(Data_Ventas!$E$2:$E958,A8,Data_Ventas!$A$2:$A958,"&gt;="&amp;$B$2,Data_Ventas!$A$2:$A958,"&lt;="&amp;$E$2,Data_Ventas!$H$2:$H958,"Visitó proyecto")</f>
        <v>0</v>
      </c>
      <c r="K8" s="41">
        <f>COUNTIFS(Data_Ventas!$E$2:$E958,A8,Data_Ventas!$A$2:$A958,"&gt;="&amp;$B$2,Data_Ventas!$A$2:$A958,"&lt;="&amp;$E$2,Data_Ventas!$H$2:$H958,"Visitó proyecto")</f>
        <v>0</v>
      </c>
      <c r="L8" s="41">
        <f>COUNTIFS(Data_Ventas!$E$2:$E958,A8,Data_Ventas!$A$2:$A958,"&gt;="&amp;$B$2,Data_Ventas!$A$2:$A958,"&lt;="&amp;$E$2,Data_Ventas!$H$2:$H958,"Separado")</f>
        <v>0</v>
      </c>
      <c r="M8" s="41">
        <f>COUNTIFS(Data_Ventas!$E$2:$E958,A8,Data_Ventas!$A$2:$A958,"&gt;="&amp;$B$2,Data_Ventas!$A$2:$A958,"&lt;="&amp;$E$2,Data_Ventas!$H$2:$H958,"Venta")</f>
        <v>3</v>
      </c>
      <c r="N8" s="77">
        <f>SUMIFS(Data_Ventas!$N$2:$N958,Data_Ventas!$E$2:$E958,A8,Data_Ventas!$A$2:$A958,"&gt;="&amp;$B$2,Data_Ventas!$A$2:$A958,"&lt;="&amp;$E$2,Data_Ventas!$H$2:$H958,"Venta")</f>
        <v>168224.5</v>
      </c>
      <c r="O8" s="78">
        <f t="shared" si="2"/>
        <v>0.1078362179</v>
      </c>
      <c r="P8" s="78">
        <f t="shared" si="3"/>
        <v>1</v>
      </c>
      <c r="Q8" s="78">
        <f t="shared" si="4"/>
        <v>0</v>
      </c>
      <c r="R8" s="79">
        <f t="shared" si="5"/>
        <v>56074.83333</v>
      </c>
      <c r="S8" s="79">
        <f t="shared" si="6"/>
        <v>56074.83333</v>
      </c>
      <c r="T8" s="79">
        <f>SUMIFS(Data_Ventas!$O$2:$O958,Data_Ventas!$E$2:$E958,A8,Data_Ventas!$A$2:$A958,"&gt;="&amp;$B$2,Data_Ventas!$A$2:$A958,"&lt;="&amp;$E$2,Data_Ventas!$H$2:$H958,"Venta")</f>
        <v>0</v>
      </c>
      <c r="U8" s="79">
        <f>SUMIFS(Data_Ventas!$R$2:$R958,Data_Ventas!$E$2:$E958,A8,Data_Ventas!$A$2:$A958,"&gt;="&amp;$B$2,Data_Ventas!$A$2:$A958,"&lt;="&amp;$E$2,Data_Ventas!$H$2:$H958,"Venta")</f>
        <v>104360</v>
      </c>
      <c r="V8" s="80">
        <f t="shared" si="7"/>
        <v>0.6203614812</v>
      </c>
      <c r="W8" s="81">
        <f>IFERROR((SUMIFS(Data_Ventas!$R$2:$R958,Data_Ventas!$E$2:$E958,A8,Data_Ventas!$A$2:$A958,"&gt;="&amp;$B$2,Data_Ventas!$A$2:$A958,"&lt;="&amp;$E$2,Data_Ventas!$H$2:$H958,"Venta",Data_Ventas!$Q$2:$Q958,Dashboard!$B$34))/(SUMIFS(Data_Ventas!$N$2:$N958,Data_Ventas!$E$2:$E958,A8,Data_Ventas!$A$2:$A958,"&gt;="&amp;$B$2,Data_Ventas!$A$2:$A958,"&lt;="&amp;$E$2,Data_Ventas!$H$2:$H958,"Venta",Data_Ventas!$Q$2:$Q958,Dashboard!$B$34)),"0%")</f>
        <v>0.01541675339</v>
      </c>
      <c r="X8" s="81">
        <f>IFERROR((SUMIFS(Data_Ventas!$O$2:$O958,Data_Ventas!$E$2:$E958,A8,Data_Ventas!$A$2:$A958,"&gt;="&amp;$B$2,Data_Ventas!$A$2:$A958,"&lt;="&amp;$E$2,Data_Ventas!$H$2:$H958,"Venta"))/(SUMIFS(Data_Ventas!$M$2:$M958,Data_Ventas!$E$2:$E958,A8,Data_Ventas!$A$2:$A958,"&gt;="&amp;$B$2,Data_Ventas!$A$2:$A958,"&lt;="&amp;$E$2,Data_Ventas!$H$2:$H958,"Venta")),"0%")</f>
        <v>0</v>
      </c>
      <c r="Y8" s="81">
        <f>IFERROR(N8/(SUMIFS(Data_Ventas!$N$2:$N958,Data_Ventas!$E$2:$E958,A8,Data_Ventas!$A$2:$A958,"&gt;="&amp;$B$2,Data_Ventas!$A$2:$A958,"&lt;="&amp;$E$2,Data_Ventas!$H$2:$H958,"Venta Perdida")),0%)</f>
        <v>0</v>
      </c>
      <c r="Z8" s="81">
        <f>IFERROR(N8/(N8+(SUMIFS(Data_Ventas!$N$2:$N958,Data_Ventas!$E$2:$E958,A8,Data_Ventas!$A$2:$A958,"&gt;="&amp;$B$2,Data_Ventas!$A$2:$A958,"&lt;="&amp;$E$2,Data_Ventas!$H$2:$H958,"Venta Perdida"))),"0%")</f>
        <v>1</v>
      </c>
      <c r="AA8" s="41"/>
      <c r="AB8" s="83">
        <f t="shared" si="8"/>
        <v>2</v>
      </c>
      <c r="AC8" s="41" t="str">
        <f t="shared" si="9"/>
        <v>🔴</v>
      </c>
      <c r="AD8" s="84">
        <f>((MIN(V8/Configuracion!$B$20,1)*30%)+(MIN(W8/Configuracion!$B$21,1)*20%)+(MAX(0,1-(X8/Configuracion!$B$22)*20%)*20%)+(IF(Y8=0,1,MIN(Configuracion!$B$23/Y8,1))*20%)+(MIN(Z8/Configuracion!$B$24,1)*10%))*100</f>
        <v>81.54167534</v>
      </c>
      <c r="AE8" s="84" t="str">
        <f t="shared" si="10"/>
        <v>🟡 Ventas calidad aceptable, revisar</v>
      </c>
      <c r="AF8" s="84">
        <f t="shared" si="11"/>
        <v>10.78362179</v>
      </c>
      <c r="AG8" s="84">
        <f t="shared" si="12"/>
        <v>39.08684321</v>
      </c>
    </row>
    <row r="9">
      <c r="A9" s="73" t="s">
        <v>175</v>
      </c>
      <c r="B9" s="74" t="s">
        <v>127</v>
      </c>
      <c r="C9" s="74" t="s">
        <v>128</v>
      </c>
      <c r="D9" s="75"/>
      <c r="E9" s="74">
        <v>3.0</v>
      </c>
      <c r="F9" s="76">
        <f>E9*Configuracion!$B$15</f>
        <v>120000</v>
      </c>
      <c r="G9" s="74">
        <f t="shared" si="1"/>
        <v>39</v>
      </c>
      <c r="H9" s="76">
        <f>G9*Configuracion!$B$15</f>
        <v>1560000</v>
      </c>
      <c r="I9" s="41">
        <f>COUNTIFS(Data_Ventas!$E$2:$E958,A9,Data_Ventas!$A$2:$A958,"&gt;="&amp;$B$2,Data_Ventas!$A$2:$A958,"&lt;="&amp;$E$2)</f>
        <v>0</v>
      </c>
      <c r="J9" s="41">
        <f>COUNTIFS(Data_Ventas!$E$2:$E958,A9,Data_Ventas!$A$2:$A958,"&gt;="&amp;$B$2,Data_Ventas!$A$2:$A958,"&lt;="&amp;$E$2,Data_Ventas!$H$2:$H958,"Visitó proyecto")</f>
        <v>0</v>
      </c>
      <c r="K9" s="41">
        <f>COUNTIFS(Data_Ventas!$E$2:$E958,A9,Data_Ventas!$A$2:$A958,"&gt;="&amp;$B$2,Data_Ventas!$A$2:$A958,"&lt;="&amp;$E$2,Data_Ventas!$H$2:$H958,"Visitó proyecto")</f>
        <v>0</v>
      </c>
      <c r="L9" s="41">
        <f>COUNTIFS(Data_Ventas!$E$2:$E958,A9,Data_Ventas!$A$2:$A958,"&gt;="&amp;$B$2,Data_Ventas!$A$2:$A958,"&lt;="&amp;$E$2,Data_Ventas!$H$2:$H958,"Separado")</f>
        <v>0</v>
      </c>
      <c r="M9" s="41">
        <f>COUNTIFS(Data_Ventas!$E$2:$E958,A9,Data_Ventas!$A$2:$A958,"&gt;="&amp;$B$2,Data_Ventas!$A$2:$A958,"&lt;="&amp;$E$2,Data_Ventas!$H$2:$H958,"Venta")</f>
        <v>0</v>
      </c>
      <c r="N9" s="77">
        <f>SUMIFS(Data_Ventas!$N$2:$N958,Data_Ventas!$E$2:$E958,A9,Data_Ventas!$A$2:$A958,"&gt;="&amp;$B$2,Data_Ventas!$A$2:$A958,"&lt;="&amp;$E$2,Data_Ventas!$H$2:$H958,"Venta")</f>
        <v>0</v>
      </c>
      <c r="O9" s="78">
        <f t="shared" si="2"/>
        <v>0</v>
      </c>
      <c r="P9" s="78">
        <f t="shared" si="3"/>
        <v>0</v>
      </c>
      <c r="Q9" s="78">
        <f t="shared" si="4"/>
        <v>0</v>
      </c>
      <c r="R9" s="79">
        <f t="shared" si="5"/>
        <v>0</v>
      </c>
      <c r="S9" s="79">
        <f t="shared" si="6"/>
        <v>0</v>
      </c>
      <c r="T9" s="79">
        <f>SUMIFS(Data_Ventas!$O$2:$O958,Data_Ventas!$E$2:$E958,A9,Data_Ventas!$A$2:$A958,"&gt;="&amp;$B$2,Data_Ventas!$A$2:$A958,"&lt;="&amp;$E$2,Data_Ventas!$H$2:$H958,"Venta")</f>
        <v>0</v>
      </c>
      <c r="U9" s="79">
        <f>SUMIFS(Data_Ventas!$R$2:$R958,Data_Ventas!$E$2:$E958,A9,Data_Ventas!$A$2:$A958,"&gt;="&amp;$B$2,Data_Ventas!$A$2:$A958,"&lt;="&amp;$E$2,Data_Ventas!$H$2:$H958,"Venta")</f>
        <v>0</v>
      </c>
      <c r="V9" s="80" t="str">
        <f t="shared" si="7"/>
        <v>0%</v>
      </c>
      <c r="W9" s="81" t="str">
        <f>IFERROR((SUMIFS(Data_Ventas!$R$2:$R958,Data_Ventas!$E$2:$E958,A9,Data_Ventas!$A$2:$A958,"&gt;="&amp;$B$2,Data_Ventas!$A$2:$A958,"&lt;="&amp;$E$2,Data_Ventas!$H$2:$H958,"Venta",Data_Ventas!$Q$2:$Q958,Dashboard!$B$34))/(SUMIFS(Data_Ventas!$N$2:$N958,Data_Ventas!$E$2:$E958,A9,Data_Ventas!$A$2:$A958,"&gt;="&amp;$B$2,Data_Ventas!$A$2:$A958,"&lt;="&amp;$E$2,Data_Ventas!$H$2:$H958,"Venta",Data_Ventas!$Q$2:$Q958,Dashboard!$B$34)),"0%")</f>
        <v>0%</v>
      </c>
      <c r="X9" s="81" t="str">
        <f>IFERROR((SUMIFS(Data_Ventas!$O$2:$O958,Data_Ventas!$E$2:$E958,A9,Data_Ventas!$A$2:$A958,"&gt;="&amp;$B$2,Data_Ventas!$A$2:$A958,"&lt;="&amp;$E$2,Data_Ventas!$H$2:$H958,"Venta"))/(SUMIFS(Data_Ventas!$M$2:$M958,Data_Ventas!$E$2:$E958,A9,Data_Ventas!$A$2:$A958,"&gt;="&amp;$B$2,Data_Ventas!$A$2:$A958,"&lt;="&amp;$E$2,Data_Ventas!$H$2:$H958,"Venta")),"0%")</f>
        <v>0%</v>
      </c>
      <c r="Y9" s="81">
        <f>IFERROR(N9/(SUMIFS(Data_Ventas!$N$2:$N958,Data_Ventas!$E$2:$E958,A9,Data_Ventas!$A$2:$A958,"&gt;="&amp;$B$2,Data_Ventas!$A$2:$A958,"&lt;="&amp;$E$2,Data_Ventas!$H$2:$H958,"Venta Perdida")),0%)</f>
        <v>0</v>
      </c>
      <c r="Z9" s="81" t="str">
        <f>IFERROR(N9/(N9+(SUMIFS(Data_Ventas!$N$2:$N958,Data_Ventas!$E$2:$E958,A9,Data_Ventas!$A$2:$A958,"&gt;="&amp;$B$2,Data_Ventas!$A$2:$A958,"&lt;="&amp;$E$2,Data_Ventas!$H$2:$H958,"Venta Perdida"))),"0%")</f>
        <v>0%</v>
      </c>
      <c r="AA9" s="41"/>
      <c r="AB9" s="83">
        <f t="shared" si="8"/>
        <v>7</v>
      </c>
      <c r="AC9" s="41" t="str">
        <f t="shared" si="9"/>
        <v>🔴</v>
      </c>
      <c r="AD9" s="84">
        <f>((MIN(V9/Configuracion!$B$20,1)*30%)+(MIN(W9/Configuracion!$B$21,1)*20%)+(MAX(0,1-(X9/Configuracion!$B$22)*20%)*20%)+(IF(Y9=0,1,MIN(Configuracion!$B$23/Y9,1))*20%)+(MIN(Z9/Configuracion!$B$24,1)*10%))*100</f>
        <v>40</v>
      </c>
      <c r="AE9" s="84" t="str">
        <f t="shared" si="10"/>
        <v>🔴 Mala calidad comercial</v>
      </c>
      <c r="AF9" s="84">
        <f t="shared" si="11"/>
        <v>0</v>
      </c>
      <c r="AG9" s="84">
        <f t="shared" si="12"/>
        <v>16</v>
      </c>
    </row>
    <row r="10">
      <c r="A10" s="73" t="s">
        <v>176</v>
      </c>
      <c r="B10" s="74" t="s">
        <v>126</v>
      </c>
      <c r="C10" s="74" t="s">
        <v>177</v>
      </c>
      <c r="D10" s="75"/>
      <c r="E10" s="74">
        <v>3.0</v>
      </c>
      <c r="F10" s="76">
        <f>E10*Configuracion!$B$15</f>
        <v>120000</v>
      </c>
      <c r="G10" s="74">
        <f t="shared" si="1"/>
        <v>39</v>
      </c>
      <c r="H10" s="76">
        <f>G10*Configuracion!$B$15</f>
        <v>1560000</v>
      </c>
      <c r="I10" s="41">
        <f>COUNTIFS(Data_Ventas!$E$2:$E958,A10,Data_Ventas!$A$2:$A958,"&gt;="&amp;$B$2,Data_Ventas!$A$2:$A958,"&lt;="&amp;$E$2)</f>
        <v>0</v>
      </c>
      <c r="J10" s="41">
        <f>COUNTIFS(Data_Ventas!$E$2:$E958,A10,Data_Ventas!$A$2:$A958,"&gt;="&amp;$B$2,Data_Ventas!$A$2:$A958,"&lt;="&amp;$E$2,Data_Ventas!$H$2:$H958,"Visitó proyecto")</f>
        <v>0</v>
      </c>
      <c r="K10" s="41">
        <f>COUNTIFS(Data_Ventas!$E$2:$E958,A10,Data_Ventas!$A$2:$A958,"&gt;="&amp;$B$2,Data_Ventas!$A$2:$A958,"&lt;="&amp;$E$2,Data_Ventas!$H$2:$H958,"Visitó proyecto")</f>
        <v>0</v>
      </c>
      <c r="L10" s="41">
        <f>COUNTIFS(Data_Ventas!$E$2:$E958,A10,Data_Ventas!$A$2:$A958,"&gt;="&amp;$B$2,Data_Ventas!$A$2:$A958,"&lt;="&amp;$E$2,Data_Ventas!$H$2:$H958,"Separado")</f>
        <v>0</v>
      </c>
      <c r="M10" s="41">
        <f>COUNTIFS(Data_Ventas!$E$2:$E958,A10,Data_Ventas!$A$2:$A958,"&gt;="&amp;$B$2,Data_Ventas!$A$2:$A958,"&lt;="&amp;$E$2,Data_Ventas!$H$2:$H958,"Venta")</f>
        <v>0</v>
      </c>
      <c r="N10" s="77">
        <f>SUMIFS(Data_Ventas!$N$2:$N958,Data_Ventas!$E$2:$E958,A10,Data_Ventas!$A$2:$A958,"&gt;="&amp;$B$2,Data_Ventas!$A$2:$A958,"&lt;="&amp;$E$2,Data_Ventas!$H$2:$H958,"Venta")</f>
        <v>0</v>
      </c>
      <c r="O10" s="78">
        <f t="shared" si="2"/>
        <v>0</v>
      </c>
      <c r="P10" s="78">
        <f t="shared" si="3"/>
        <v>0</v>
      </c>
      <c r="Q10" s="78">
        <f t="shared" si="4"/>
        <v>0</v>
      </c>
      <c r="R10" s="79">
        <f t="shared" si="5"/>
        <v>0</v>
      </c>
      <c r="S10" s="79">
        <f t="shared" si="6"/>
        <v>0</v>
      </c>
      <c r="T10" s="79">
        <f>SUMIFS(Data_Ventas!$O$2:$O958,Data_Ventas!$E$2:$E958,A10,Data_Ventas!$A$2:$A958,"&gt;="&amp;$B$2,Data_Ventas!$A$2:$A958,"&lt;="&amp;$E$2,Data_Ventas!$H$2:$H958,"Venta")</f>
        <v>0</v>
      </c>
      <c r="U10" s="79">
        <f>SUMIFS(Data_Ventas!$R$2:$R958,Data_Ventas!$E$2:$E958,A10,Data_Ventas!$A$2:$A958,"&gt;="&amp;$B$2,Data_Ventas!$A$2:$A958,"&lt;="&amp;$E$2,Data_Ventas!$H$2:$H958,"Venta")</f>
        <v>0</v>
      </c>
      <c r="V10" s="80" t="str">
        <f t="shared" si="7"/>
        <v>0%</v>
      </c>
      <c r="W10" s="81" t="str">
        <f>IFERROR((SUMIFS(Data_Ventas!$R$2:$R958,Data_Ventas!$E$2:$E958,A10,Data_Ventas!$A$2:$A958,"&gt;="&amp;$B$2,Data_Ventas!$A$2:$A958,"&lt;="&amp;$E$2,Data_Ventas!$H$2:$H958,"Venta",Data_Ventas!$Q$2:$Q958,Dashboard!$B$34))/(SUMIFS(Data_Ventas!$N$2:$N958,Data_Ventas!$E$2:$E958,A10,Data_Ventas!$A$2:$A958,"&gt;="&amp;$B$2,Data_Ventas!$A$2:$A958,"&lt;="&amp;$E$2,Data_Ventas!$H$2:$H958,"Venta",Data_Ventas!$Q$2:$Q958,Dashboard!$B$34)),"0%")</f>
        <v>0%</v>
      </c>
      <c r="X10" s="81" t="str">
        <f>IFERROR((SUMIFS(Data_Ventas!$O$2:$O958,Data_Ventas!$E$2:$E958,A10,Data_Ventas!$A$2:$A958,"&gt;="&amp;$B$2,Data_Ventas!$A$2:$A958,"&lt;="&amp;$E$2,Data_Ventas!$H$2:$H958,"Venta"))/(SUMIFS(Data_Ventas!$M$2:$M958,Data_Ventas!$E$2:$E958,A10,Data_Ventas!$A$2:$A958,"&gt;="&amp;$B$2,Data_Ventas!$A$2:$A958,"&lt;="&amp;$E$2,Data_Ventas!$H$2:$H958,"Venta")),"0%")</f>
        <v>0%</v>
      </c>
      <c r="Y10" s="81">
        <f>IFERROR(N10/(SUMIFS(Data_Ventas!$N$2:$N958,Data_Ventas!$E$2:$E958,A10,Data_Ventas!$A$2:$A958,"&gt;="&amp;$B$2,Data_Ventas!$A$2:$A958,"&lt;="&amp;$E$2,Data_Ventas!$H$2:$H958,"Venta Perdida")),0%)</f>
        <v>0</v>
      </c>
      <c r="Z10" s="81" t="str">
        <f>IFERROR(N10/(N10+(SUMIFS(Data_Ventas!$N$2:$N958,Data_Ventas!$E$2:$E958,A10,Data_Ventas!$A$2:$A958,"&gt;="&amp;$B$2,Data_Ventas!$A$2:$A958,"&lt;="&amp;$E$2,Data_Ventas!$H$2:$H958,"Venta Perdida"))),"0%")</f>
        <v>0%</v>
      </c>
      <c r="AA10" s="41"/>
      <c r="AB10" s="83">
        <f t="shared" si="8"/>
        <v>8</v>
      </c>
      <c r="AC10" s="41" t="str">
        <f t="shared" si="9"/>
        <v>🔴</v>
      </c>
      <c r="AD10" s="84">
        <f>((MIN(V10/Configuracion!$B$20,1)*30%)+(MIN(W10/Configuracion!$B$21,1)*20%)+(MAX(0,1-(X10/Configuracion!$B$22)*20%)*20%)+(IF(Y10=0,1,MIN(Configuracion!$B$23/Y10,1))*20%)+(MIN(Z10/Configuracion!$B$24,1)*10%))*100</f>
        <v>40</v>
      </c>
      <c r="AE10" s="84" t="str">
        <f t="shared" si="10"/>
        <v>🔴 Mala calidad comercial</v>
      </c>
      <c r="AF10" s="84">
        <f t="shared" si="11"/>
        <v>0</v>
      </c>
      <c r="AG10" s="84">
        <f t="shared" si="12"/>
        <v>16</v>
      </c>
    </row>
    <row r="11">
      <c r="A11" s="73" t="s">
        <v>178</v>
      </c>
      <c r="B11" s="74" t="s">
        <v>127</v>
      </c>
      <c r="C11" s="74" t="s">
        <v>128</v>
      </c>
      <c r="D11" s="75"/>
      <c r="E11" s="74">
        <v>3.0</v>
      </c>
      <c r="F11" s="76">
        <f>E11*Configuracion!$B$15</f>
        <v>120000</v>
      </c>
      <c r="G11" s="74">
        <f t="shared" si="1"/>
        <v>39</v>
      </c>
      <c r="H11" s="76">
        <f>G11*Configuracion!$B$15</f>
        <v>1560000</v>
      </c>
      <c r="I11" s="41">
        <f>COUNTIFS(Data_Ventas!$E$2:$E958,A11,Data_Ventas!$A$2:$A958,"&gt;="&amp;$B$2,Data_Ventas!$A$2:$A958,"&lt;="&amp;$E$2)</f>
        <v>0</v>
      </c>
      <c r="J11" s="41">
        <f>COUNTIFS(Data_Ventas!$E$2:$E958,A11,Data_Ventas!$A$2:$A958,"&gt;="&amp;$B$2,Data_Ventas!$A$2:$A958,"&lt;="&amp;$E$2,Data_Ventas!$H$2:$H958,"Visitó proyecto")</f>
        <v>0</v>
      </c>
      <c r="K11" s="41">
        <f>COUNTIFS(Data_Ventas!$E$2:$E958,A11,Data_Ventas!$A$2:$A958,"&gt;="&amp;$B$2,Data_Ventas!$A$2:$A958,"&lt;="&amp;$E$2,Data_Ventas!$H$2:$H958,"Visitó proyecto")</f>
        <v>0</v>
      </c>
      <c r="L11" s="41">
        <f>COUNTIFS(Data_Ventas!$E$2:$E958,A11,Data_Ventas!$A$2:$A958,"&gt;="&amp;$B$2,Data_Ventas!$A$2:$A958,"&lt;="&amp;$E$2,Data_Ventas!$H$2:$H958,"Separado")</f>
        <v>0</v>
      </c>
      <c r="M11" s="41">
        <f>COUNTIFS(Data_Ventas!$E$2:$E958,A11,Data_Ventas!$A$2:$A958,"&gt;="&amp;$B$2,Data_Ventas!$A$2:$A958,"&lt;="&amp;$E$2,Data_Ventas!$H$2:$H958,"Venta")</f>
        <v>0</v>
      </c>
      <c r="N11" s="77">
        <f>SUMIFS(Data_Ventas!$N$2:$N958,Data_Ventas!$E$2:$E958,A11,Data_Ventas!$A$2:$A958,"&gt;="&amp;$B$2,Data_Ventas!$A$2:$A958,"&lt;="&amp;$E$2,Data_Ventas!$H$2:$H958,"Venta")</f>
        <v>0</v>
      </c>
      <c r="O11" s="78">
        <f t="shared" si="2"/>
        <v>0</v>
      </c>
      <c r="P11" s="78">
        <f t="shared" si="3"/>
        <v>0</v>
      </c>
      <c r="Q11" s="78">
        <f t="shared" si="4"/>
        <v>0</v>
      </c>
      <c r="R11" s="79">
        <f t="shared" si="5"/>
        <v>0</v>
      </c>
      <c r="S11" s="79">
        <f t="shared" si="6"/>
        <v>0</v>
      </c>
      <c r="T11" s="79">
        <f>SUMIFS(Data_Ventas!$O$2:$O958,Data_Ventas!$E$2:$E958,A11,Data_Ventas!$A$2:$A958,"&gt;="&amp;$B$2,Data_Ventas!$A$2:$A958,"&lt;="&amp;$E$2,Data_Ventas!$H$2:$H958,"Venta")</f>
        <v>0</v>
      </c>
      <c r="U11" s="79">
        <f>SUMIFS(Data_Ventas!$R$2:$R958,Data_Ventas!$E$2:$E958,A11,Data_Ventas!$A$2:$A958,"&gt;="&amp;$B$2,Data_Ventas!$A$2:$A958,"&lt;="&amp;$E$2,Data_Ventas!$H$2:$H958,"Venta")</f>
        <v>0</v>
      </c>
      <c r="V11" s="80" t="str">
        <f t="shared" si="7"/>
        <v>0%</v>
      </c>
      <c r="W11" s="81" t="str">
        <f>IFERROR((SUMIFS(Data_Ventas!$R$2:$R958,Data_Ventas!$E$2:$E958,A11,Data_Ventas!$A$2:$A958,"&gt;="&amp;$B$2,Data_Ventas!$A$2:$A958,"&lt;="&amp;$E$2,Data_Ventas!$H$2:$H958,"Venta",Data_Ventas!$Q$2:$Q958,Dashboard!$B$34))/(SUMIFS(Data_Ventas!$N$2:$N958,Data_Ventas!$E$2:$E958,A11,Data_Ventas!$A$2:$A958,"&gt;="&amp;$B$2,Data_Ventas!$A$2:$A958,"&lt;="&amp;$E$2,Data_Ventas!$H$2:$H958,"Venta",Data_Ventas!$Q$2:$Q958,Dashboard!$B$34)),"0%")</f>
        <v>0%</v>
      </c>
      <c r="X11" s="81" t="str">
        <f>IFERROR((SUMIFS(Data_Ventas!$O$2:$O958,Data_Ventas!$E$2:$E958,A11,Data_Ventas!$A$2:$A958,"&gt;="&amp;$B$2,Data_Ventas!$A$2:$A958,"&lt;="&amp;$E$2,Data_Ventas!$H$2:$H958,"Venta"))/(SUMIFS(Data_Ventas!$M$2:$M958,Data_Ventas!$E$2:$E958,A11,Data_Ventas!$A$2:$A958,"&gt;="&amp;$B$2,Data_Ventas!$A$2:$A958,"&lt;="&amp;$E$2,Data_Ventas!$H$2:$H958,"Venta")),"0%")</f>
        <v>0%</v>
      </c>
      <c r="Y11" s="81">
        <f>IFERROR(N11/(SUMIFS(Data_Ventas!$N$2:$N958,Data_Ventas!$E$2:$E958,A11,Data_Ventas!$A$2:$A958,"&gt;="&amp;$B$2,Data_Ventas!$A$2:$A958,"&lt;="&amp;$E$2,Data_Ventas!$H$2:$H958,"Venta Perdida")),0%)</f>
        <v>0</v>
      </c>
      <c r="Z11" s="81" t="str">
        <f>IFERROR(N11/(N11+(SUMIFS(Data_Ventas!$N$2:$N958,Data_Ventas!$E$2:$E958,A11,Data_Ventas!$A$2:$A958,"&gt;="&amp;$B$2,Data_Ventas!$A$2:$A958,"&lt;="&amp;$E$2,Data_Ventas!$H$2:$H958,"Venta Perdida"))),"0%")</f>
        <v>0%</v>
      </c>
      <c r="AA11" s="41"/>
      <c r="AB11" s="83">
        <f t="shared" si="8"/>
        <v>9</v>
      </c>
      <c r="AC11" s="41" t="str">
        <f t="shared" si="9"/>
        <v>🔴</v>
      </c>
      <c r="AD11" s="84">
        <f>((MIN(V11/Configuracion!$B$20,1)*30%)+(MIN(W11/Configuracion!$B$21,1)*20%)+(MAX(0,1-(X11/Configuracion!$B$22)*20%)*20%)+(IF(Y11=0,1,MIN(Configuracion!$B$23/Y11,1))*20%)+(MIN(Z11/Configuracion!$B$24,1)*10%))*100</f>
        <v>40</v>
      </c>
      <c r="AE11" s="84" t="str">
        <f t="shared" si="10"/>
        <v>🔴 Mala calidad comercial</v>
      </c>
      <c r="AF11" s="84">
        <f t="shared" si="11"/>
        <v>0</v>
      </c>
      <c r="AG11" s="84">
        <f t="shared" si="12"/>
        <v>16</v>
      </c>
    </row>
    <row r="12">
      <c r="A12" s="73" t="s">
        <v>203</v>
      </c>
      <c r="B12" s="74" t="s">
        <v>127</v>
      </c>
      <c r="C12" s="74" t="s">
        <v>128</v>
      </c>
      <c r="D12" s="75"/>
      <c r="E12" s="74">
        <v>3.0</v>
      </c>
      <c r="F12" s="76">
        <f>E12*Configuracion!$B$15</f>
        <v>120000</v>
      </c>
      <c r="G12" s="74">
        <f t="shared" si="1"/>
        <v>39</v>
      </c>
      <c r="H12" s="76">
        <f>G12*Configuracion!$B$15</f>
        <v>1560000</v>
      </c>
      <c r="I12" s="41">
        <f>COUNTIFS(Data_Ventas!$E$2:$E958,A12,Data_Ventas!$A$2:$A958,"&gt;="&amp;$B$2,Data_Ventas!$A$2:$A958,"&lt;="&amp;$E$2)</f>
        <v>0</v>
      </c>
      <c r="J12" s="41">
        <f>COUNTIFS(Data_Ventas!$E$2:$E958,A12,Data_Ventas!$A$2:$A958,"&gt;="&amp;$B$2,Data_Ventas!$A$2:$A958,"&lt;="&amp;$E$2,Data_Ventas!$H$2:$H958,"Visitó proyecto")</f>
        <v>0</v>
      </c>
      <c r="K12" s="41">
        <f>COUNTIFS(Data_Ventas!$E$2:$E958,A12,Data_Ventas!$A$2:$A958,"&gt;="&amp;$B$2,Data_Ventas!$A$2:$A958,"&lt;="&amp;$E$2,Data_Ventas!$H$2:$H958,"Visitó proyecto")</f>
        <v>0</v>
      </c>
      <c r="L12" s="41">
        <f>COUNTIFS(Data_Ventas!$E$2:$E958,A12,Data_Ventas!$A$2:$A958,"&gt;="&amp;$B$2,Data_Ventas!$A$2:$A958,"&lt;="&amp;$E$2,Data_Ventas!$H$2:$H958,"Separado")</f>
        <v>0</v>
      </c>
      <c r="M12" s="41">
        <f>COUNTIFS(Data_Ventas!$E$2:$E958,A12,Data_Ventas!$A$2:$A958,"&gt;="&amp;$B$2,Data_Ventas!$A$2:$A958,"&lt;="&amp;$E$2,Data_Ventas!$H$2:$H958,"Venta")</f>
        <v>0</v>
      </c>
      <c r="N12" s="77">
        <f>SUMIFS(Data_Ventas!$N$2:$N958,Data_Ventas!$E$2:$E958,A12,Data_Ventas!$A$2:$A958,"&gt;="&amp;$B$2,Data_Ventas!$A$2:$A958,"&lt;="&amp;$E$2,Data_Ventas!$H$2:$H958,"Venta")</f>
        <v>0</v>
      </c>
      <c r="O12" s="78">
        <f t="shared" si="2"/>
        <v>0</v>
      </c>
      <c r="P12" s="78">
        <f t="shared" si="3"/>
        <v>0</v>
      </c>
      <c r="Q12" s="78">
        <f t="shared" si="4"/>
        <v>0</v>
      </c>
      <c r="R12" s="79">
        <f t="shared" si="5"/>
        <v>0</v>
      </c>
      <c r="S12" s="79">
        <f t="shared" si="6"/>
        <v>0</v>
      </c>
      <c r="T12" s="79">
        <f>SUMIFS(Data_Ventas!$O$2:$O958,Data_Ventas!$E$2:$E958,A12,Data_Ventas!$A$2:$A958,"&gt;="&amp;$B$2,Data_Ventas!$A$2:$A958,"&lt;="&amp;$E$2,Data_Ventas!$H$2:$H958,"Venta")</f>
        <v>0</v>
      </c>
      <c r="U12" s="79">
        <f>SUMIFS(Data_Ventas!$R$2:$R958,Data_Ventas!$E$2:$E958,A12,Data_Ventas!$A$2:$A958,"&gt;="&amp;$B$2,Data_Ventas!$A$2:$A958,"&lt;="&amp;$E$2,Data_Ventas!$H$2:$H958,"Venta")</f>
        <v>0</v>
      </c>
      <c r="V12" s="80" t="str">
        <f t="shared" si="7"/>
        <v>0%</v>
      </c>
      <c r="W12" s="81" t="str">
        <f>IFERROR((SUMIFS(Data_Ventas!$R$2:$R958,Data_Ventas!$E$2:$E958,A12,Data_Ventas!$A$2:$A958,"&gt;="&amp;$B$2,Data_Ventas!$A$2:$A958,"&lt;="&amp;$E$2,Data_Ventas!$H$2:$H958,"Venta",Data_Ventas!$Q$2:$Q958,Dashboard!$B$34))/(SUMIFS(Data_Ventas!$N$2:$N958,Data_Ventas!$E$2:$E958,A12,Data_Ventas!$A$2:$A958,"&gt;="&amp;$B$2,Data_Ventas!$A$2:$A958,"&lt;="&amp;$E$2,Data_Ventas!$H$2:$H958,"Venta",Data_Ventas!$Q$2:$Q958,Dashboard!$B$34)),"0%")</f>
        <v>0%</v>
      </c>
      <c r="X12" s="81" t="str">
        <f>IFERROR((SUMIFS(Data_Ventas!$O$2:$O958,Data_Ventas!$E$2:$E958,A12,Data_Ventas!$A$2:$A958,"&gt;="&amp;$B$2,Data_Ventas!$A$2:$A958,"&lt;="&amp;$E$2,Data_Ventas!$H$2:$H958,"Venta"))/(SUMIFS(Data_Ventas!$M$2:$M958,Data_Ventas!$E$2:$E958,A12,Data_Ventas!$A$2:$A958,"&gt;="&amp;$B$2,Data_Ventas!$A$2:$A958,"&lt;="&amp;$E$2,Data_Ventas!$H$2:$H958,"Venta")),"0%")</f>
        <v>0%</v>
      </c>
      <c r="Y12" s="81">
        <f>IFERROR(N12/(SUMIFS(Data_Ventas!$N$2:$N958,Data_Ventas!$E$2:$E958,A12,Data_Ventas!$A$2:$A958,"&gt;="&amp;$B$2,Data_Ventas!$A$2:$A958,"&lt;="&amp;$E$2,Data_Ventas!$H$2:$H958,"Venta Perdida")),0%)</f>
        <v>0</v>
      </c>
      <c r="Z12" s="81" t="str">
        <f>IFERROR(N12/(N12+(SUMIFS(Data_Ventas!$N$2:$N958,Data_Ventas!$E$2:$E958,A12,Data_Ventas!$A$2:$A958,"&gt;="&amp;$B$2,Data_Ventas!$A$2:$A958,"&lt;="&amp;$E$2,Data_Ventas!$H$2:$H958,"Venta Perdida"))),"0%")</f>
        <v>0%</v>
      </c>
      <c r="AA12" s="41"/>
      <c r="AB12" s="83">
        <f t="shared" si="8"/>
        <v>10</v>
      </c>
      <c r="AC12" s="41" t="str">
        <f t="shared" si="9"/>
        <v>🔴</v>
      </c>
      <c r="AD12" s="84">
        <f>((MIN(V12/Configuracion!$B$20,1)*30%)+(MIN(W12/Configuracion!$B$21,1)*20%)+(MAX(0,1-(X12/Configuracion!$B$22)*20%)*20%)+(IF(Y12=0,1,MIN(Configuracion!$B$23/Y12,1))*20%)+(MIN(Z12/Configuracion!$B$24,1)*10%))*100</f>
        <v>40</v>
      </c>
      <c r="AE12" s="84" t="str">
        <f t="shared" si="10"/>
        <v>🔴 Mala calidad comercial</v>
      </c>
      <c r="AF12" s="84">
        <f t="shared" si="11"/>
        <v>0</v>
      </c>
      <c r="AG12" s="84">
        <f t="shared" si="12"/>
        <v>16</v>
      </c>
    </row>
    <row r="13">
      <c r="A13" s="73" t="s">
        <v>199</v>
      </c>
      <c r="B13" s="74" t="s">
        <v>127</v>
      </c>
      <c r="C13" s="74" t="s">
        <v>128</v>
      </c>
      <c r="D13" s="75"/>
      <c r="E13" s="74">
        <v>3.0</v>
      </c>
      <c r="F13" s="76">
        <f>E13*Configuracion!$B$15</f>
        <v>120000</v>
      </c>
      <c r="G13" s="74">
        <f t="shared" si="1"/>
        <v>39</v>
      </c>
      <c r="H13" s="76">
        <f>G13*Configuracion!$B$15</f>
        <v>1560000</v>
      </c>
      <c r="I13" s="41">
        <f>COUNTIFS(Data_Ventas!$E$2:$E958,A13,Data_Ventas!$A$2:$A958,"&gt;="&amp;$B$2,Data_Ventas!$A$2:$A958,"&lt;="&amp;$E$2)</f>
        <v>6</v>
      </c>
      <c r="J13" s="41">
        <f>COUNTIFS(Data_Ventas!$E$2:$E958,A13,Data_Ventas!$A$2:$A958,"&gt;="&amp;$B$2,Data_Ventas!$A$2:$A958,"&lt;="&amp;$E$2,Data_Ventas!$H$2:$H958,"Visitó proyecto")</f>
        <v>0</v>
      </c>
      <c r="K13" s="41">
        <f>COUNTIFS(Data_Ventas!$E$2:$E958,A13,Data_Ventas!$A$2:$A958,"&gt;="&amp;$B$2,Data_Ventas!$A$2:$A958,"&lt;="&amp;$E$2,Data_Ventas!$H$2:$H958,"Visitó proyecto")</f>
        <v>0</v>
      </c>
      <c r="L13" s="41">
        <f>COUNTIFS(Data_Ventas!$E$2:$E958,A13,Data_Ventas!$A$2:$A958,"&gt;="&amp;$B$2,Data_Ventas!$A$2:$A958,"&lt;="&amp;$E$2,Data_Ventas!$H$2:$H958,"Separado")</f>
        <v>0</v>
      </c>
      <c r="M13" s="41">
        <f>COUNTIFS(Data_Ventas!$E$2:$E958,A13,Data_Ventas!$A$2:$A958,"&gt;="&amp;$B$2,Data_Ventas!$A$2:$A958,"&lt;="&amp;$E$2,Data_Ventas!$H$2:$H958,"Venta")</f>
        <v>6</v>
      </c>
      <c r="N13" s="77">
        <f>SUMIFS(Data_Ventas!$N$2:$N958,Data_Ventas!$E$2:$E958,A13,Data_Ventas!$A$2:$A958,"&gt;="&amp;$B$2,Data_Ventas!$A$2:$A958,"&lt;="&amp;$E$2,Data_Ventas!$H$2:$H958,"Venta")</f>
        <v>367200</v>
      </c>
      <c r="O13" s="78">
        <f t="shared" si="2"/>
        <v>0.2353846154</v>
      </c>
      <c r="P13" s="78">
        <f t="shared" si="3"/>
        <v>1</v>
      </c>
      <c r="Q13" s="78">
        <f t="shared" si="4"/>
        <v>0</v>
      </c>
      <c r="R13" s="79">
        <f t="shared" si="5"/>
        <v>61200</v>
      </c>
      <c r="S13" s="79">
        <f t="shared" si="6"/>
        <v>61200</v>
      </c>
      <c r="T13" s="79">
        <f>SUMIFS(Data_Ventas!$O$2:$O958,Data_Ventas!$E$2:$E958,A13,Data_Ventas!$A$2:$A958,"&gt;="&amp;$B$2,Data_Ventas!$A$2:$A958,"&lt;="&amp;$E$2,Data_Ventas!$H$2:$H958,"Venta")</f>
        <v>0</v>
      </c>
      <c r="U13" s="79">
        <f>SUMIFS(Data_Ventas!$R$2:$R958,Data_Ventas!$E$2:$E958,A13,Data_Ventas!$A$2:$A958,"&gt;="&amp;$B$2,Data_Ventas!$A$2:$A958,"&lt;="&amp;$E$2,Data_Ventas!$H$2:$H958,"Venta")</f>
        <v>40800</v>
      </c>
      <c r="V13" s="80">
        <f t="shared" si="7"/>
        <v>0.1111111111</v>
      </c>
      <c r="W13" s="81">
        <f>IFERROR((SUMIFS(Data_Ventas!$R$2:$R958,Data_Ventas!$E$2:$E958,A13,Data_Ventas!$A$2:$A958,"&gt;="&amp;$B$2,Data_Ventas!$A$2:$A958,"&lt;="&amp;$E$2,Data_Ventas!$H$2:$H958,"Venta",Data_Ventas!$Q$2:$Q958,Dashboard!$B$34))/(SUMIFS(Data_Ventas!$N$2:$N958,Data_Ventas!$E$2:$E958,A13,Data_Ventas!$A$2:$A958,"&gt;="&amp;$B$2,Data_Ventas!$A$2:$A958,"&lt;="&amp;$E$2,Data_Ventas!$H$2:$H958,"Venta",Data_Ventas!$Q$2:$Q958,Dashboard!$B$34)),"0%")</f>
        <v>0.1111111111</v>
      </c>
      <c r="X13" s="81">
        <f>IFERROR((SUMIFS(Data_Ventas!$O$2:$O958,Data_Ventas!$E$2:$E958,A13,Data_Ventas!$A$2:$A958,"&gt;="&amp;$B$2,Data_Ventas!$A$2:$A958,"&lt;="&amp;$E$2,Data_Ventas!$H$2:$H958,"Venta"))/(SUMIFS(Data_Ventas!$M$2:$M958,Data_Ventas!$E$2:$E958,A13,Data_Ventas!$A$2:$A958,"&gt;="&amp;$B$2,Data_Ventas!$A$2:$A958,"&lt;="&amp;$E$2,Data_Ventas!$H$2:$H958,"Venta")),"0%")</f>
        <v>0</v>
      </c>
      <c r="Y13" s="81">
        <f>IFERROR(N13/(SUMIFS(Data_Ventas!$N$2:$N958,Data_Ventas!$E$2:$E958,A13,Data_Ventas!$A$2:$A958,"&gt;="&amp;$B$2,Data_Ventas!$A$2:$A958,"&lt;="&amp;$E$2,Data_Ventas!$H$2:$H958,"Venta Perdida")),0%)</f>
        <v>0</v>
      </c>
      <c r="Z13" s="81">
        <f>IFERROR(N13/(N13+(SUMIFS(Data_Ventas!$N$2:$N958,Data_Ventas!$E$2:$E958,A13,Data_Ventas!$A$2:$A958,"&gt;="&amp;$B$2,Data_Ventas!$A$2:$A958,"&lt;="&amp;$E$2,Data_Ventas!$H$2:$H958,"Venta Perdida"))),"0%")</f>
        <v>1</v>
      </c>
      <c r="AA13" s="41"/>
      <c r="AB13" s="83">
        <f t="shared" si="8"/>
        <v>1</v>
      </c>
      <c r="AC13" s="41" t="str">
        <f t="shared" si="9"/>
        <v>🔴</v>
      </c>
      <c r="AD13" s="84">
        <f>((MIN(V13/Configuracion!$B$20,1)*30%)+(MIN(W13/Configuracion!$B$21,1)*20%)+(MAX(0,1-(X13/Configuracion!$B$22)*20%)*20%)+(IF(Y13=0,1,MIN(Configuracion!$B$23/Y13,1))*20%)+(MIN(Z13/Configuracion!$B$24,1)*10%))*100</f>
        <v>70.63492063</v>
      </c>
      <c r="AE13" s="84" t="str">
        <f t="shared" si="10"/>
        <v>🟠 Venta calidad débil</v>
      </c>
      <c r="AF13" s="84">
        <f t="shared" si="11"/>
        <v>23.53846154</v>
      </c>
      <c r="AG13" s="84">
        <f t="shared" si="12"/>
        <v>42.37704518</v>
      </c>
    </row>
    <row r="14">
      <c r="A14" s="110" t="s">
        <v>211</v>
      </c>
      <c r="B14" s="74" t="s">
        <v>126</v>
      </c>
      <c r="C14" s="74" t="s">
        <v>177</v>
      </c>
      <c r="D14" s="75"/>
      <c r="E14" s="74">
        <v>3.0</v>
      </c>
      <c r="F14" s="76">
        <f>E14*Configuracion!$B$15</f>
        <v>120000</v>
      </c>
      <c r="G14" s="74">
        <f t="shared" si="1"/>
        <v>39</v>
      </c>
      <c r="H14" s="76">
        <f>G14*Configuracion!$B$15</f>
        <v>1560000</v>
      </c>
      <c r="I14" s="41">
        <f>COUNTIFS(Data_Ventas!$E$2:$E958,A14,Data_Ventas!$A$2:$A958,"&gt;="&amp;$B$2,Data_Ventas!$A$2:$A958,"&lt;="&amp;$E$2)</f>
        <v>1</v>
      </c>
      <c r="J14" s="41">
        <f>COUNTIFS(Data_Ventas!$E$2:$E958,A14,Data_Ventas!$A$2:$A958,"&gt;="&amp;$B$2,Data_Ventas!$A$2:$A958,"&lt;="&amp;$E$2,Data_Ventas!$H$2:$H958,"Visitó proyecto")</f>
        <v>0</v>
      </c>
      <c r="K14" s="41">
        <f>COUNTIFS(Data_Ventas!$E$2:$E958,A14,Data_Ventas!$A$2:$A958,"&gt;="&amp;$B$2,Data_Ventas!$A$2:$A958,"&lt;="&amp;$E$2,Data_Ventas!$H$2:$H958,"Visitó proyecto")</f>
        <v>0</v>
      </c>
      <c r="L14" s="41">
        <f>COUNTIFS(Data_Ventas!$E$2:$E958,A14,Data_Ventas!$A$2:$A958,"&gt;="&amp;$B$2,Data_Ventas!$A$2:$A958,"&lt;="&amp;$E$2,Data_Ventas!$H$2:$H958,"Separado")</f>
        <v>0</v>
      </c>
      <c r="M14" s="41">
        <f>COUNTIFS(Data_Ventas!$E$2:$E958,A14,Data_Ventas!$A$2:$A958,"&gt;="&amp;$B$2,Data_Ventas!$A$2:$A958,"&lt;="&amp;$E$2,Data_Ventas!$H$2:$H958,"Venta")</f>
        <v>1</v>
      </c>
      <c r="N14" s="77">
        <f>SUMIFS(Data_Ventas!$N$2:$N958,Data_Ventas!$E$2:$E958,A14,Data_Ventas!$A$2:$A958,"&gt;="&amp;$B$2,Data_Ventas!$A$2:$A958,"&lt;="&amp;$E$2,Data_Ventas!$H$2:$H958,"Venta")</f>
        <v>42000</v>
      </c>
      <c r="O14" s="78">
        <f t="shared" si="2"/>
        <v>0.02692307692</v>
      </c>
      <c r="P14" s="128">
        <f t="shared" si="3"/>
        <v>1</v>
      </c>
      <c r="Q14" s="78">
        <f t="shared" si="4"/>
        <v>0</v>
      </c>
      <c r="R14" s="79">
        <f t="shared" si="5"/>
        <v>42000</v>
      </c>
      <c r="S14" s="79">
        <f t="shared" si="6"/>
        <v>42000</v>
      </c>
      <c r="T14" s="79">
        <f>SUMIFS(Data_Ventas!$O$2:$O958,Data_Ventas!$E$2:$E958,A14,Data_Ventas!$A$2:$A958,"&gt;="&amp;$B$2,Data_Ventas!$A$2:$A958,"&lt;="&amp;$E$2,Data_Ventas!$H$2:$H958,"Venta")</f>
        <v>0</v>
      </c>
      <c r="U14" s="79">
        <f>SUMIFS(Data_Ventas!$R$2:$R958,Data_Ventas!$E$2:$E958,A14,Data_Ventas!$A$2:$A958,"&gt;="&amp;$B$2,Data_Ventas!$A$2:$A958,"&lt;="&amp;$E$2,Data_Ventas!$H$2:$H958,"Venta")</f>
        <v>30000</v>
      </c>
      <c r="V14" s="80">
        <f t="shared" si="7"/>
        <v>0.7142857143</v>
      </c>
      <c r="W14" s="81">
        <f>IFERROR((SUMIFS(Data_Ventas!$R$2:$R958,Data_Ventas!$E$2:$E958,A14,Data_Ventas!$A$2:$A958,"&gt;="&amp;$B$2,Data_Ventas!$A$2:$A958,"&lt;="&amp;$E$2,Data_Ventas!$H$2:$H958,"Venta",Data_Ventas!$Q$2:$Q958,Dashboard!$B$34))/(SUMIFS(Data_Ventas!$N$2:$N958,Data_Ventas!$E$2:$E958,A14,Data_Ventas!$A$2:$A958,"&gt;="&amp;$B$2,Data_Ventas!$A$2:$A958,"&lt;="&amp;$E$2,Data_Ventas!$H$2:$H958,"Venta",Data_Ventas!$Q$2:$Q958,Dashboard!$B$34)),"0%")</f>
        <v>0.7142857143</v>
      </c>
      <c r="X14" s="81">
        <f>IFERROR((SUMIFS(Data_Ventas!$O$2:$O958,Data_Ventas!$E$2:$E958,A14,Data_Ventas!$A$2:$A958,"&gt;="&amp;$B$2,Data_Ventas!$A$2:$A958,"&lt;="&amp;$E$2,Data_Ventas!$H$2:$H958,"Venta"))/(SUMIFS(Data_Ventas!$M$2:$M958,Data_Ventas!$E$2:$E958,A14,Data_Ventas!$A$2:$A958,"&gt;="&amp;$B$2,Data_Ventas!$A$2:$A958,"&lt;="&amp;$E$2,Data_Ventas!$H$2:$H958,"Venta")),"0%")</f>
        <v>0</v>
      </c>
      <c r="Y14" s="81">
        <f>IFERROR(N14/(SUMIFS(Data_Ventas!$N$2:$N958,Data_Ventas!$E$2:$E958,A14,Data_Ventas!$A$2:$A958,"&gt;="&amp;$B$2,Data_Ventas!$A$2:$A958,"&lt;="&amp;$E$2,Data_Ventas!$H$2:$H958,"Venta Perdida")),0%)</f>
        <v>0</v>
      </c>
      <c r="Z14" s="81">
        <f>IFERROR(N14/(N14+(SUMIFS(Data_Ventas!$N$2:$N958,Data_Ventas!$E$2:$E958,A14,Data_Ventas!$A$2:$A958,"&gt;="&amp;$B$2,Data_Ventas!$A$2:$A958,"&lt;="&amp;$E$2,Data_Ventas!$H$2:$H958,"Venta Perdida"))),"0%")</f>
        <v>1</v>
      </c>
      <c r="AA14" s="41"/>
      <c r="AB14" s="83">
        <f t="shared" si="8"/>
        <v>4</v>
      </c>
      <c r="AC14" s="41" t="str">
        <f t="shared" si="9"/>
        <v>🔴</v>
      </c>
      <c r="AD14" s="84">
        <f>((MIN(V14/Configuracion!$B$20,1)*30%)+(MIN(W14/Configuracion!$B$21,1)*20%)+(MAX(0,1-(X14/Configuracion!$B$22)*20%)*20%)+(IF(Y14=0,1,MIN(Configuracion!$B$23/Y14,1))*20%)+(MIN(Z14/Configuracion!$B$24,1)*10%))*100</f>
        <v>100</v>
      </c>
      <c r="AE14" s="84" t="str">
        <f t="shared" si="10"/>
        <v>🟢 Ventas de alta calidad</v>
      </c>
      <c r="AF14" s="84">
        <f t="shared" si="11"/>
        <v>2.692307692</v>
      </c>
      <c r="AG14" s="84">
        <f t="shared" si="12"/>
        <v>41.61538462</v>
      </c>
    </row>
    <row r="15">
      <c r="B15" s="74"/>
      <c r="C15" s="74"/>
      <c r="D15" s="74"/>
      <c r="E15" s="74"/>
      <c r="F15" s="74"/>
      <c r="G15" s="74"/>
    </row>
    <row r="16">
      <c r="B16" s="74"/>
      <c r="C16" s="74"/>
      <c r="D16" s="74"/>
      <c r="E16" s="74"/>
      <c r="F16" s="74"/>
      <c r="G16" s="7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1">
    <mergeCell ref="A1:AB1"/>
  </mergeCells>
  <conditionalFormatting sqref="Q5:Q14">
    <cfRule type="cellIs" dxfId="5" priority="1" operator="lessThan">
      <formula>0.3333333333</formula>
    </cfRule>
  </conditionalFormatting>
  <conditionalFormatting sqref="Q5:Q14">
    <cfRule type="cellIs" dxfId="6" priority="2" operator="greaterThanOrEqual">
      <formula>0.3333333333</formula>
    </cfRule>
  </conditionalFormatting>
  <conditionalFormatting sqref="M5:M14">
    <cfRule type="colorScale" priority="3">
      <colorScale>
        <cfvo type="formula" val="0"/>
        <cfvo type="formula" val="2"/>
        <cfvo type="formula" val="4"/>
        <color rgb="FFF4CCCC"/>
        <color rgb="FFFFF2CC"/>
        <color rgb="FF57BB8A"/>
      </colorScale>
    </cfRule>
  </conditionalFormatting>
  <dataValidations>
    <dataValidation type="list" allowBlank="1" showErrorMessage="1" sqref="C5:C14">
      <formula1>"Activo,No activo,En formacion"</formula1>
    </dataValidation>
    <dataValidation type="list" allowBlank="1" showErrorMessage="1" sqref="B5:B14">
      <formula1>Asesores!$A$5:$A958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8.25"/>
    <col customWidth="1" min="5" max="5" width="18.5"/>
  </cols>
  <sheetData>
    <row r="2">
      <c r="A2" s="2" t="s">
        <v>130</v>
      </c>
      <c r="B2" s="3"/>
      <c r="C2" s="3"/>
      <c r="D2" s="3"/>
      <c r="E2" s="3"/>
      <c r="F2" s="3"/>
      <c r="G2" s="3"/>
      <c r="H2" s="3"/>
      <c r="I2" s="3"/>
      <c r="J2" s="86"/>
      <c r="K2" s="68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32" t="s">
        <v>131</v>
      </c>
      <c r="B4" s="35" t="s">
        <v>13</v>
      </c>
      <c r="C4" s="35" t="s">
        <v>132</v>
      </c>
      <c r="D4" s="35" t="s">
        <v>133</v>
      </c>
      <c r="E4" s="35" t="s">
        <v>134</v>
      </c>
      <c r="F4" s="35" t="s">
        <v>28</v>
      </c>
      <c r="G4" s="35" t="s">
        <v>135</v>
      </c>
      <c r="H4" s="35" t="s">
        <v>136</v>
      </c>
      <c r="I4" s="35" t="s">
        <v>137</v>
      </c>
      <c r="J4" s="35" t="s">
        <v>138</v>
      </c>
      <c r="K4" s="68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87" t="s">
        <v>139</v>
      </c>
      <c r="B5" s="88">
        <v>46266.0</v>
      </c>
      <c r="C5" s="40" t="s">
        <v>140</v>
      </c>
      <c r="D5" s="40" t="s">
        <v>141</v>
      </c>
      <c r="E5" s="40" t="s">
        <v>142</v>
      </c>
      <c r="F5" s="40">
        <v>22000.0</v>
      </c>
      <c r="G5" s="40">
        <v>22000.0</v>
      </c>
      <c r="H5" s="89">
        <f t="shared" ref="H5:H17" si="1">G5-F5</f>
        <v>0</v>
      </c>
      <c r="I5" s="90">
        <f t="shared" ref="I5:I17" si="2">IFERROR(H5/F5,0)</f>
        <v>0</v>
      </c>
      <c r="J5" s="40" t="s">
        <v>140</v>
      </c>
      <c r="K5" s="68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87" t="s">
        <v>143</v>
      </c>
      <c r="B6" s="88">
        <v>46295.0</v>
      </c>
      <c r="C6" s="40" t="s">
        <v>140</v>
      </c>
      <c r="D6" s="40" t="s">
        <v>144</v>
      </c>
      <c r="E6" s="40" t="s">
        <v>145</v>
      </c>
      <c r="F6" s="40">
        <v>26000.0</v>
      </c>
      <c r="G6" s="40">
        <v>24500.0</v>
      </c>
      <c r="H6" s="89">
        <f t="shared" si="1"/>
        <v>-1500</v>
      </c>
      <c r="I6" s="90">
        <f t="shared" si="2"/>
        <v>-0.05769230769</v>
      </c>
      <c r="J6" s="40" t="s">
        <v>140</v>
      </c>
      <c r="K6" s="68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87" t="s">
        <v>147</v>
      </c>
      <c r="B7" s="88">
        <v>46270.0</v>
      </c>
      <c r="C7" s="40" t="s">
        <v>140</v>
      </c>
      <c r="D7" s="40" t="s">
        <v>148</v>
      </c>
      <c r="E7" s="40" t="s">
        <v>149</v>
      </c>
      <c r="F7" s="40">
        <v>4500.0</v>
      </c>
      <c r="G7" s="40">
        <v>3900.0</v>
      </c>
      <c r="H7" s="89">
        <f t="shared" si="1"/>
        <v>-600</v>
      </c>
      <c r="I7" s="90">
        <f t="shared" si="2"/>
        <v>-0.1333333333</v>
      </c>
      <c r="J7" s="40" t="s">
        <v>140</v>
      </c>
      <c r="K7" s="68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87" t="s">
        <v>150</v>
      </c>
      <c r="B8" s="88">
        <v>46270.0</v>
      </c>
      <c r="C8" s="40" t="s">
        <v>140</v>
      </c>
      <c r="D8" s="40" t="s">
        <v>151</v>
      </c>
      <c r="E8" s="40" t="s">
        <v>152</v>
      </c>
      <c r="F8" s="40">
        <v>3000.0</v>
      </c>
      <c r="G8" s="40">
        <v>2750.0</v>
      </c>
      <c r="H8" s="89">
        <f t="shared" si="1"/>
        <v>-250</v>
      </c>
      <c r="I8" s="90">
        <f t="shared" si="2"/>
        <v>-0.08333333333</v>
      </c>
      <c r="J8" s="40" t="s">
        <v>140</v>
      </c>
      <c r="K8" s="68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87" t="s">
        <v>153</v>
      </c>
      <c r="B9" s="88">
        <v>46266.0</v>
      </c>
      <c r="C9" s="40" t="s">
        <v>140</v>
      </c>
      <c r="D9" s="40" t="s">
        <v>154</v>
      </c>
      <c r="E9" s="40" t="s">
        <v>155</v>
      </c>
      <c r="F9" s="40">
        <v>1800.0</v>
      </c>
      <c r="G9" s="40">
        <v>1800.0</v>
      </c>
      <c r="H9" s="89">
        <f t="shared" si="1"/>
        <v>0</v>
      </c>
      <c r="I9" s="90">
        <f t="shared" si="2"/>
        <v>0</v>
      </c>
      <c r="J9" s="40" t="s">
        <v>156</v>
      </c>
      <c r="K9" s="68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87" t="s">
        <v>157</v>
      </c>
      <c r="B10" s="88">
        <v>46266.0</v>
      </c>
      <c r="C10" s="40" t="s">
        <v>140</v>
      </c>
      <c r="D10" s="40" t="s">
        <v>158</v>
      </c>
      <c r="E10" s="40" t="s">
        <v>159</v>
      </c>
      <c r="F10" s="40">
        <v>2500.0</v>
      </c>
      <c r="G10" s="40">
        <v>1800.0</v>
      </c>
      <c r="H10" s="89">
        <f t="shared" si="1"/>
        <v>-700</v>
      </c>
      <c r="I10" s="90">
        <f t="shared" si="2"/>
        <v>-0.28</v>
      </c>
      <c r="J10" s="40" t="s">
        <v>160</v>
      </c>
      <c r="K10" s="68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87" t="s">
        <v>161</v>
      </c>
      <c r="B11" s="88">
        <v>46271.0</v>
      </c>
      <c r="C11" s="40" t="s">
        <v>140</v>
      </c>
      <c r="D11" s="40" t="s">
        <v>162</v>
      </c>
      <c r="E11" s="40" t="s">
        <v>37</v>
      </c>
      <c r="F11" s="40">
        <v>6000.0</v>
      </c>
      <c r="G11" s="40">
        <v>5600.0</v>
      </c>
      <c r="H11" s="89">
        <f t="shared" si="1"/>
        <v>-400</v>
      </c>
      <c r="I11" s="90">
        <f t="shared" si="2"/>
        <v>-0.06666666667</v>
      </c>
      <c r="J11" s="40" t="s">
        <v>140</v>
      </c>
      <c r="K11" s="68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87" t="s">
        <v>163</v>
      </c>
      <c r="B12" s="88">
        <v>46278.0</v>
      </c>
      <c r="C12" s="40" t="s">
        <v>140</v>
      </c>
      <c r="D12" s="40" t="s">
        <v>162</v>
      </c>
      <c r="E12" s="40" t="s">
        <v>55</v>
      </c>
      <c r="F12" s="40">
        <v>8000.0</v>
      </c>
      <c r="G12" s="40">
        <v>7600.0</v>
      </c>
      <c r="H12" s="89">
        <f t="shared" si="1"/>
        <v>-400</v>
      </c>
      <c r="I12" s="90">
        <f t="shared" si="2"/>
        <v>-0.05</v>
      </c>
      <c r="J12" s="40" t="s">
        <v>140</v>
      </c>
      <c r="K12" s="68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87" t="s">
        <v>164</v>
      </c>
      <c r="B13" s="88">
        <v>46285.0</v>
      </c>
      <c r="C13" s="40" t="s">
        <v>140</v>
      </c>
      <c r="D13" s="40" t="s">
        <v>162</v>
      </c>
      <c r="E13" s="40" t="s">
        <v>56</v>
      </c>
      <c r="F13" s="40">
        <v>10000.0</v>
      </c>
      <c r="G13" s="40">
        <v>0.0</v>
      </c>
      <c r="H13" s="89">
        <f t="shared" si="1"/>
        <v>-10000</v>
      </c>
      <c r="I13" s="90">
        <f t="shared" si="2"/>
        <v>-1</v>
      </c>
      <c r="J13" s="40" t="s">
        <v>140</v>
      </c>
      <c r="K13" s="68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87" t="s">
        <v>165</v>
      </c>
      <c r="B14" s="88">
        <v>46292.0</v>
      </c>
      <c r="C14" s="40" t="s">
        <v>140</v>
      </c>
      <c r="D14" s="40" t="s">
        <v>162</v>
      </c>
      <c r="E14" s="40" t="s">
        <v>57</v>
      </c>
      <c r="F14" s="40">
        <v>12000.0</v>
      </c>
      <c r="G14" s="40">
        <v>0.0</v>
      </c>
      <c r="H14" s="89">
        <f t="shared" si="1"/>
        <v>-12000</v>
      </c>
      <c r="I14" s="90">
        <f t="shared" si="2"/>
        <v>-1</v>
      </c>
      <c r="J14" s="40" t="s">
        <v>140</v>
      </c>
      <c r="K14" s="68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87" t="s">
        <v>166</v>
      </c>
      <c r="B15" s="88">
        <v>46266.0</v>
      </c>
      <c r="C15" s="40" t="s">
        <v>167</v>
      </c>
      <c r="D15" s="40" t="s">
        <v>168</v>
      </c>
      <c r="E15" s="40" t="s">
        <v>169</v>
      </c>
      <c r="F15" s="40">
        <v>28000.0</v>
      </c>
      <c r="G15" s="40">
        <v>21000.0</v>
      </c>
      <c r="H15" s="89">
        <f t="shared" si="1"/>
        <v>-7000</v>
      </c>
      <c r="I15" s="90">
        <f t="shared" si="2"/>
        <v>-0.25</v>
      </c>
      <c r="J15" s="40" t="s">
        <v>167</v>
      </c>
      <c r="K15" s="68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87" t="s">
        <v>170</v>
      </c>
      <c r="B16" s="88">
        <v>46266.0</v>
      </c>
      <c r="C16" s="40" t="s">
        <v>167</v>
      </c>
      <c r="D16" s="40" t="s">
        <v>168</v>
      </c>
      <c r="E16" s="40" t="s">
        <v>171</v>
      </c>
      <c r="F16" s="40">
        <v>9000.0</v>
      </c>
      <c r="G16" s="40">
        <v>7000.0</v>
      </c>
      <c r="H16" s="89">
        <f t="shared" si="1"/>
        <v>-2000</v>
      </c>
      <c r="I16" s="90">
        <f t="shared" si="2"/>
        <v>-0.2222222222</v>
      </c>
      <c r="J16" s="40" t="s">
        <v>167</v>
      </c>
      <c r="K16" s="68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87" t="s">
        <v>172</v>
      </c>
      <c r="B17" s="88">
        <v>46266.0</v>
      </c>
      <c r="C17" s="40" t="s">
        <v>167</v>
      </c>
      <c r="D17" s="40" t="s">
        <v>173</v>
      </c>
      <c r="E17" s="40" t="s">
        <v>174</v>
      </c>
      <c r="F17" s="40">
        <v>6000.0</v>
      </c>
      <c r="G17" s="40">
        <v>5200.0</v>
      </c>
      <c r="H17" s="89">
        <f t="shared" si="1"/>
        <v>-800</v>
      </c>
      <c r="I17" s="90">
        <f t="shared" si="2"/>
        <v>-0.1333333333</v>
      </c>
      <c r="J17" s="40" t="s">
        <v>167</v>
      </c>
      <c r="K17" s="68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</sheetData>
  <mergeCells count="1">
    <mergeCell ref="A2:J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17.38"/>
    <col customWidth="1" min="4" max="4" width="15.0"/>
    <col customWidth="1" min="5" max="5" width="18.88"/>
    <col customWidth="1" min="6" max="6" width="18.0"/>
    <col customWidth="1" min="7" max="7" width="20.88"/>
    <col customWidth="1" min="8" max="8" width="20.25"/>
    <col customWidth="1" min="9" max="9" width="16.0"/>
    <col customWidth="1" min="10" max="10" width="37.75"/>
    <col customWidth="1" min="11" max="11" width="6.13"/>
    <col customWidth="1" min="12" max="12" width="7.5"/>
    <col customWidth="1" min="13" max="13" width="14.0"/>
    <col customWidth="1" min="14" max="15" width="14.63"/>
    <col customWidth="1" min="16" max="16" width="12.25"/>
    <col customWidth="1" min="17" max="17" width="17.13"/>
    <col customWidth="1" min="18" max="18" width="12.38"/>
    <col customWidth="1" min="19" max="19" width="11.63"/>
    <col customWidth="1" min="20" max="20" width="14.63"/>
    <col customWidth="1" min="21" max="21" width="11.63"/>
  </cols>
  <sheetData>
    <row r="1" ht="33.75" customHeight="1">
      <c r="A1" s="91" t="s">
        <v>179</v>
      </c>
      <c r="B1" s="91" t="s">
        <v>180</v>
      </c>
      <c r="C1" s="91" t="s">
        <v>181</v>
      </c>
      <c r="D1" s="91" t="s">
        <v>182</v>
      </c>
      <c r="E1" s="91" t="s">
        <v>96</v>
      </c>
      <c r="F1" s="91" t="s">
        <v>183</v>
      </c>
      <c r="G1" s="91" t="s">
        <v>16</v>
      </c>
      <c r="H1" s="91" t="s">
        <v>184</v>
      </c>
      <c r="I1" s="91" t="s">
        <v>185</v>
      </c>
      <c r="J1" s="91" t="s">
        <v>186</v>
      </c>
      <c r="K1" s="92" t="s">
        <v>187</v>
      </c>
      <c r="L1" s="93" t="s">
        <v>188</v>
      </c>
      <c r="M1" s="92" t="s">
        <v>189</v>
      </c>
      <c r="N1" s="92" t="s">
        <v>190</v>
      </c>
      <c r="O1" s="92" t="s">
        <v>191</v>
      </c>
      <c r="P1" s="92" t="s">
        <v>192</v>
      </c>
      <c r="Q1" s="92" t="s">
        <v>193</v>
      </c>
      <c r="R1" s="92" t="s">
        <v>194</v>
      </c>
      <c r="S1" s="92" t="s">
        <v>195</v>
      </c>
      <c r="T1" s="92" t="s">
        <v>196</v>
      </c>
      <c r="U1" s="92" t="s">
        <v>197</v>
      </c>
    </row>
    <row r="2">
      <c r="A2" s="94">
        <v>45994.0</v>
      </c>
      <c r="B2" s="95"/>
      <c r="C2" s="96" t="s">
        <v>198</v>
      </c>
      <c r="D2" s="97"/>
      <c r="E2" s="98" t="s">
        <v>199</v>
      </c>
      <c r="F2" s="98" t="s">
        <v>200</v>
      </c>
      <c r="G2" s="96" t="s">
        <v>54</v>
      </c>
      <c r="H2" s="98" t="s">
        <v>201</v>
      </c>
      <c r="I2" s="99"/>
      <c r="J2" s="100"/>
      <c r="K2" s="101" t="s">
        <v>202</v>
      </c>
      <c r="L2" s="102">
        <v>8.0</v>
      </c>
      <c r="M2" s="101">
        <f t="shared" ref="M2:N2" si="1">18000*3.4</f>
        <v>61200</v>
      </c>
      <c r="N2" s="101">
        <f t="shared" si="1"/>
        <v>61200</v>
      </c>
      <c r="O2" s="103">
        <f t="shared" ref="O2:O1013" si="3">M2-N2</f>
        <v>0</v>
      </c>
      <c r="P2" s="104">
        <f t="shared" ref="P2:P1013" si="4">IFERROR(O2/M2,0)</f>
        <v>0</v>
      </c>
      <c r="Q2" s="105" t="s">
        <v>204</v>
      </c>
      <c r="R2" s="101">
        <f t="shared" ref="R2:R3" si="5">2000*3.4</f>
        <v>6800</v>
      </c>
      <c r="S2" s="103">
        <f t="shared" ref="S2:S1013" si="6">N2-R2</f>
        <v>54400</v>
      </c>
      <c r="T2" s="106">
        <v>45994.0</v>
      </c>
      <c r="U2" s="107" t="str">
        <f t="shared" ref="U2:U1013" si="7">IF(T2-A2&gt;0,T2-A2,"0")</f>
        <v>0</v>
      </c>
    </row>
    <row r="3">
      <c r="A3" s="94">
        <v>45994.0</v>
      </c>
      <c r="B3" s="95"/>
      <c r="C3" s="96" t="s">
        <v>198</v>
      </c>
      <c r="D3" s="97"/>
      <c r="E3" s="98" t="s">
        <v>199</v>
      </c>
      <c r="F3" s="98" t="s">
        <v>200</v>
      </c>
      <c r="G3" s="96" t="s">
        <v>54</v>
      </c>
      <c r="H3" s="98" t="s">
        <v>201</v>
      </c>
      <c r="I3" s="99"/>
      <c r="J3" s="100"/>
      <c r="K3" s="101" t="s">
        <v>202</v>
      </c>
      <c r="L3" s="102">
        <v>9.0</v>
      </c>
      <c r="M3" s="101">
        <f t="shared" ref="M3:N3" si="2">18000*3.4</f>
        <v>61200</v>
      </c>
      <c r="N3" s="101">
        <f t="shared" si="2"/>
        <v>61200</v>
      </c>
      <c r="O3" s="103">
        <f t="shared" si="3"/>
        <v>0</v>
      </c>
      <c r="P3" s="104">
        <f t="shared" si="4"/>
        <v>0</v>
      </c>
      <c r="Q3" s="105" t="s">
        <v>204</v>
      </c>
      <c r="R3" s="101">
        <f t="shared" si="5"/>
        <v>6800</v>
      </c>
      <c r="S3" s="103">
        <f t="shared" si="6"/>
        <v>54400</v>
      </c>
      <c r="T3" s="106">
        <v>45994.0</v>
      </c>
      <c r="U3" s="107" t="str">
        <f t="shared" si="7"/>
        <v>0</v>
      </c>
    </row>
    <row r="4">
      <c r="A4" s="94">
        <v>46018.0</v>
      </c>
      <c r="B4" s="95"/>
      <c r="C4" s="96" t="s">
        <v>205</v>
      </c>
      <c r="D4" s="97"/>
      <c r="E4" s="98" t="s">
        <v>127</v>
      </c>
      <c r="F4" s="98" t="s">
        <v>200</v>
      </c>
      <c r="G4" s="96" t="s">
        <v>54</v>
      </c>
      <c r="H4" s="98" t="s">
        <v>201</v>
      </c>
      <c r="I4" s="99"/>
      <c r="J4" s="100"/>
      <c r="K4" s="101" t="s">
        <v>206</v>
      </c>
      <c r="L4" s="102">
        <v>2.0</v>
      </c>
      <c r="M4" s="101">
        <v>64864.5</v>
      </c>
      <c r="N4" s="101">
        <v>64864.5</v>
      </c>
      <c r="O4" s="103">
        <f t="shared" si="3"/>
        <v>0</v>
      </c>
      <c r="P4" s="104">
        <f t="shared" si="4"/>
        <v>0</v>
      </c>
      <c r="Q4" s="105" t="s">
        <v>204</v>
      </c>
      <c r="R4" s="101">
        <v>1000.0</v>
      </c>
      <c r="S4" s="103">
        <f t="shared" si="6"/>
        <v>63864.5</v>
      </c>
      <c r="T4" s="106">
        <v>46018.0</v>
      </c>
      <c r="U4" s="107" t="str">
        <f t="shared" si="7"/>
        <v>0</v>
      </c>
    </row>
    <row r="5">
      <c r="A5" s="94">
        <v>46038.0</v>
      </c>
      <c r="B5" s="95"/>
      <c r="C5" s="96" t="s">
        <v>198</v>
      </c>
      <c r="D5" s="97"/>
      <c r="E5" s="98" t="s">
        <v>199</v>
      </c>
      <c r="F5" s="98" t="s">
        <v>200</v>
      </c>
      <c r="G5" s="96" t="s">
        <v>54</v>
      </c>
      <c r="H5" s="98" t="s">
        <v>201</v>
      </c>
      <c r="I5" s="99"/>
      <c r="J5" s="100"/>
      <c r="K5" s="101" t="s">
        <v>207</v>
      </c>
      <c r="L5" s="102">
        <v>10.0</v>
      </c>
      <c r="M5" s="101">
        <f t="shared" ref="M5:N5" si="8">18000*3.4</f>
        <v>61200</v>
      </c>
      <c r="N5" s="101">
        <f t="shared" si="8"/>
        <v>61200</v>
      </c>
      <c r="O5" s="103">
        <f t="shared" si="3"/>
        <v>0</v>
      </c>
      <c r="P5" s="104">
        <f t="shared" si="4"/>
        <v>0</v>
      </c>
      <c r="Q5" s="105" t="s">
        <v>204</v>
      </c>
      <c r="R5" s="101">
        <f t="shared" ref="R5:R8" si="10">2000*3.4</f>
        <v>6800</v>
      </c>
      <c r="S5" s="103">
        <f t="shared" si="6"/>
        <v>54400</v>
      </c>
      <c r="T5" s="106">
        <v>46038.0</v>
      </c>
      <c r="U5" s="107" t="str">
        <f t="shared" si="7"/>
        <v>0</v>
      </c>
    </row>
    <row r="6">
      <c r="A6" s="94">
        <v>46038.0</v>
      </c>
      <c r="B6" s="95"/>
      <c r="C6" s="96" t="s">
        <v>198</v>
      </c>
      <c r="D6" s="97"/>
      <c r="E6" s="98" t="s">
        <v>199</v>
      </c>
      <c r="F6" s="98" t="s">
        <v>200</v>
      </c>
      <c r="G6" s="96" t="s">
        <v>54</v>
      </c>
      <c r="H6" s="98" t="s">
        <v>201</v>
      </c>
      <c r="I6" s="99"/>
      <c r="J6" s="100"/>
      <c r="K6" s="101" t="s">
        <v>207</v>
      </c>
      <c r="L6" s="102">
        <v>11.0</v>
      </c>
      <c r="M6" s="101">
        <f t="shared" ref="M6:N6" si="9">18000*3.4</f>
        <v>61200</v>
      </c>
      <c r="N6" s="101">
        <f t="shared" si="9"/>
        <v>61200</v>
      </c>
      <c r="O6" s="103">
        <f t="shared" si="3"/>
        <v>0</v>
      </c>
      <c r="P6" s="104">
        <f t="shared" si="4"/>
        <v>0</v>
      </c>
      <c r="Q6" s="105" t="s">
        <v>204</v>
      </c>
      <c r="R6" s="101">
        <f t="shared" si="10"/>
        <v>6800</v>
      </c>
      <c r="S6" s="103">
        <f t="shared" si="6"/>
        <v>54400</v>
      </c>
      <c r="T6" s="106">
        <v>46038.0</v>
      </c>
      <c r="U6" s="107" t="str">
        <f t="shared" si="7"/>
        <v>0</v>
      </c>
    </row>
    <row r="7">
      <c r="A7" s="108">
        <v>46027.0</v>
      </c>
      <c r="B7" s="95"/>
      <c r="C7" s="96" t="s">
        <v>208</v>
      </c>
      <c r="D7" s="97"/>
      <c r="E7" s="98" t="s">
        <v>199</v>
      </c>
      <c r="F7" s="98" t="s">
        <v>200</v>
      </c>
      <c r="G7" s="96" t="s">
        <v>54</v>
      </c>
      <c r="H7" s="98" t="s">
        <v>201</v>
      </c>
      <c r="I7" s="99"/>
      <c r="J7" s="100"/>
      <c r="K7" s="101" t="s">
        <v>202</v>
      </c>
      <c r="L7" s="102">
        <v>7.0</v>
      </c>
      <c r="M7" s="101">
        <f t="shared" ref="M7:N7" si="11">18000*3.4</f>
        <v>61200</v>
      </c>
      <c r="N7" s="101">
        <f t="shared" si="11"/>
        <v>61200</v>
      </c>
      <c r="O7" s="103">
        <f t="shared" si="3"/>
        <v>0</v>
      </c>
      <c r="P7" s="104">
        <f t="shared" si="4"/>
        <v>0</v>
      </c>
      <c r="Q7" s="105" t="s">
        <v>204</v>
      </c>
      <c r="R7" s="101">
        <f t="shared" si="10"/>
        <v>6800</v>
      </c>
      <c r="S7" s="103">
        <f t="shared" si="6"/>
        <v>54400</v>
      </c>
      <c r="T7" s="109">
        <v>46027.0</v>
      </c>
      <c r="U7" s="107" t="str">
        <f t="shared" si="7"/>
        <v>0</v>
      </c>
    </row>
    <row r="8">
      <c r="A8" s="108">
        <v>46027.0</v>
      </c>
      <c r="B8" s="95"/>
      <c r="C8" s="96" t="s">
        <v>208</v>
      </c>
      <c r="D8" s="97"/>
      <c r="E8" s="98" t="s">
        <v>199</v>
      </c>
      <c r="F8" s="98" t="s">
        <v>200</v>
      </c>
      <c r="G8" s="96" t="s">
        <v>54</v>
      </c>
      <c r="H8" s="98" t="s">
        <v>201</v>
      </c>
      <c r="I8" s="99"/>
      <c r="J8" s="100"/>
      <c r="K8" s="101" t="s">
        <v>202</v>
      </c>
      <c r="L8" s="102">
        <v>6.0</v>
      </c>
      <c r="M8" s="101">
        <f t="shared" ref="M8:N8" si="12">18000*3.4</f>
        <v>61200</v>
      </c>
      <c r="N8" s="101">
        <f t="shared" si="12"/>
        <v>61200</v>
      </c>
      <c r="O8" s="103">
        <f t="shared" si="3"/>
        <v>0</v>
      </c>
      <c r="P8" s="104">
        <f t="shared" si="4"/>
        <v>0</v>
      </c>
      <c r="Q8" s="105" t="s">
        <v>204</v>
      </c>
      <c r="R8" s="101">
        <f t="shared" si="10"/>
        <v>6800</v>
      </c>
      <c r="S8" s="103">
        <f t="shared" si="6"/>
        <v>54400</v>
      </c>
      <c r="T8" s="109">
        <v>46027.0</v>
      </c>
      <c r="U8" s="107" t="str">
        <f t="shared" si="7"/>
        <v>0</v>
      </c>
    </row>
    <row r="9">
      <c r="A9" s="94">
        <v>46063.0</v>
      </c>
      <c r="B9" s="95"/>
      <c r="C9" s="96" t="s">
        <v>209</v>
      </c>
      <c r="D9" s="97"/>
      <c r="E9" s="98" t="s">
        <v>127</v>
      </c>
      <c r="F9" s="98" t="s">
        <v>200</v>
      </c>
      <c r="G9" s="96" t="s">
        <v>54</v>
      </c>
      <c r="H9" s="98" t="s">
        <v>201</v>
      </c>
      <c r="I9" s="99"/>
      <c r="J9" s="100"/>
      <c r="K9" s="101" t="s">
        <v>206</v>
      </c>
      <c r="L9" s="102">
        <v>5.0</v>
      </c>
      <c r="M9" s="101">
        <f t="shared" ref="M9:N9" si="13">15400*3.4</f>
        <v>52360</v>
      </c>
      <c r="N9" s="101">
        <f t="shared" si="13"/>
        <v>52360</v>
      </c>
      <c r="O9" s="103">
        <f t="shared" si="3"/>
        <v>0</v>
      </c>
      <c r="P9" s="104">
        <f t="shared" si="4"/>
        <v>0</v>
      </c>
      <c r="Q9" s="105" t="s">
        <v>210</v>
      </c>
      <c r="R9" s="101">
        <f>15400*3.4</f>
        <v>52360</v>
      </c>
      <c r="S9" s="103">
        <f t="shared" si="6"/>
        <v>0</v>
      </c>
      <c r="T9" s="106">
        <v>46063.0</v>
      </c>
      <c r="U9" s="107" t="str">
        <f t="shared" si="7"/>
        <v>0</v>
      </c>
    </row>
    <row r="10">
      <c r="A10" s="108">
        <v>46095.0</v>
      </c>
      <c r="B10" s="95"/>
      <c r="C10" s="96" t="s">
        <v>212</v>
      </c>
      <c r="D10" s="97"/>
      <c r="E10" s="98" t="s">
        <v>127</v>
      </c>
      <c r="F10" s="98" t="s">
        <v>213</v>
      </c>
      <c r="G10" s="96" t="s">
        <v>54</v>
      </c>
      <c r="H10" s="98" t="s">
        <v>201</v>
      </c>
      <c r="I10" s="99"/>
      <c r="J10" s="100"/>
      <c r="K10" s="101" t="s">
        <v>214</v>
      </c>
      <c r="L10" s="102">
        <v>15.0</v>
      </c>
      <c r="M10" s="101">
        <v>51000.0</v>
      </c>
      <c r="N10" s="101">
        <v>51000.0</v>
      </c>
      <c r="O10" s="103">
        <f t="shared" si="3"/>
        <v>0</v>
      </c>
      <c r="P10" s="104">
        <f t="shared" si="4"/>
        <v>0</v>
      </c>
      <c r="Q10" s="105" t="s">
        <v>210</v>
      </c>
      <c r="R10" s="101">
        <v>51000.0</v>
      </c>
      <c r="S10" s="103">
        <f t="shared" si="6"/>
        <v>0</v>
      </c>
      <c r="T10" s="109">
        <v>46095.0</v>
      </c>
      <c r="U10" s="107" t="str">
        <f t="shared" si="7"/>
        <v>0</v>
      </c>
    </row>
    <row r="11">
      <c r="A11" s="94">
        <v>46208.0</v>
      </c>
      <c r="B11" s="95"/>
      <c r="C11" s="96" t="s">
        <v>220</v>
      </c>
      <c r="D11" s="97"/>
      <c r="E11" s="98" t="s">
        <v>211</v>
      </c>
      <c r="F11" s="98" t="s">
        <v>200</v>
      </c>
      <c r="G11" s="96" t="s">
        <v>54</v>
      </c>
      <c r="H11" s="98" t="s">
        <v>201</v>
      </c>
      <c r="I11" s="99"/>
      <c r="J11" s="100"/>
      <c r="K11" s="101" t="s">
        <v>207</v>
      </c>
      <c r="L11" s="102">
        <v>7.0</v>
      </c>
      <c r="M11" s="101">
        <v>42000.0</v>
      </c>
      <c r="N11" s="101">
        <v>42000.0</v>
      </c>
      <c r="O11" s="103">
        <f t="shared" si="3"/>
        <v>0</v>
      </c>
      <c r="P11" s="104">
        <f t="shared" si="4"/>
        <v>0</v>
      </c>
      <c r="Q11" s="105" t="s">
        <v>204</v>
      </c>
      <c r="R11" s="101">
        <v>30000.0</v>
      </c>
      <c r="S11" s="103">
        <f t="shared" si="6"/>
        <v>12000</v>
      </c>
      <c r="T11" s="106">
        <v>46211.0</v>
      </c>
      <c r="U11" s="107">
        <f t="shared" si="7"/>
        <v>3</v>
      </c>
    </row>
    <row r="12">
      <c r="A12" s="108">
        <v>46254.0</v>
      </c>
      <c r="B12" s="95"/>
      <c r="C12" s="96" t="s">
        <v>225</v>
      </c>
      <c r="D12" s="97"/>
      <c r="E12" s="98" t="s">
        <v>129</v>
      </c>
      <c r="F12" s="98" t="s">
        <v>200</v>
      </c>
      <c r="G12" s="96" t="s">
        <v>54</v>
      </c>
      <c r="H12" s="98" t="s">
        <v>201</v>
      </c>
      <c r="I12" s="99"/>
      <c r="J12" s="100"/>
      <c r="K12" s="101" t="s">
        <v>207</v>
      </c>
      <c r="L12" s="102">
        <v>12.0</v>
      </c>
      <c r="M12" s="101">
        <v>55000.0</v>
      </c>
      <c r="N12" s="101">
        <v>55000.0</v>
      </c>
      <c r="O12" s="103">
        <f t="shared" si="3"/>
        <v>0</v>
      </c>
      <c r="P12" s="104">
        <f t="shared" si="4"/>
        <v>0</v>
      </c>
      <c r="Q12" s="105" t="s">
        <v>204</v>
      </c>
      <c r="R12" s="101">
        <v>1250.0</v>
      </c>
      <c r="S12" s="103">
        <f t="shared" si="6"/>
        <v>53750</v>
      </c>
      <c r="T12" s="106">
        <v>46255.0</v>
      </c>
      <c r="U12" s="107">
        <f t="shared" si="7"/>
        <v>1</v>
      </c>
    </row>
    <row r="13">
      <c r="A13" s="94">
        <v>46271.0</v>
      </c>
      <c r="B13" s="95"/>
      <c r="C13" s="97"/>
      <c r="D13" s="97"/>
      <c r="E13" s="98" t="s">
        <v>126</v>
      </c>
      <c r="F13" s="98" t="s">
        <v>200</v>
      </c>
      <c r="G13" s="96" t="s">
        <v>54</v>
      </c>
      <c r="H13" s="98" t="s">
        <v>201</v>
      </c>
      <c r="I13" s="133">
        <v>500.0</v>
      </c>
      <c r="J13" s="100"/>
      <c r="K13" s="101" t="s">
        <v>214</v>
      </c>
      <c r="L13" s="102">
        <v>10.0</v>
      </c>
      <c r="M13" s="101">
        <v>40000.0</v>
      </c>
      <c r="N13" s="101">
        <v>40000.0</v>
      </c>
      <c r="O13" s="103">
        <f t="shared" si="3"/>
        <v>0</v>
      </c>
      <c r="P13" s="104">
        <f t="shared" si="4"/>
        <v>0</v>
      </c>
      <c r="Q13" s="105" t="s">
        <v>204</v>
      </c>
      <c r="R13" s="101">
        <v>5000.0</v>
      </c>
      <c r="S13" s="103">
        <f t="shared" si="6"/>
        <v>35000</v>
      </c>
      <c r="T13" s="109">
        <v>46276.0</v>
      </c>
      <c r="U13" s="107">
        <f t="shared" si="7"/>
        <v>5</v>
      </c>
    </row>
    <row r="14">
      <c r="A14" s="94">
        <v>46271.0</v>
      </c>
      <c r="B14" s="95"/>
      <c r="C14" s="96"/>
      <c r="D14" s="97"/>
      <c r="E14" s="98" t="s">
        <v>126</v>
      </c>
      <c r="F14" s="98" t="s">
        <v>200</v>
      </c>
      <c r="G14" s="96" t="s">
        <v>54</v>
      </c>
      <c r="H14" s="98" t="s">
        <v>228</v>
      </c>
      <c r="I14" s="133">
        <v>500.0</v>
      </c>
      <c r="J14" s="135" t="s">
        <v>229</v>
      </c>
      <c r="K14" s="101" t="s">
        <v>214</v>
      </c>
      <c r="L14" s="102">
        <v>11.0</v>
      </c>
      <c r="M14" s="101">
        <v>40000.0</v>
      </c>
      <c r="N14" s="101">
        <v>40000.0</v>
      </c>
      <c r="O14" s="103">
        <f t="shared" si="3"/>
        <v>0</v>
      </c>
      <c r="P14" s="104">
        <f t="shared" si="4"/>
        <v>0</v>
      </c>
      <c r="Q14" s="105" t="s">
        <v>204</v>
      </c>
      <c r="R14" s="101">
        <v>5000.0</v>
      </c>
      <c r="S14" s="103">
        <f t="shared" si="6"/>
        <v>35000</v>
      </c>
      <c r="U14" s="107" t="str">
        <f t="shared" si="7"/>
        <v>0</v>
      </c>
    </row>
    <row r="15">
      <c r="A15" s="94">
        <v>46264.0</v>
      </c>
      <c r="B15" s="95"/>
      <c r="C15" s="96" t="s">
        <v>232</v>
      </c>
      <c r="D15" s="97"/>
      <c r="E15" s="98" t="s">
        <v>129</v>
      </c>
      <c r="F15" s="98" t="s">
        <v>200</v>
      </c>
      <c r="G15" s="96" t="s">
        <v>54</v>
      </c>
      <c r="H15" s="98" t="s">
        <v>201</v>
      </c>
      <c r="I15" s="133">
        <v>300.0</v>
      </c>
      <c r="J15" s="100"/>
      <c r="K15" s="101" t="s">
        <v>207</v>
      </c>
      <c r="L15" s="102">
        <v>8.0</v>
      </c>
      <c r="M15" s="101">
        <v>35000.0</v>
      </c>
      <c r="N15" s="101">
        <v>35000.0</v>
      </c>
      <c r="O15" s="103">
        <f t="shared" si="3"/>
        <v>0</v>
      </c>
      <c r="P15" s="104">
        <f t="shared" si="4"/>
        <v>0</v>
      </c>
      <c r="Q15" s="105" t="s">
        <v>204</v>
      </c>
      <c r="R15" s="101">
        <v>3500.0</v>
      </c>
      <c r="S15" s="103">
        <f t="shared" si="6"/>
        <v>31500</v>
      </c>
      <c r="T15" s="109">
        <v>46288.0</v>
      </c>
      <c r="U15" s="107">
        <f t="shared" si="7"/>
        <v>24</v>
      </c>
    </row>
    <row r="16">
      <c r="A16" s="94">
        <v>46264.0</v>
      </c>
      <c r="B16" s="95"/>
      <c r="C16" s="96" t="s">
        <v>232</v>
      </c>
      <c r="D16" s="97"/>
      <c r="E16" s="98" t="s">
        <v>129</v>
      </c>
      <c r="F16" s="98" t="s">
        <v>200</v>
      </c>
      <c r="G16" s="96" t="s">
        <v>54</v>
      </c>
      <c r="H16" s="98" t="s">
        <v>201</v>
      </c>
      <c r="I16" s="133">
        <v>300.0</v>
      </c>
      <c r="J16" s="100"/>
      <c r="K16" s="101" t="s">
        <v>207</v>
      </c>
      <c r="L16" s="102">
        <v>9.0</v>
      </c>
      <c r="M16" s="101">
        <v>35000.0</v>
      </c>
      <c r="N16" s="101">
        <v>35000.0</v>
      </c>
      <c r="O16" s="103">
        <f t="shared" si="3"/>
        <v>0</v>
      </c>
      <c r="P16" s="104">
        <f t="shared" si="4"/>
        <v>0</v>
      </c>
      <c r="Q16" s="105" t="s">
        <v>204</v>
      </c>
      <c r="R16" s="101">
        <v>3500.0</v>
      </c>
      <c r="S16" s="103">
        <f t="shared" si="6"/>
        <v>31500</v>
      </c>
      <c r="T16" s="109">
        <v>46288.0</v>
      </c>
      <c r="U16" s="107">
        <f t="shared" si="7"/>
        <v>24</v>
      </c>
    </row>
    <row r="17">
      <c r="A17" s="145"/>
      <c r="B17" s="95"/>
      <c r="C17" s="96"/>
      <c r="D17" s="97"/>
      <c r="E17" s="98"/>
      <c r="F17" s="98"/>
      <c r="G17" s="96"/>
      <c r="H17" s="98"/>
      <c r="I17" s="99"/>
      <c r="J17" s="100"/>
      <c r="K17" s="103"/>
      <c r="L17" s="146"/>
      <c r="M17" s="103"/>
      <c r="N17" s="103"/>
      <c r="O17" s="103">
        <f t="shared" si="3"/>
        <v>0</v>
      </c>
      <c r="P17" s="104">
        <f t="shared" si="4"/>
        <v>0</v>
      </c>
      <c r="Q17" s="147"/>
      <c r="R17" s="103"/>
      <c r="S17" s="103">
        <f t="shared" si="6"/>
        <v>0</v>
      </c>
      <c r="U17" s="107" t="str">
        <f t="shared" si="7"/>
        <v>0</v>
      </c>
    </row>
    <row r="18">
      <c r="A18" s="145"/>
      <c r="B18" s="95"/>
      <c r="C18" s="97"/>
      <c r="D18" s="97"/>
      <c r="E18" s="148"/>
      <c r="F18" s="148"/>
      <c r="G18" s="97"/>
      <c r="H18" s="149"/>
      <c r="I18" s="99"/>
      <c r="J18" s="100"/>
      <c r="K18" s="103"/>
      <c r="L18" s="146"/>
      <c r="M18" s="103"/>
      <c r="N18" s="103"/>
      <c r="O18" s="103">
        <f t="shared" si="3"/>
        <v>0</v>
      </c>
      <c r="P18" s="104">
        <f t="shared" si="4"/>
        <v>0</v>
      </c>
      <c r="Q18" s="147"/>
      <c r="R18" s="103"/>
      <c r="S18" s="103">
        <f t="shared" si="6"/>
        <v>0</v>
      </c>
      <c r="U18" s="107" t="str">
        <f t="shared" si="7"/>
        <v>0</v>
      </c>
    </row>
    <row r="19">
      <c r="A19" s="145"/>
      <c r="B19" s="95"/>
      <c r="C19" s="97"/>
      <c r="D19" s="97"/>
      <c r="E19" s="148"/>
      <c r="F19" s="148"/>
      <c r="G19" s="97"/>
      <c r="H19" s="149"/>
      <c r="I19" s="99"/>
      <c r="J19" s="100"/>
      <c r="K19" s="103"/>
      <c r="L19" s="146"/>
      <c r="M19" s="103"/>
      <c r="N19" s="103"/>
      <c r="O19" s="103">
        <f t="shared" si="3"/>
        <v>0</v>
      </c>
      <c r="P19" s="104">
        <f t="shared" si="4"/>
        <v>0</v>
      </c>
      <c r="Q19" s="147"/>
      <c r="R19" s="103"/>
      <c r="S19" s="103">
        <f t="shared" si="6"/>
        <v>0</v>
      </c>
      <c r="U19" s="107" t="str">
        <f t="shared" si="7"/>
        <v>0</v>
      </c>
    </row>
    <row r="20">
      <c r="A20" s="145"/>
      <c r="B20" s="95"/>
      <c r="C20" s="97"/>
      <c r="D20" s="97"/>
      <c r="E20" s="148"/>
      <c r="F20" s="148"/>
      <c r="G20" s="97"/>
      <c r="H20" s="149"/>
      <c r="I20" s="99"/>
      <c r="J20" s="100"/>
      <c r="K20" s="103"/>
      <c r="L20" s="146"/>
      <c r="M20" s="103"/>
      <c r="N20" s="103"/>
      <c r="O20" s="103">
        <f t="shared" si="3"/>
        <v>0</v>
      </c>
      <c r="P20" s="104">
        <f t="shared" si="4"/>
        <v>0</v>
      </c>
      <c r="Q20" s="147"/>
      <c r="R20" s="103"/>
      <c r="S20" s="103">
        <f t="shared" si="6"/>
        <v>0</v>
      </c>
      <c r="U20" s="107" t="str">
        <f t="shared" si="7"/>
        <v>0</v>
      </c>
    </row>
    <row r="21">
      <c r="A21" s="145"/>
      <c r="B21" s="95"/>
      <c r="C21" s="97"/>
      <c r="D21" s="97"/>
      <c r="E21" s="148"/>
      <c r="F21" s="148"/>
      <c r="G21" s="97"/>
      <c r="H21" s="149"/>
      <c r="I21" s="99"/>
      <c r="J21" s="100"/>
      <c r="K21" s="103"/>
      <c r="L21" s="146"/>
      <c r="M21" s="103"/>
      <c r="N21" s="103"/>
      <c r="O21" s="103">
        <f t="shared" si="3"/>
        <v>0</v>
      </c>
      <c r="P21" s="104">
        <f t="shared" si="4"/>
        <v>0</v>
      </c>
      <c r="Q21" s="147"/>
      <c r="R21" s="103"/>
      <c r="S21" s="103">
        <f t="shared" si="6"/>
        <v>0</v>
      </c>
      <c r="U21" s="107" t="str">
        <f t="shared" si="7"/>
        <v>0</v>
      </c>
    </row>
    <row r="22">
      <c r="A22" s="145"/>
      <c r="B22" s="95"/>
      <c r="C22" s="97"/>
      <c r="D22" s="97"/>
      <c r="E22" s="148"/>
      <c r="F22" s="148"/>
      <c r="G22" s="97"/>
      <c r="H22" s="149"/>
      <c r="I22" s="99"/>
      <c r="J22" s="100"/>
      <c r="K22" s="103"/>
      <c r="L22" s="146"/>
      <c r="M22" s="103"/>
      <c r="N22" s="103"/>
      <c r="O22" s="103">
        <f t="shared" si="3"/>
        <v>0</v>
      </c>
      <c r="P22" s="104">
        <f t="shared" si="4"/>
        <v>0</v>
      </c>
      <c r="Q22" s="147"/>
      <c r="R22" s="103"/>
      <c r="S22" s="103">
        <f t="shared" si="6"/>
        <v>0</v>
      </c>
      <c r="U22" s="107" t="str">
        <f t="shared" si="7"/>
        <v>0</v>
      </c>
    </row>
    <row r="23">
      <c r="A23" s="145"/>
      <c r="B23" s="95"/>
      <c r="C23" s="97"/>
      <c r="D23" s="97"/>
      <c r="E23" s="148"/>
      <c r="F23" s="148"/>
      <c r="G23" s="97"/>
      <c r="H23" s="149"/>
      <c r="I23" s="99"/>
      <c r="J23" s="100"/>
      <c r="K23" s="103"/>
      <c r="L23" s="146"/>
      <c r="M23" s="103"/>
      <c r="N23" s="103"/>
      <c r="O23" s="103">
        <f t="shared" si="3"/>
        <v>0</v>
      </c>
      <c r="P23" s="104">
        <f t="shared" si="4"/>
        <v>0</v>
      </c>
      <c r="Q23" s="147"/>
      <c r="R23" s="103"/>
      <c r="S23" s="103">
        <f t="shared" si="6"/>
        <v>0</v>
      </c>
      <c r="U23" s="107" t="str">
        <f t="shared" si="7"/>
        <v>0</v>
      </c>
    </row>
    <row r="24">
      <c r="A24" s="145"/>
      <c r="B24" s="95"/>
      <c r="C24" s="97"/>
      <c r="D24" s="97"/>
      <c r="E24" s="148"/>
      <c r="F24" s="148"/>
      <c r="G24" s="97"/>
      <c r="H24" s="149"/>
      <c r="I24" s="99"/>
      <c r="J24" s="100"/>
      <c r="K24" s="103"/>
      <c r="L24" s="146"/>
      <c r="M24" s="103"/>
      <c r="N24" s="103"/>
      <c r="O24" s="103">
        <f t="shared" si="3"/>
        <v>0</v>
      </c>
      <c r="P24" s="104">
        <f t="shared" si="4"/>
        <v>0</v>
      </c>
      <c r="Q24" s="147"/>
      <c r="R24" s="103"/>
      <c r="S24" s="103">
        <f t="shared" si="6"/>
        <v>0</v>
      </c>
      <c r="U24" s="107" t="str">
        <f t="shared" si="7"/>
        <v>0</v>
      </c>
    </row>
    <row r="25">
      <c r="A25" s="145"/>
      <c r="B25" s="95"/>
      <c r="C25" s="97"/>
      <c r="D25" s="97"/>
      <c r="E25" s="148"/>
      <c r="F25" s="148"/>
      <c r="G25" s="97"/>
      <c r="H25" s="149"/>
      <c r="I25" s="99"/>
      <c r="J25" s="100"/>
      <c r="K25" s="103"/>
      <c r="L25" s="146"/>
      <c r="M25" s="103"/>
      <c r="N25" s="103"/>
      <c r="O25" s="103">
        <f t="shared" si="3"/>
        <v>0</v>
      </c>
      <c r="P25" s="104">
        <f t="shared" si="4"/>
        <v>0</v>
      </c>
      <c r="Q25" s="147"/>
      <c r="R25" s="103"/>
      <c r="S25" s="103">
        <f t="shared" si="6"/>
        <v>0</v>
      </c>
      <c r="U25" s="107" t="str">
        <f t="shared" si="7"/>
        <v>0</v>
      </c>
    </row>
    <row r="26">
      <c r="A26" s="145"/>
      <c r="B26" s="95"/>
      <c r="C26" s="97"/>
      <c r="D26" s="97"/>
      <c r="E26" s="148"/>
      <c r="F26" s="148"/>
      <c r="G26" s="97"/>
      <c r="H26" s="149"/>
      <c r="I26" s="99"/>
      <c r="J26" s="100"/>
      <c r="K26" s="103"/>
      <c r="L26" s="146"/>
      <c r="M26" s="103"/>
      <c r="N26" s="103"/>
      <c r="O26" s="103">
        <f t="shared" si="3"/>
        <v>0</v>
      </c>
      <c r="P26" s="104">
        <f t="shared" si="4"/>
        <v>0</v>
      </c>
      <c r="Q26" s="147"/>
      <c r="R26" s="103"/>
      <c r="S26" s="103">
        <f t="shared" si="6"/>
        <v>0</v>
      </c>
      <c r="U26" s="107" t="str">
        <f t="shared" si="7"/>
        <v>0</v>
      </c>
    </row>
    <row r="27">
      <c r="A27" s="145"/>
      <c r="B27" s="95"/>
      <c r="C27" s="97"/>
      <c r="D27" s="97"/>
      <c r="E27" s="148"/>
      <c r="F27" s="148"/>
      <c r="G27" s="97"/>
      <c r="H27" s="149"/>
      <c r="I27" s="99"/>
      <c r="J27" s="100"/>
      <c r="K27" s="103"/>
      <c r="L27" s="146"/>
      <c r="M27" s="103"/>
      <c r="N27" s="103"/>
      <c r="O27" s="103">
        <f t="shared" si="3"/>
        <v>0</v>
      </c>
      <c r="P27" s="104">
        <f t="shared" si="4"/>
        <v>0</v>
      </c>
      <c r="Q27" s="147"/>
      <c r="R27" s="103"/>
      <c r="S27" s="103">
        <f t="shared" si="6"/>
        <v>0</v>
      </c>
      <c r="U27" s="107" t="str">
        <f t="shared" si="7"/>
        <v>0</v>
      </c>
    </row>
    <row r="28">
      <c r="A28" s="145"/>
      <c r="B28" s="95"/>
      <c r="C28" s="97"/>
      <c r="D28" s="97"/>
      <c r="E28" s="148"/>
      <c r="F28" s="148"/>
      <c r="G28" s="97"/>
      <c r="H28" s="149"/>
      <c r="I28" s="99"/>
      <c r="J28" s="100"/>
      <c r="K28" s="103"/>
      <c r="L28" s="146"/>
      <c r="M28" s="103"/>
      <c r="N28" s="103"/>
      <c r="O28" s="103">
        <f t="shared" si="3"/>
        <v>0</v>
      </c>
      <c r="P28" s="104">
        <f t="shared" si="4"/>
        <v>0</v>
      </c>
      <c r="Q28" s="147"/>
      <c r="R28" s="103"/>
      <c r="S28" s="103">
        <f t="shared" si="6"/>
        <v>0</v>
      </c>
      <c r="U28" s="107" t="str">
        <f t="shared" si="7"/>
        <v>0</v>
      </c>
    </row>
    <row r="29">
      <c r="A29" s="145"/>
      <c r="B29" s="95"/>
      <c r="C29" s="97"/>
      <c r="D29" s="97"/>
      <c r="E29" s="148"/>
      <c r="F29" s="148"/>
      <c r="G29" s="97"/>
      <c r="H29" s="148"/>
      <c r="I29" s="99"/>
      <c r="J29" s="100"/>
      <c r="K29" s="103"/>
      <c r="L29" s="146"/>
      <c r="M29" s="103"/>
      <c r="N29" s="103"/>
      <c r="O29" s="103">
        <f t="shared" si="3"/>
        <v>0</v>
      </c>
      <c r="P29" s="104">
        <f t="shared" si="4"/>
        <v>0</v>
      </c>
      <c r="Q29" s="147"/>
      <c r="R29" s="103"/>
      <c r="S29" s="103">
        <f t="shared" si="6"/>
        <v>0</v>
      </c>
      <c r="U29" s="107" t="str">
        <f t="shared" si="7"/>
        <v>0</v>
      </c>
    </row>
    <row r="30">
      <c r="A30" s="145"/>
      <c r="B30" s="95"/>
      <c r="C30" s="97"/>
      <c r="D30" s="97"/>
      <c r="E30" s="148"/>
      <c r="F30" s="148"/>
      <c r="G30" s="97"/>
      <c r="H30" s="149"/>
      <c r="I30" s="99"/>
      <c r="J30" s="100"/>
      <c r="K30" s="103"/>
      <c r="L30" s="146"/>
      <c r="M30" s="103"/>
      <c r="N30" s="103"/>
      <c r="O30" s="103">
        <f t="shared" si="3"/>
        <v>0</v>
      </c>
      <c r="P30" s="104">
        <f t="shared" si="4"/>
        <v>0</v>
      </c>
      <c r="Q30" s="147"/>
      <c r="R30" s="103"/>
      <c r="S30" s="103">
        <f t="shared" si="6"/>
        <v>0</v>
      </c>
      <c r="U30" s="107" t="str">
        <f t="shared" si="7"/>
        <v>0</v>
      </c>
    </row>
    <row r="31">
      <c r="A31" s="145"/>
      <c r="B31" s="95"/>
      <c r="C31" s="97"/>
      <c r="D31" s="97"/>
      <c r="E31" s="148"/>
      <c r="F31" s="148"/>
      <c r="G31" s="97"/>
      <c r="H31" s="149"/>
      <c r="I31" s="99"/>
      <c r="J31" s="100"/>
      <c r="K31" s="103"/>
      <c r="L31" s="146"/>
      <c r="M31" s="103"/>
      <c r="N31" s="103"/>
      <c r="O31" s="103">
        <f t="shared" si="3"/>
        <v>0</v>
      </c>
      <c r="P31" s="104">
        <f t="shared" si="4"/>
        <v>0</v>
      </c>
      <c r="Q31" s="147"/>
      <c r="R31" s="103"/>
      <c r="S31" s="103">
        <f t="shared" si="6"/>
        <v>0</v>
      </c>
      <c r="U31" s="107" t="str">
        <f t="shared" si="7"/>
        <v>0</v>
      </c>
    </row>
    <row r="32">
      <c r="A32" s="145"/>
      <c r="B32" s="95"/>
      <c r="C32" s="97"/>
      <c r="D32" s="97"/>
      <c r="E32" s="148"/>
      <c r="F32" s="148"/>
      <c r="G32" s="97"/>
      <c r="H32" s="149"/>
      <c r="I32" s="99"/>
      <c r="J32" s="100"/>
      <c r="K32" s="103"/>
      <c r="L32" s="146"/>
      <c r="M32" s="103"/>
      <c r="N32" s="103"/>
      <c r="O32" s="103">
        <f t="shared" si="3"/>
        <v>0</v>
      </c>
      <c r="P32" s="104">
        <f t="shared" si="4"/>
        <v>0</v>
      </c>
      <c r="Q32" s="147"/>
      <c r="R32" s="103"/>
      <c r="S32" s="103">
        <f t="shared" si="6"/>
        <v>0</v>
      </c>
      <c r="U32" s="107" t="str">
        <f t="shared" si="7"/>
        <v>0</v>
      </c>
    </row>
    <row r="33">
      <c r="A33" s="145"/>
      <c r="B33" s="95"/>
      <c r="C33" s="97"/>
      <c r="D33" s="97"/>
      <c r="E33" s="148"/>
      <c r="F33" s="148"/>
      <c r="G33" s="97"/>
      <c r="H33" s="149"/>
      <c r="I33" s="99"/>
      <c r="J33" s="100"/>
      <c r="K33" s="103"/>
      <c r="L33" s="146"/>
      <c r="M33" s="103"/>
      <c r="N33" s="103"/>
      <c r="O33" s="103">
        <f t="shared" si="3"/>
        <v>0</v>
      </c>
      <c r="P33" s="104">
        <f t="shared" si="4"/>
        <v>0</v>
      </c>
      <c r="Q33" s="147"/>
      <c r="R33" s="103"/>
      <c r="S33" s="103">
        <f t="shared" si="6"/>
        <v>0</v>
      </c>
      <c r="U33" s="107" t="str">
        <f t="shared" si="7"/>
        <v>0</v>
      </c>
    </row>
    <row r="34" ht="15.75" customHeight="1">
      <c r="A34" s="145"/>
      <c r="B34" s="95"/>
      <c r="C34" s="97"/>
      <c r="D34" s="97"/>
      <c r="E34" s="148"/>
      <c r="F34" s="148"/>
      <c r="G34" s="97"/>
      <c r="H34" s="148"/>
      <c r="I34" s="99"/>
      <c r="J34" s="100"/>
      <c r="K34" s="103"/>
      <c r="L34" s="146"/>
      <c r="M34" s="103"/>
      <c r="N34" s="103"/>
      <c r="O34" s="103">
        <f t="shared" si="3"/>
        <v>0</v>
      </c>
      <c r="P34" s="104">
        <f t="shared" si="4"/>
        <v>0</v>
      </c>
      <c r="Q34" s="147"/>
      <c r="R34" s="103"/>
      <c r="S34" s="103">
        <f t="shared" si="6"/>
        <v>0</v>
      </c>
      <c r="U34" s="107" t="str">
        <f t="shared" si="7"/>
        <v>0</v>
      </c>
    </row>
    <row r="35" ht="15.75" customHeight="1">
      <c r="A35" s="145"/>
      <c r="B35" s="95"/>
      <c r="C35" s="97"/>
      <c r="D35" s="97"/>
      <c r="E35" s="148"/>
      <c r="F35" s="148"/>
      <c r="G35" s="97"/>
      <c r="H35" s="149"/>
      <c r="I35" s="99"/>
      <c r="J35" s="100"/>
      <c r="K35" s="103"/>
      <c r="L35" s="146"/>
      <c r="M35" s="103"/>
      <c r="N35" s="103"/>
      <c r="O35" s="103">
        <f t="shared" si="3"/>
        <v>0</v>
      </c>
      <c r="P35" s="104">
        <f t="shared" si="4"/>
        <v>0</v>
      </c>
      <c r="Q35" s="147"/>
      <c r="R35" s="103"/>
      <c r="S35" s="103">
        <f t="shared" si="6"/>
        <v>0</v>
      </c>
      <c r="U35" s="107" t="str">
        <f t="shared" si="7"/>
        <v>0</v>
      </c>
    </row>
    <row r="36" ht="15.75" customHeight="1">
      <c r="A36" s="145"/>
      <c r="B36" s="95"/>
      <c r="C36" s="97"/>
      <c r="D36" s="97"/>
      <c r="E36" s="148"/>
      <c r="F36" s="148"/>
      <c r="G36" s="97"/>
      <c r="H36" s="149"/>
      <c r="I36" s="99"/>
      <c r="J36" s="100"/>
      <c r="K36" s="103"/>
      <c r="L36" s="146"/>
      <c r="M36" s="103"/>
      <c r="N36" s="103"/>
      <c r="O36" s="103">
        <f t="shared" si="3"/>
        <v>0</v>
      </c>
      <c r="P36" s="104">
        <f t="shared" si="4"/>
        <v>0</v>
      </c>
      <c r="Q36" s="147"/>
      <c r="R36" s="103"/>
      <c r="S36" s="103">
        <f t="shared" si="6"/>
        <v>0</v>
      </c>
      <c r="U36" s="107" t="str">
        <f t="shared" si="7"/>
        <v>0</v>
      </c>
    </row>
    <row r="37" ht="15.75" customHeight="1">
      <c r="A37" s="145"/>
      <c r="B37" s="95"/>
      <c r="C37" s="97"/>
      <c r="D37" s="97"/>
      <c r="E37" s="148"/>
      <c r="F37" s="148"/>
      <c r="G37" s="97"/>
      <c r="H37" s="148"/>
      <c r="I37" s="99"/>
      <c r="J37" s="100"/>
      <c r="K37" s="103"/>
      <c r="L37" s="146"/>
      <c r="M37" s="103"/>
      <c r="N37" s="103"/>
      <c r="O37" s="103">
        <f t="shared" si="3"/>
        <v>0</v>
      </c>
      <c r="P37" s="104">
        <f t="shared" si="4"/>
        <v>0</v>
      </c>
      <c r="Q37" s="147"/>
      <c r="R37" s="103"/>
      <c r="S37" s="103">
        <f t="shared" si="6"/>
        <v>0</v>
      </c>
      <c r="U37" s="107" t="str">
        <f t="shared" si="7"/>
        <v>0</v>
      </c>
    </row>
    <row r="38" ht="15.75" customHeight="1">
      <c r="A38" s="145"/>
      <c r="B38" s="95"/>
      <c r="C38" s="97"/>
      <c r="D38" s="97"/>
      <c r="E38" s="148"/>
      <c r="F38" s="148"/>
      <c r="G38" s="97"/>
      <c r="H38" s="149"/>
      <c r="I38" s="99"/>
      <c r="J38" s="100"/>
      <c r="K38" s="103"/>
      <c r="L38" s="146"/>
      <c r="M38" s="103"/>
      <c r="N38" s="103"/>
      <c r="O38" s="103">
        <f t="shared" si="3"/>
        <v>0</v>
      </c>
      <c r="P38" s="104">
        <f t="shared" si="4"/>
        <v>0</v>
      </c>
      <c r="Q38" s="147"/>
      <c r="R38" s="103"/>
      <c r="S38" s="103">
        <f t="shared" si="6"/>
        <v>0</v>
      </c>
      <c r="U38" s="107" t="str">
        <f t="shared" si="7"/>
        <v>0</v>
      </c>
    </row>
    <row r="39" ht="15.75" customHeight="1">
      <c r="A39" s="145"/>
      <c r="B39" s="95"/>
      <c r="C39" s="97"/>
      <c r="D39" s="97"/>
      <c r="E39" s="148"/>
      <c r="F39" s="148"/>
      <c r="G39" s="97"/>
      <c r="H39" s="149"/>
      <c r="I39" s="99"/>
      <c r="J39" s="100"/>
      <c r="K39" s="103"/>
      <c r="L39" s="146"/>
      <c r="M39" s="103"/>
      <c r="N39" s="103"/>
      <c r="O39" s="103">
        <f t="shared" si="3"/>
        <v>0</v>
      </c>
      <c r="P39" s="104">
        <f t="shared" si="4"/>
        <v>0</v>
      </c>
      <c r="Q39" s="147"/>
      <c r="R39" s="103"/>
      <c r="S39" s="103">
        <f t="shared" si="6"/>
        <v>0</v>
      </c>
      <c r="U39" s="107" t="str">
        <f t="shared" si="7"/>
        <v>0</v>
      </c>
    </row>
    <row r="40" ht="15.75" customHeight="1">
      <c r="A40" s="145"/>
      <c r="B40" s="95"/>
      <c r="C40" s="97"/>
      <c r="D40" s="97"/>
      <c r="E40" s="148"/>
      <c r="F40" s="148"/>
      <c r="G40" s="97"/>
      <c r="H40" s="148"/>
      <c r="I40" s="99"/>
      <c r="J40" s="100"/>
      <c r="K40" s="103"/>
      <c r="L40" s="146"/>
      <c r="M40" s="103"/>
      <c r="N40" s="103"/>
      <c r="O40" s="103">
        <f t="shared" si="3"/>
        <v>0</v>
      </c>
      <c r="P40" s="104">
        <f t="shared" si="4"/>
        <v>0</v>
      </c>
      <c r="Q40" s="147"/>
      <c r="R40" s="103"/>
      <c r="S40" s="103">
        <f t="shared" si="6"/>
        <v>0</v>
      </c>
      <c r="U40" s="107" t="str">
        <f t="shared" si="7"/>
        <v>0</v>
      </c>
    </row>
    <row r="41" ht="15.75" customHeight="1">
      <c r="A41" s="145"/>
      <c r="B41" s="95"/>
      <c r="C41" s="97"/>
      <c r="D41" s="97"/>
      <c r="E41" s="148"/>
      <c r="F41" s="148"/>
      <c r="G41" s="97"/>
      <c r="H41" s="149"/>
      <c r="I41" s="99"/>
      <c r="J41" s="100"/>
      <c r="K41" s="103"/>
      <c r="L41" s="146"/>
      <c r="M41" s="103"/>
      <c r="N41" s="103"/>
      <c r="O41" s="103">
        <f t="shared" si="3"/>
        <v>0</v>
      </c>
      <c r="P41" s="104">
        <f t="shared" si="4"/>
        <v>0</v>
      </c>
      <c r="Q41" s="147"/>
      <c r="R41" s="103"/>
      <c r="S41" s="103">
        <f t="shared" si="6"/>
        <v>0</v>
      </c>
      <c r="U41" s="107" t="str">
        <f t="shared" si="7"/>
        <v>0</v>
      </c>
    </row>
    <row r="42" ht="15.75" customHeight="1">
      <c r="A42" s="145"/>
      <c r="B42" s="95"/>
      <c r="C42" s="97"/>
      <c r="D42" s="97"/>
      <c r="E42" s="148"/>
      <c r="F42" s="148"/>
      <c r="G42" s="97"/>
      <c r="H42" s="149"/>
      <c r="I42" s="99"/>
      <c r="J42" s="100"/>
      <c r="K42" s="103"/>
      <c r="L42" s="146"/>
      <c r="M42" s="103"/>
      <c r="N42" s="103"/>
      <c r="O42" s="103">
        <f t="shared" si="3"/>
        <v>0</v>
      </c>
      <c r="P42" s="104">
        <f t="shared" si="4"/>
        <v>0</v>
      </c>
      <c r="Q42" s="147"/>
      <c r="R42" s="103"/>
      <c r="S42" s="103">
        <f t="shared" si="6"/>
        <v>0</v>
      </c>
      <c r="U42" s="107" t="str">
        <f t="shared" si="7"/>
        <v>0</v>
      </c>
    </row>
    <row r="43" ht="15.75" customHeight="1">
      <c r="A43" s="145"/>
      <c r="B43" s="95"/>
      <c r="C43" s="97"/>
      <c r="D43" s="97"/>
      <c r="E43" s="148"/>
      <c r="F43" s="148"/>
      <c r="G43" s="97"/>
      <c r="H43" s="149"/>
      <c r="I43" s="99"/>
      <c r="J43" s="100"/>
      <c r="K43" s="103"/>
      <c r="L43" s="146"/>
      <c r="M43" s="103"/>
      <c r="N43" s="103"/>
      <c r="O43" s="103">
        <f t="shared" si="3"/>
        <v>0</v>
      </c>
      <c r="P43" s="104">
        <f t="shared" si="4"/>
        <v>0</v>
      </c>
      <c r="Q43" s="147"/>
      <c r="R43" s="103"/>
      <c r="S43" s="103">
        <f t="shared" si="6"/>
        <v>0</v>
      </c>
      <c r="U43" s="107" t="str">
        <f t="shared" si="7"/>
        <v>0</v>
      </c>
    </row>
    <row r="44" ht="15.75" customHeight="1">
      <c r="A44" s="145"/>
      <c r="B44" s="95"/>
      <c r="C44" s="97"/>
      <c r="D44" s="97"/>
      <c r="E44" s="148"/>
      <c r="F44" s="148"/>
      <c r="G44" s="97"/>
      <c r="H44" s="148"/>
      <c r="I44" s="99"/>
      <c r="J44" s="100"/>
      <c r="K44" s="103"/>
      <c r="L44" s="146"/>
      <c r="M44" s="103"/>
      <c r="N44" s="103"/>
      <c r="O44" s="103">
        <f t="shared" si="3"/>
        <v>0</v>
      </c>
      <c r="P44" s="104">
        <f t="shared" si="4"/>
        <v>0</v>
      </c>
      <c r="Q44" s="147"/>
      <c r="R44" s="103"/>
      <c r="S44" s="103">
        <f t="shared" si="6"/>
        <v>0</v>
      </c>
      <c r="U44" s="107" t="str">
        <f t="shared" si="7"/>
        <v>0</v>
      </c>
    </row>
    <row r="45" ht="15.75" customHeight="1">
      <c r="A45" s="145"/>
      <c r="B45" s="95"/>
      <c r="C45" s="97"/>
      <c r="D45" s="97"/>
      <c r="E45" s="148"/>
      <c r="F45" s="148"/>
      <c r="G45" s="97"/>
      <c r="H45" s="149"/>
      <c r="I45" s="99"/>
      <c r="J45" s="100"/>
      <c r="K45" s="103"/>
      <c r="L45" s="146"/>
      <c r="M45" s="103"/>
      <c r="N45" s="103"/>
      <c r="O45" s="103">
        <f t="shared" si="3"/>
        <v>0</v>
      </c>
      <c r="P45" s="104">
        <f t="shared" si="4"/>
        <v>0</v>
      </c>
      <c r="Q45" s="147"/>
      <c r="R45" s="103"/>
      <c r="S45" s="103">
        <f t="shared" si="6"/>
        <v>0</v>
      </c>
      <c r="U45" s="107" t="str">
        <f t="shared" si="7"/>
        <v>0</v>
      </c>
    </row>
    <row r="46" ht="15.75" customHeight="1">
      <c r="A46" s="145"/>
      <c r="B46" s="95"/>
      <c r="C46" s="97"/>
      <c r="D46" s="97"/>
      <c r="E46" s="148"/>
      <c r="F46" s="148"/>
      <c r="G46" s="97"/>
      <c r="H46" s="149"/>
      <c r="I46" s="99"/>
      <c r="J46" s="100"/>
      <c r="K46" s="103"/>
      <c r="L46" s="146"/>
      <c r="M46" s="103"/>
      <c r="N46" s="103"/>
      <c r="O46" s="103">
        <f t="shared" si="3"/>
        <v>0</v>
      </c>
      <c r="P46" s="104">
        <f t="shared" si="4"/>
        <v>0</v>
      </c>
      <c r="Q46" s="147"/>
      <c r="R46" s="103"/>
      <c r="S46" s="103">
        <f t="shared" si="6"/>
        <v>0</v>
      </c>
      <c r="U46" s="107" t="str">
        <f t="shared" si="7"/>
        <v>0</v>
      </c>
    </row>
    <row r="47" ht="15.75" customHeight="1">
      <c r="A47" s="145"/>
      <c r="B47" s="95"/>
      <c r="C47" s="97"/>
      <c r="D47" s="97"/>
      <c r="E47" s="148"/>
      <c r="F47" s="148"/>
      <c r="G47" s="97"/>
      <c r="H47" s="149"/>
      <c r="I47" s="99"/>
      <c r="J47" s="100"/>
      <c r="K47" s="103"/>
      <c r="L47" s="146"/>
      <c r="M47" s="103"/>
      <c r="N47" s="103"/>
      <c r="O47" s="103">
        <f t="shared" si="3"/>
        <v>0</v>
      </c>
      <c r="P47" s="104">
        <f t="shared" si="4"/>
        <v>0</v>
      </c>
      <c r="Q47" s="147"/>
      <c r="R47" s="103"/>
      <c r="S47" s="103">
        <f t="shared" si="6"/>
        <v>0</v>
      </c>
      <c r="U47" s="107" t="str">
        <f t="shared" si="7"/>
        <v>0</v>
      </c>
    </row>
    <row r="48" ht="15.75" customHeight="1">
      <c r="A48" s="145"/>
      <c r="B48" s="95"/>
      <c r="C48" s="97"/>
      <c r="D48" s="97"/>
      <c r="E48" s="148"/>
      <c r="F48" s="148"/>
      <c r="G48" s="97"/>
      <c r="H48" s="149"/>
      <c r="I48" s="99"/>
      <c r="J48" s="100"/>
      <c r="K48" s="103"/>
      <c r="L48" s="146"/>
      <c r="M48" s="103"/>
      <c r="N48" s="103"/>
      <c r="O48" s="103">
        <f t="shared" si="3"/>
        <v>0</v>
      </c>
      <c r="P48" s="104">
        <f t="shared" si="4"/>
        <v>0</v>
      </c>
      <c r="Q48" s="147"/>
      <c r="R48" s="103"/>
      <c r="S48" s="103">
        <f t="shared" si="6"/>
        <v>0</v>
      </c>
      <c r="U48" s="107" t="str">
        <f t="shared" si="7"/>
        <v>0</v>
      </c>
    </row>
    <row r="49" ht="15.75" customHeight="1">
      <c r="A49" s="145"/>
      <c r="B49" s="95"/>
      <c r="C49" s="97"/>
      <c r="D49" s="97"/>
      <c r="E49" s="148"/>
      <c r="F49" s="148"/>
      <c r="G49" s="97"/>
      <c r="H49" s="149"/>
      <c r="I49" s="99"/>
      <c r="J49" s="100"/>
      <c r="K49" s="103"/>
      <c r="L49" s="146"/>
      <c r="M49" s="103"/>
      <c r="N49" s="103"/>
      <c r="O49" s="103">
        <f t="shared" si="3"/>
        <v>0</v>
      </c>
      <c r="P49" s="104">
        <f t="shared" si="4"/>
        <v>0</v>
      </c>
      <c r="Q49" s="147"/>
      <c r="R49" s="103"/>
      <c r="S49" s="103">
        <f t="shared" si="6"/>
        <v>0</v>
      </c>
      <c r="U49" s="107" t="str">
        <f t="shared" si="7"/>
        <v>0</v>
      </c>
    </row>
    <row r="50" ht="15.75" customHeight="1">
      <c r="A50" s="145"/>
      <c r="B50" s="95"/>
      <c r="C50" s="97"/>
      <c r="D50" s="97"/>
      <c r="E50" s="148"/>
      <c r="F50" s="148"/>
      <c r="G50" s="97"/>
      <c r="H50" s="149"/>
      <c r="I50" s="99"/>
      <c r="J50" s="100"/>
      <c r="K50" s="103"/>
      <c r="L50" s="146"/>
      <c r="M50" s="103"/>
      <c r="N50" s="103"/>
      <c r="O50" s="103">
        <f t="shared" si="3"/>
        <v>0</v>
      </c>
      <c r="P50" s="104">
        <f t="shared" si="4"/>
        <v>0</v>
      </c>
      <c r="Q50" s="147"/>
      <c r="R50" s="103"/>
      <c r="S50" s="103">
        <f t="shared" si="6"/>
        <v>0</v>
      </c>
      <c r="U50" s="107" t="str">
        <f t="shared" si="7"/>
        <v>0</v>
      </c>
    </row>
    <row r="51" ht="15.75" customHeight="1">
      <c r="A51" s="145"/>
      <c r="B51" s="95"/>
      <c r="C51" s="97"/>
      <c r="D51" s="97"/>
      <c r="E51" s="148"/>
      <c r="F51" s="148"/>
      <c r="G51" s="97"/>
      <c r="H51" s="149"/>
      <c r="I51" s="99"/>
      <c r="J51" s="100"/>
      <c r="K51" s="103"/>
      <c r="L51" s="146"/>
      <c r="M51" s="103"/>
      <c r="N51" s="103"/>
      <c r="O51" s="103">
        <f t="shared" si="3"/>
        <v>0</v>
      </c>
      <c r="P51" s="104">
        <f t="shared" si="4"/>
        <v>0</v>
      </c>
      <c r="Q51" s="147"/>
      <c r="R51" s="103"/>
      <c r="S51" s="103">
        <f t="shared" si="6"/>
        <v>0</v>
      </c>
      <c r="U51" s="107" t="str">
        <f t="shared" si="7"/>
        <v>0</v>
      </c>
    </row>
    <row r="52" ht="15.75" customHeight="1">
      <c r="A52" s="145"/>
      <c r="B52" s="95"/>
      <c r="C52" s="97"/>
      <c r="D52" s="97"/>
      <c r="E52" s="148"/>
      <c r="F52" s="148"/>
      <c r="G52" s="97"/>
      <c r="H52" s="149"/>
      <c r="I52" s="99"/>
      <c r="J52" s="100"/>
      <c r="K52" s="103"/>
      <c r="L52" s="146"/>
      <c r="M52" s="103"/>
      <c r="N52" s="103"/>
      <c r="O52" s="103">
        <f t="shared" si="3"/>
        <v>0</v>
      </c>
      <c r="P52" s="104">
        <f t="shared" si="4"/>
        <v>0</v>
      </c>
      <c r="Q52" s="147"/>
      <c r="R52" s="103"/>
      <c r="S52" s="103">
        <f t="shared" si="6"/>
        <v>0</v>
      </c>
      <c r="U52" s="107" t="str">
        <f t="shared" si="7"/>
        <v>0</v>
      </c>
    </row>
    <row r="53" ht="15.75" customHeight="1">
      <c r="A53" s="145"/>
      <c r="B53" s="95"/>
      <c r="C53" s="97"/>
      <c r="D53" s="97"/>
      <c r="E53" s="148"/>
      <c r="F53" s="148"/>
      <c r="G53" s="97"/>
      <c r="H53" s="148"/>
      <c r="I53" s="99"/>
      <c r="J53" s="100"/>
      <c r="K53" s="103"/>
      <c r="L53" s="146"/>
      <c r="M53" s="103"/>
      <c r="N53" s="103"/>
      <c r="O53" s="103">
        <f t="shared" si="3"/>
        <v>0</v>
      </c>
      <c r="P53" s="104">
        <f t="shared" si="4"/>
        <v>0</v>
      </c>
      <c r="Q53" s="147"/>
      <c r="R53" s="103"/>
      <c r="S53" s="103">
        <f t="shared" si="6"/>
        <v>0</v>
      </c>
      <c r="U53" s="107" t="str">
        <f t="shared" si="7"/>
        <v>0</v>
      </c>
    </row>
    <row r="54" ht="15.75" customHeight="1">
      <c r="A54" s="145"/>
      <c r="B54" s="95"/>
      <c r="C54" s="97"/>
      <c r="D54" s="97"/>
      <c r="E54" s="148"/>
      <c r="F54" s="148"/>
      <c r="G54" s="97"/>
      <c r="H54" s="148"/>
      <c r="I54" s="99"/>
      <c r="J54" s="100"/>
      <c r="K54" s="103"/>
      <c r="L54" s="146"/>
      <c r="M54" s="103"/>
      <c r="N54" s="103"/>
      <c r="O54" s="103">
        <f t="shared" si="3"/>
        <v>0</v>
      </c>
      <c r="P54" s="104">
        <f t="shared" si="4"/>
        <v>0</v>
      </c>
      <c r="Q54" s="147"/>
      <c r="R54" s="103"/>
      <c r="S54" s="103">
        <f t="shared" si="6"/>
        <v>0</v>
      </c>
      <c r="U54" s="107" t="str">
        <f t="shared" si="7"/>
        <v>0</v>
      </c>
    </row>
    <row r="55" ht="15.75" customHeight="1">
      <c r="A55" s="145"/>
      <c r="B55" s="95"/>
      <c r="C55" s="97"/>
      <c r="D55" s="97"/>
      <c r="E55" s="148"/>
      <c r="F55" s="148"/>
      <c r="G55" s="97"/>
      <c r="H55" s="148"/>
      <c r="I55" s="99"/>
      <c r="J55" s="100"/>
      <c r="K55" s="103"/>
      <c r="L55" s="146"/>
      <c r="M55" s="103"/>
      <c r="N55" s="103"/>
      <c r="O55" s="103">
        <f t="shared" si="3"/>
        <v>0</v>
      </c>
      <c r="P55" s="104">
        <f t="shared" si="4"/>
        <v>0</v>
      </c>
      <c r="Q55" s="147"/>
      <c r="R55" s="103"/>
      <c r="S55" s="103">
        <f t="shared" si="6"/>
        <v>0</v>
      </c>
      <c r="U55" s="107" t="str">
        <f t="shared" si="7"/>
        <v>0</v>
      </c>
    </row>
    <row r="56" ht="15.75" customHeight="1">
      <c r="A56" s="145"/>
      <c r="B56" s="95"/>
      <c r="C56" s="97"/>
      <c r="D56" s="97"/>
      <c r="E56" s="148"/>
      <c r="F56" s="148"/>
      <c r="G56" s="97"/>
      <c r="H56" s="149"/>
      <c r="I56" s="99"/>
      <c r="J56" s="100"/>
      <c r="K56" s="103"/>
      <c r="L56" s="146"/>
      <c r="M56" s="103"/>
      <c r="N56" s="103"/>
      <c r="O56" s="103">
        <f t="shared" si="3"/>
        <v>0</v>
      </c>
      <c r="P56" s="104">
        <f t="shared" si="4"/>
        <v>0</v>
      </c>
      <c r="Q56" s="147"/>
      <c r="R56" s="103"/>
      <c r="S56" s="103">
        <f t="shared" si="6"/>
        <v>0</v>
      </c>
      <c r="U56" s="107" t="str">
        <f t="shared" si="7"/>
        <v>0</v>
      </c>
    </row>
    <row r="57" ht="15.75" customHeight="1">
      <c r="A57" s="145"/>
      <c r="B57" s="95"/>
      <c r="C57" s="97"/>
      <c r="D57" s="97"/>
      <c r="E57" s="148"/>
      <c r="F57" s="148"/>
      <c r="G57" s="97"/>
      <c r="H57" s="149"/>
      <c r="I57" s="99"/>
      <c r="J57" s="100"/>
      <c r="K57" s="103"/>
      <c r="L57" s="146"/>
      <c r="M57" s="103"/>
      <c r="N57" s="103"/>
      <c r="O57" s="103">
        <f t="shared" si="3"/>
        <v>0</v>
      </c>
      <c r="P57" s="104">
        <f t="shared" si="4"/>
        <v>0</v>
      </c>
      <c r="Q57" s="147"/>
      <c r="R57" s="103"/>
      <c r="S57" s="103">
        <f t="shared" si="6"/>
        <v>0</v>
      </c>
      <c r="U57" s="107" t="str">
        <f t="shared" si="7"/>
        <v>0</v>
      </c>
    </row>
    <row r="58" ht="15.75" customHeight="1">
      <c r="A58" s="145"/>
      <c r="B58" s="95"/>
      <c r="C58" s="97"/>
      <c r="D58" s="97"/>
      <c r="E58" s="148"/>
      <c r="F58" s="148"/>
      <c r="G58" s="97"/>
      <c r="H58" s="148"/>
      <c r="I58" s="99"/>
      <c r="J58" s="100"/>
      <c r="K58" s="103"/>
      <c r="L58" s="146"/>
      <c r="M58" s="103"/>
      <c r="N58" s="103"/>
      <c r="O58" s="103">
        <f t="shared" si="3"/>
        <v>0</v>
      </c>
      <c r="P58" s="104">
        <f t="shared" si="4"/>
        <v>0</v>
      </c>
      <c r="Q58" s="147"/>
      <c r="R58" s="103"/>
      <c r="S58" s="103">
        <f t="shared" si="6"/>
        <v>0</v>
      </c>
      <c r="U58" s="107" t="str">
        <f t="shared" si="7"/>
        <v>0</v>
      </c>
    </row>
    <row r="59" ht="15.75" customHeight="1">
      <c r="A59" s="145"/>
      <c r="B59" s="95"/>
      <c r="C59" s="97"/>
      <c r="D59" s="97"/>
      <c r="E59" s="148"/>
      <c r="F59" s="148"/>
      <c r="G59" s="97"/>
      <c r="H59" s="149"/>
      <c r="I59" s="99"/>
      <c r="J59" s="100"/>
      <c r="K59" s="103"/>
      <c r="L59" s="146"/>
      <c r="M59" s="103"/>
      <c r="N59" s="103"/>
      <c r="O59" s="103">
        <f t="shared" si="3"/>
        <v>0</v>
      </c>
      <c r="P59" s="104">
        <f t="shared" si="4"/>
        <v>0</v>
      </c>
      <c r="Q59" s="147"/>
      <c r="R59" s="103"/>
      <c r="S59" s="103">
        <f t="shared" si="6"/>
        <v>0</v>
      </c>
      <c r="U59" s="107" t="str">
        <f t="shared" si="7"/>
        <v>0</v>
      </c>
    </row>
    <row r="60" ht="15.75" customHeight="1">
      <c r="A60" s="145"/>
      <c r="B60" s="95"/>
      <c r="C60" s="97"/>
      <c r="D60" s="97"/>
      <c r="E60" s="148"/>
      <c r="F60" s="148"/>
      <c r="G60" s="97"/>
      <c r="H60" s="149"/>
      <c r="I60" s="99"/>
      <c r="J60" s="100"/>
      <c r="K60" s="103"/>
      <c r="L60" s="146"/>
      <c r="M60" s="103"/>
      <c r="N60" s="103"/>
      <c r="O60" s="103">
        <f t="shared" si="3"/>
        <v>0</v>
      </c>
      <c r="P60" s="104">
        <f t="shared" si="4"/>
        <v>0</v>
      </c>
      <c r="Q60" s="147"/>
      <c r="R60" s="103"/>
      <c r="S60" s="103">
        <f t="shared" si="6"/>
        <v>0</v>
      </c>
      <c r="U60" s="107" t="str">
        <f t="shared" si="7"/>
        <v>0</v>
      </c>
    </row>
    <row r="61" ht="15.75" customHeight="1">
      <c r="A61" s="145"/>
      <c r="B61" s="95"/>
      <c r="C61" s="97"/>
      <c r="D61" s="97"/>
      <c r="E61" s="148"/>
      <c r="F61" s="148"/>
      <c r="G61" s="97"/>
      <c r="H61" s="149"/>
      <c r="I61" s="99"/>
      <c r="J61" s="100"/>
      <c r="K61" s="103"/>
      <c r="L61" s="146"/>
      <c r="M61" s="103"/>
      <c r="N61" s="103"/>
      <c r="O61" s="103">
        <f t="shared" si="3"/>
        <v>0</v>
      </c>
      <c r="P61" s="104">
        <f t="shared" si="4"/>
        <v>0</v>
      </c>
      <c r="Q61" s="147"/>
      <c r="R61" s="103"/>
      <c r="S61" s="103">
        <f t="shared" si="6"/>
        <v>0</v>
      </c>
      <c r="U61" s="107" t="str">
        <f t="shared" si="7"/>
        <v>0</v>
      </c>
    </row>
    <row r="62" ht="15.75" customHeight="1">
      <c r="A62" s="145"/>
      <c r="B62" s="95"/>
      <c r="C62" s="97"/>
      <c r="D62" s="97"/>
      <c r="E62" s="148"/>
      <c r="F62" s="148"/>
      <c r="G62" s="97"/>
      <c r="H62" s="148"/>
      <c r="I62" s="99"/>
      <c r="J62" s="100"/>
      <c r="K62" s="103"/>
      <c r="L62" s="146"/>
      <c r="M62" s="103"/>
      <c r="N62" s="103"/>
      <c r="O62" s="103">
        <f t="shared" si="3"/>
        <v>0</v>
      </c>
      <c r="P62" s="104">
        <f t="shared" si="4"/>
        <v>0</v>
      </c>
      <c r="Q62" s="147"/>
      <c r="R62" s="103"/>
      <c r="S62" s="103">
        <f t="shared" si="6"/>
        <v>0</v>
      </c>
      <c r="U62" s="107" t="str">
        <f t="shared" si="7"/>
        <v>0</v>
      </c>
    </row>
    <row r="63" ht="15.75" customHeight="1">
      <c r="A63" s="145"/>
      <c r="B63" s="95"/>
      <c r="C63" s="97"/>
      <c r="D63" s="97"/>
      <c r="E63" s="148"/>
      <c r="F63" s="148"/>
      <c r="G63" s="97"/>
      <c r="H63" s="149"/>
      <c r="I63" s="99"/>
      <c r="J63" s="100"/>
      <c r="K63" s="103"/>
      <c r="L63" s="146"/>
      <c r="M63" s="103"/>
      <c r="N63" s="103"/>
      <c r="O63" s="103">
        <f t="shared" si="3"/>
        <v>0</v>
      </c>
      <c r="P63" s="104">
        <f t="shared" si="4"/>
        <v>0</v>
      </c>
      <c r="Q63" s="147"/>
      <c r="R63" s="103"/>
      <c r="S63" s="103">
        <f t="shared" si="6"/>
        <v>0</v>
      </c>
      <c r="U63" s="107" t="str">
        <f t="shared" si="7"/>
        <v>0</v>
      </c>
    </row>
    <row r="64" ht="15.75" customHeight="1">
      <c r="A64" s="145"/>
      <c r="B64" s="95"/>
      <c r="C64" s="97"/>
      <c r="D64" s="97"/>
      <c r="E64" s="148"/>
      <c r="F64" s="148"/>
      <c r="G64" s="97"/>
      <c r="H64" s="149"/>
      <c r="I64" s="99"/>
      <c r="J64" s="100"/>
      <c r="K64" s="103"/>
      <c r="L64" s="146"/>
      <c r="M64" s="103"/>
      <c r="N64" s="103"/>
      <c r="O64" s="103">
        <f t="shared" si="3"/>
        <v>0</v>
      </c>
      <c r="P64" s="104">
        <f t="shared" si="4"/>
        <v>0</v>
      </c>
      <c r="Q64" s="147"/>
      <c r="R64" s="103"/>
      <c r="S64" s="103">
        <f t="shared" si="6"/>
        <v>0</v>
      </c>
      <c r="U64" s="107" t="str">
        <f t="shared" si="7"/>
        <v>0</v>
      </c>
    </row>
    <row r="65" ht="15.75" customHeight="1">
      <c r="A65" s="145"/>
      <c r="B65" s="95"/>
      <c r="C65" s="97"/>
      <c r="D65" s="97"/>
      <c r="E65" s="148"/>
      <c r="F65" s="148"/>
      <c r="G65" s="97"/>
      <c r="H65" s="149"/>
      <c r="I65" s="99"/>
      <c r="J65" s="100"/>
      <c r="K65" s="103"/>
      <c r="L65" s="146"/>
      <c r="M65" s="103"/>
      <c r="N65" s="103"/>
      <c r="O65" s="103">
        <f t="shared" si="3"/>
        <v>0</v>
      </c>
      <c r="P65" s="104">
        <f t="shared" si="4"/>
        <v>0</v>
      </c>
      <c r="Q65" s="147"/>
      <c r="R65" s="103"/>
      <c r="S65" s="103">
        <f t="shared" si="6"/>
        <v>0</v>
      </c>
      <c r="U65" s="107" t="str">
        <f t="shared" si="7"/>
        <v>0</v>
      </c>
    </row>
    <row r="66" ht="15.75" customHeight="1">
      <c r="A66" s="145"/>
      <c r="B66" s="95"/>
      <c r="C66" s="97"/>
      <c r="D66" s="97"/>
      <c r="E66" s="148"/>
      <c r="F66" s="148"/>
      <c r="G66" s="97"/>
      <c r="H66" s="148"/>
      <c r="I66" s="99"/>
      <c r="J66" s="100"/>
      <c r="K66" s="103"/>
      <c r="L66" s="146"/>
      <c r="M66" s="103"/>
      <c r="N66" s="103"/>
      <c r="O66" s="103">
        <f t="shared" si="3"/>
        <v>0</v>
      </c>
      <c r="P66" s="104">
        <f t="shared" si="4"/>
        <v>0</v>
      </c>
      <c r="Q66" s="147"/>
      <c r="R66" s="103"/>
      <c r="S66" s="103">
        <f t="shared" si="6"/>
        <v>0</v>
      </c>
      <c r="U66" s="107" t="str">
        <f t="shared" si="7"/>
        <v>0</v>
      </c>
    </row>
    <row r="67" ht="15.75" customHeight="1">
      <c r="A67" s="145"/>
      <c r="B67" s="95"/>
      <c r="C67" s="97"/>
      <c r="D67" s="97"/>
      <c r="E67" s="148"/>
      <c r="F67" s="148"/>
      <c r="G67" s="97"/>
      <c r="H67" s="149"/>
      <c r="I67" s="99"/>
      <c r="J67" s="100"/>
      <c r="K67" s="103"/>
      <c r="L67" s="146"/>
      <c r="M67" s="103"/>
      <c r="N67" s="103"/>
      <c r="O67" s="103">
        <f t="shared" si="3"/>
        <v>0</v>
      </c>
      <c r="P67" s="104">
        <f t="shared" si="4"/>
        <v>0</v>
      </c>
      <c r="Q67" s="147"/>
      <c r="R67" s="103"/>
      <c r="S67" s="103">
        <f t="shared" si="6"/>
        <v>0</v>
      </c>
      <c r="U67" s="107" t="str">
        <f t="shared" si="7"/>
        <v>0</v>
      </c>
    </row>
    <row r="68" ht="15.75" customHeight="1">
      <c r="A68" s="145"/>
      <c r="B68" s="95"/>
      <c r="C68" s="97"/>
      <c r="D68" s="97"/>
      <c r="E68" s="148"/>
      <c r="F68" s="148"/>
      <c r="G68" s="97"/>
      <c r="H68" s="148"/>
      <c r="I68" s="99"/>
      <c r="J68" s="100"/>
      <c r="K68" s="103"/>
      <c r="L68" s="146"/>
      <c r="M68" s="103"/>
      <c r="N68" s="103"/>
      <c r="O68" s="103">
        <f t="shared" si="3"/>
        <v>0</v>
      </c>
      <c r="P68" s="104">
        <f t="shared" si="4"/>
        <v>0</v>
      </c>
      <c r="Q68" s="147"/>
      <c r="R68" s="103"/>
      <c r="S68" s="103">
        <f t="shared" si="6"/>
        <v>0</v>
      </c>
      <c r="U68" s="107" t="str">
        <f t="shared" si="7"/>
        <v>0</v>
      </c>
    </row>
    <row r="69" ht="15.75" customHeight="1">
      <c r="A69" s="145"/>
      <c r="B69" s="95"/>
      <c r="C69" s="97"/>
      <c r="D69" s="97"/>
      <c r="E69" s="148"/>
      <c r="F69" s="148"/>
      <c r="G69" s="97"/>
      <c r="H69" s="148"/>
      <c r="I69" s="99"/>
      <c r="J69" s="100"/>
      <c r="K69" s="103"/>
      <c r="L69" s="146"/>
      <c r="M69" s="103"/>
      <c r="N69" s="103"/>
      <c r="O69" s="103">
        <f t="shared" si="3"/>
        <v>0</v>
      </c>
      <c r="P69" s="104">
        <f t="shared" si="4"/>
        <v>0</v>
      </c>
      <c r="Q69" s="147"/>
      <c r="R69" s="103"/>
      <c r="S69" s="103">
        <f t="shared" si="6"/>
        <v>0</v>
      </c>
      <c r="U69" s="107" t="str">
        <f t="shared" si="7"/>
        <v>0</v>
      </c>
    </row>
    <row r="70" ht="15.75" customHeight="1">
      <c r="A70" s="145"/>
      <c r="B70" s="95"/>
      <c r="C70" s="97"/>
      <c r="D70" s="97"/>
      <c r="E70" s="148"/>
      <c r="F70" s="148"/>
      <c r="G70" s="97"/>
      <c r="H70" s="149"/>
      <c r="I70" s="99"/>
      <c r="J70" s="100"/>
      <c r="K70" s="103"/>
      <c r="L70" s="146"/>
      <c r="M70" s="103"/>
      <c r="N70" s="103"/>
      <c r="O70" s="103">
        <f t="shared" si="3"/>
        <v>0</v>
      </c>
      <c r="P70" s="104">
        <f t="shared" si="4"/>
        <v>0</v>
      </c>
      <c r="Q70" s="147"/>
      <c r="R70" s="103"/>
      <c r="S70" s="103">
        <f t="shared" si="6"/>
        <v>0</v>
      </c>
      <c r="U70" s="107" t="str">
        <f t="shared" si="7"/>
        <v>0</v>
      </c>
    </row>
    <row r="71" ht="15.75" customHeight="1">
      <c r="A71" s="145"/>
      <c r="B71" s="95"/>
      <c r="C71" s="97"/>
      <c r="D71" s="97"/>
      <c r="E71" s="148"/>
      <c r="F71" s="148"/>
      <c r="G71" s="97"/>
      <c r="H71" s="148"/>
      <c r="I71" s="99"/>
      <c r="J71" s="100"/>
      <c r="K71" s="103"/>
      <c r="L71" s="146"/>
      <c r="M71" s="103"/>
      <c r="N71" s="103"/>
      <c r="O71" s="103">
        <f t="shared" si="3"/>
        <v>0</v>
      </c>
      <c r="P71" s="104">
        <f t="shared" si="4"/>
        <v>0</v>
      </c>
      <c r="Q71" s="147"/>
      <c r="R71" s="103"/>
      <c r="S71" s="103">
        <f t="shared" si="6"/>
        <v>0</v>
      </c>
      <c r="U71" s="107" t="str">
        <f t="shared" si="7"/>
        <v>0</v>
      </c>
    </row>
    <row r="72" ht="15.75" customHeight="1">
      <c r="A72" s="145"/>
      <c r="B72" s="95"/>
      <c r="C72" s="97"/>
      <c r="D72" s="97"/>
      <c r="E72" s="148"/>
      <c r="F72" s="148"/>
      <c r="G72" s="97"/>
      <c r="H72" s="149"/>
      <c r="I72" s="99"/>
      <c r="J72" s="100"/>
      <c r="K72" s="103"/>
      <c r="L72" s="146"/>
      <c r="M72" s="103"/>
      <c r="N72" s="103"/>
      <c r="O72" s="103">
        <f t="shared" si="3"/>
        <v>0</v>
      </c>
      <c r="P72" s="104">
        <f t="shared" si="4"/>
        <v>0</v>
      </c>
      <c r="Q72" s="147"/>
      <c r="R72" s="103"/>
      <c r="S72" s="103">
        <f t="shared" si="6"/>
        <v>0</v>
      </c>
      <c r="U72" s="107" t="str">
        <f t="shared" si="7"/>
        <v>0</v>
      </c>
    </row>
    <row r="73" ht="15.75" customHeight="1">
      <c r="A73" s="145"/>
      <c r="B73" s="95"/>
      <c r="C73" s="97"/>
      <c r="D73" s="97"/>
      <c r="E73" s="148"/>
      <c r="F73" s="148"/>
      <c r="G73" s="97"/>
      <c r="H73" s="149"/>
      <c r="I73" s="99"/>
      <c r="J73" s="100"/>
      <c r="K73" s="103"/>
      <c r="L73" s="146"/>
      <c r="M73" s="103"/>
      <c r="N73" s="103"/>
      <c r="O73" s="103">
        <f t="shared" si="3"/>
        <v>0</v>
      </c>
      <c r="P73" s="104">
        <f t="shared" si="4"/>
        <v>0</v>
      </c>
      <c r="Q73" s="147"/>
      <c r="R73" s="103"/>
      <c r="S73" s="103">
        <f t="shared" si="6"/>
        <v>0</v>
      </c>
      <c r="U73" s="107" t="str">
        <f t="shared" si="7"/>
        <v>0</v>
      </c>
    </row>
    <row r="74" ht="15.75" customHeight="1">
      <c r="A74" s="145"/>
      <c r="B74" s="95"/>
      <c r="C74" s="97"/>
      <c r="D74" s="97"/>
      <c r="E74" s="148"/>
      <c r="F74" s="148"/>
      <c r="G74" s="97"/>
      <c r="H74" s="149"/>
      <c r="I74" s="99"/>
      <c r="J74" s="100"/>
      <c r="K74" s="103"/>
      <c r="L74" s="146"/>
      <c r="M74" s="103"/>
      <c r="N74" s="103"/>
      <c r="O74" s="103">
        <f t="shared" si="3"/>
        <v>0</v>
      </c>
      <c r="P74" s="104">
        <f t="shared" si="4"/>
        <v>0</v>
      </c>
      <c r="Q74" s="147"/>
      <c r="R74" s="103"/>
      <c r="S74" s="103">
        <f t="shared" si="6"/>
        <v>0</v>
      </c>
      <c r="U74" s="107" t="str">
        <f t="shared" si="7"/>
        <v>0</v>
      </c>
    </row>
    <row r="75" ht="15.75" customHeight="1">
      <c r="A75" s="145"/>
      <c r="B75" s="95"/>
      <c r="C75" s="97"/>
      <c r="D75" s="97"/>
      <c r="E75" s="148"/>
      <c r="F75" s="148"/>
      <c r="G75" s="97"/>
      <c r="H75" s="149"/>
      <c r="I75" s="99"/>
      <c r="J75" s="100"/>
      <c r="K75" s="103"/>
      <c r="L75" s="146"/>
      <c r="M75" s="103"/>
      <c r="N75" s="103"/>
      <c r="O75" s="103">
        <f t="shared" si="3"/>
        <v>0</v>
      </c>
      <c r="P75" s="104">
        <f t="shared" si="4"/>
        <v>0</v>
      </c>
      <c r="Q75" s="147"/>
      <c r="R75" s="103"/>
      <c r="S75" s="103">
        <f t="shared" si="6"/>
        <v>0</v>
      </c>
      <c r="U75" s="107" t="str">
        <f t="shared" si="7"/>
        <v>0</v>
      </c>
    </row>
    <row r="76" ht="15.75" customHeight="1">
      <c r="A76" s="145"/>
      <c r="B76" s="95"/>
      <c r="C76" s="97"/>
      <c r="D76" s="97"/>
      <c r="E76" s="148"/>
      <c r="F76" s="148"/>
      <c r="G76" s="97"/>
      <c r="H76" s="149"/>
      <c r="I76" s="99"/>
      <c r="J76" s="100"/>
      <c r="K76" s="103"/>
      <c r="L76" s="146"/>
      <c r="M76" s="103"/>
      <c r="N76" s="103"/>
      <c r="O76" s="103">
        <f t="shared" si="3"/>
        <v>0</v>
      </c>
      <c r="P76" s="104">
        <f t="shared" si="4"/>
        <v>0</v>
      </c>
      <c r="Q76" s="147"/>
      <c r="R76" s="103"/>
      <c r="S76" s="103">
        <f t="shared" si="6"/>
        <v>0</v>
      </c>
      <c r="U76" s="107" t="str">
        <f t="shared" si="7"/>
        <v>0</v>
      </c>
    </row>
    <row r="77" ht="15.75" customHeight="1">
      <c r="A77" s="145"/>
      <c r="B77" s="95"/>
      <c r="C77" s="97"/>
      <c r="D77" s="97"/>
      <c r="E77" s="148"/>
      <c r="F77" s="148"/>
      <c r="G77" s="97"/>
      <c r="H77" s="148"/>
      <c r="I77" s="99"/>
      <c r="J77" s="100"/>
      <c r="K77" s="103"/>
      <c r="L77" s="146"/>
      <c r="M77" s="103"/>
      <c r="N77" s="103"/>
      <c r="O77" s="103">
        <f t="shared" si="3"/>
        <v>0</v>
      </c>
      <c r="P77" s="104">
        <f t="shared" si="4"/>
        <v>0</v>
      </c>
      <c r="Q77" s="147"/>
      <c r="R77" s="103"/>
      <c r="S77" s="103">
        <f t="shared" si="6"/>
        <v>0</v>
      </c>
      <c r="U77" s="107" t="str">
        <f t="shared" si="7"/>
        <v>0</v>
      </c>
    </row>
    <row r="78" ht="15.75" customHeight="1">
      <c r="A78" s="145"/>
      <c r="B78" s="95"/>
      <c r="C78" s="97"/>
      <c r="D78" s="97"/>
      <c r="E78" s="148"/>
      <c r="F78" s="148"/>
      <c r="G78" s="97"/>
      <c r="H78" s="149"/>
      <c r="I78" s="99"/>
      <c r="J78" s="100"/>
      <c r="K78" s="103"/>
      <c r="L78" s="146"/>
      <c r="M78" s="103"/>
      <c r="N78" s="103"/>
      <c r="O78" s="103">
        <f t="shared" si="3"/>
        <v>0</v>
      </c>
      <c r="P78" s="104">
        <f t="shared" si="4"/>
        <v>0</v>
      </c>
      <c r="Q78" s="147"/>
      <c r="R78" s="103"/>
      <c r="S78" s="103">
        <f t="shared" si="6"/>
        <v>0</v>
      </c>
      <c r="U78" s="107" t="str">
        <f t="shared" si="7"/>
        <v>0</v>
      </c>
    </row>
    <row r="79" ht="15.75" customHeight="1">
      <c r="A79" s="145"/>
      <c r="B79" s="95"/>
      <c r="C79" s="97"/>
      <c r="D79" s="97"/>
      <c r="E79" s="148"/>
      <c r="F79" s="148"/>
      <c r="G79" s="97"/>
      <c r="H79" s="149"/>
      <c r="I79" s="99"/>
      <c r="J79" s="100"/>
      <c r="K79" s="103"/>
      <c r="L79" s="146"/>
      <c r="M79" s="103"/>
      <c r="N79" s="103"/>
      <c r="O79" s="103">
        <f t="shared" si="3"/>
        <v>0</v>
      </c>
      <c r="P79" s="104">
        <f t="shared" si="4"/>
        <v>0</v>
      </c>
      <c r="Q79" s="147"/>
      <c r="R79" s="103"/>
      <c r="S79" s="103">
        <f t="shared" si="6"/>
        <v>0</v>
      </c>
      <c r="U79" s="107" t="str">
        <f t="shared" si="7"/>
        <v>0</v>
      </c>
    </row>
    <row r="80" ht="15.75" customHeight="1">
      <c r="A80" s="145"/>
      <c r="B80" s="95"/>
      <c r="C80" s="97"/>
      <c r="D80" s="97"/>
      <c r="E80" s="148"/>
      <c r="F80" s="148"/>
      <c r="G80" s="97"/>
      <c r="H80" s="149"/>
      <c r="I80" s="99"/>
      <c r="J80" s="100"/>
      <c r="K80" s="103"/>
      <c r="L80" s="146"/>
      <c r="M80" s="103"/>
      <c r="N80" s="103"/>
      <c r="O80" s="103">
        <f t="shared" si="3"/>
        <v>0</v>
      </c>
      <c r="P80" s="104">
        <f t="shared" si="4"/>
        <v>0</v>
      </c>
      <c r="Q80" s="147"/>
      <c r="R80" s="103"/>
      <c r="S80" s="103">
        <f t="shared" si="6"/>
        <v>0</v>
      </c>
      <c r="U80" s="107" t="str">
        <f t="shared" si="7"/>
        <v>0</v>
      </c>
    </row>
    <row r="81" ht="15.75" customHeight="1">
      <c r="A81" s="145"/>
      <c r="B81" s="95"/>
      <c r="C81" s="97"/>
      <c r="D81" s="97"/>
      <c r="E81" s="148"/>
      <c r="F81" s="148"/>
      <c r="G81" s="97"/>
      <c r="H81" s="149"/>
      <c r="I81" s="99"/>
      <c r="J81" s="100"/>
      <c r="K81" s="103"/>
      <c r="L81" s="146"/>
      <c r="M81" s="103"/>
      <c r="N81" s="103"/>
      <c r="O81" s="103">
        <f t="shared" si="3"/>
        <v>0</v>
      </c>
      <c r="P81" s="104">
        <f t="shared" si="4"/>
        <v>0</v>
      </c>
      <c r="Q81" s="147"/>
      <c r="R81" s="103"/>
      <c r="S81" s="103">
        <f t="shared" si="6"/>
        <v>0</v>
      </c>
      <c r="U81" s="107" t="str">
        <f t="shared" si="7"/>
        <v>0</v>
      </c>
    </row>
    <row r="82" ht="15.75" customHeight="1">
      <c r="A82" s="145"/>
      <c r="B82" s="95"/>
      <c r="C82" s="97"/>
      <c r="D82" s="97"/>
      <c r="E82" s="148"/>
      <c r="F82" s="148"/>
      <c r="G82" s="97"/>
      <c r="H82" s="149"/>
      <c r="I82" s="99"/>
      <c r="J82" s="100"/>
      <c r="K82" s="103"/>
      <c r="L82" s="146"/>
      <c r="M82" s="103"/>
      <c r="N82" s="103"/>
      <c r="O82" s="103">
        <f t="shared" si="3"/>
        <v>0</v>
      </c>
      <c r="P82" s="104">
        <f t="shared" si="4"/>
        <v>0</v>
      </c>
      <c r="Q82" s="147"/>
      <c r="R82" s="103"/>
      <c r="S82" s="103">
        <f t="shared" si="6"/>
        <v>0</v>
      </c>
      <c r="U82" s="107" t="str">
        <f t="shared" si="7"/>
        <v>0</v>
      </c>
    </row>
    <row r="83" ht="15.75" customHeight="1">
      <c r="A83" s="145"/>
      <c r="B83" s="95"/>
      <c r="C83" s="97"/>
      <c r="D83" s="97"/>
      <c r="E83" s="148"/>
      <c r="F83" s="148"/>
      <c r="G83" s="97"/>
      <c r="H83" s="149"/>
      <c r="I83" s="99"/>
      <c r="J83" s="100"/>
      <c r="K83" s="103"/>
      <c r="L83" s="146"/>
      <c r="M83" s="103"/>
      <c r="N83" s="103"/>
      <c r="O83" s="103">
        <f t="shared" si="3"/>
        <v>0</v>
      </c>
      <c r="P83" s="104">
        <f t="shared" si="4"/>
        <v>0</v>
      </c>
      <c r="Q83" s="147"/>
      <c r="R83" s="103"/>
      <c r="S83" s="103">
        <f t="shared" si="6"/>
        <v>0</v>
      </c>
      <c r="U83" s="107" t="str">
        <f t="shared" si="7"/>
        <v>0</v>
      </c>
    </row>
    <row r="84" ht="15.75" customHeight="1">
      <c r="A84" s="145"/>
      <c r="B84" s="95"/>
      <c r="C84" s="97"/>
      <c r="D84" s="97"/>
      <c r="E84" s="148"/>
      <c r="F84" s="148"/>
      <c r="G84" s="97"/>
      <c r="H84" s="149"/>
      <c r="I84" s="99"/>
      <c r="J84" s="100"/>
      <c r="K84" s="103"/>
      <c r="L84" s="146"/>
      <c r="M84" s="103"/>
      <c r="N84" s="103"/>
      <c r="O84" s="103">
        <f t="shared" si="3"/>
        <v>0</v>
      </c>
      <c r="P84" s="104">
        <f t="shared" si="4"/>
        <v>0</v>
      </c>
      <c r="Q84" s="147"/>
      <c r="R84" s="103"/>
      <c r="S84" s="103">
        <f t="shared" si="6"/>
        <v>0</v>
      </c>
      <c r="U84" s="107" t="str">
        <f t="shared" si="7"/>
        <v>0</v>
      </c>
    </row>
    <row r="85" ht="15.75" customHeight="1">
      <c r="A85" s="145"/>
      <c r="B85" s="95"/>
      <c r="C85" s="97"/>
      <c r="D85" s="97"/>
      <c r="E85" s="148"/>
      <c r="F85" s="148"/>
      <c r="G85" s="97"/>
      <c r="H85" s="149"/>
      <c r="I85" s="99"/>
      <c r="J85" s="100"/>
      <c r="K85" s="103"/>
      <c r="L85" s="146"/>
      <c r="M85" s="103"/>
      <c r="N85" s="103"/>
      <c r="O85" s="103">
        <f t="shared" si="3"/>
        <v>0</v>
      </c>
      <c r="P85" s="104">
        <f t="shared" si="4"/>
        <v>0</v>
      </c>
      <c r="Q85" s="147"/>
      <c r="R85" s="103"/>
      <c r="S85" s="103">
        <f t="shared" si="6"/>
        <v>0</v>
      </c>
      <c r="U85" s="107" t="str">
        <f t="shared" si="7"/>
        <v>0</v>
      </c>
    </row>
    <row r="86" ht="15.75" customHeight="1">
      <c r="A86" s="145"/>
      <c r="B86" s="95"/>
      <c r="C86" s="97"/>
      <c r="D86" s="97"/>
      <c r="E86" s="148"/>
      <c r="F86" s="148"/>
      <c r="G86" s="97"/>
      <c r="H86" s="148"/>
      <c r="I86" s="99"/>
      <c r="J86" s="100"/>
      <c r="K86" s="103"/>
      <c r="L86" s="146"/>
      <c r="M86" s="103"/>
      <c r="N86" s="103"/>
      <c r="O86" s="103">
        <f t="shared" si="3"/>
        <v>0</v>
      </c>
      <c r="P86" s="104">
        <f t="shared" si="4"/>
        <v>0</v>
      </c>
      <c r="Q86" s="147"/>
      <c r="R86" s="103"/>
      <c r="S86" s="103">
        <f t="shared" si="6"/>
        <v>0</v>
      </c>
      <c r="U86" s="107" t="str">
        <f t="shared" si="7"/>
        <v>0</v>
      </c>
    </row>
    <row r="87" ht="15.75" customHeight="1">
      <c r="A87" s="145"/>
      <c r="B87" s="95"/>
      <c r="C87" s="97"/>
      <c r="D87" s="97"/>
      <c r="E87" s="148"/>
      <c r="F87" s="148"/>
      <c r="G87" s="97"/>
      <c r="H87" s="149"/>
      <c r="I87" s="99"/>
      <c r="J87" s="100"/>
      <c r="K87" s="103"/>
      <c r="L87" s="146"/>
      <c r="M87" s="103"/>
      <c r="N87" s="103"/>
      <c r="O87" s="103">
        <f t="shared" si="3"/>
        <v>0</v>
      </c>
      <c r="P87" s="104">
        <f t="shared" si="4"/>
        <v>0</v>
      </c>
      <c r="Q87" s="147"/>
      <c r="R87" s="103"/>
      <c r="S87" s="103">
        <f t="shared" si="6"/>
        <v>0</v>
      </c>
      <c r="U87" s="107" t="str">
        <f t="shared" si="7"/>
        <v>0</v>
      </c>
    </row>
    <row r="88" ht="15.75" customHeight="1">
      <c r="A88" s="145"/>
      <c r="B88" s="95"/>
      <c r="C88" s="97"/>
      <c r="D88" s="97"/>
      <c r="E88" s="148"/>
      <c r="F88" s="148"/>
      <c r="G88" s="97"/>
      <c r="H88" s="149"/>
      <c r="I88" s="99"/>
      <c r="J88" s="100"/>
      <c r="K88" s="103"/>
      <c r="L88" s="146"/>
      <c r="M88" s="103"/>
      <c r="N88" s="103"/>
      <c r="O88" s="103">
        <f t="shared" si="3"/>
        <v>0</v>
      </c>
      <c r="P88" s="104">
        <f t="shared" si="4"/>
        <v>0</v>
      </c>
      <c r="Q88" s="147"/>
      <c r="R88" s="103"/>
      <c r="S88" s="103">
        <f t="shared" si="6"/>
        <v>0</v>
      </c>
      <c r="U88" s="107" t="str">
        <f t="shared" si="7"/>
        <v>0</v>
      </c>
    </row>
    <row r="89" ht="15.75" customHeight="1">
      <c r="A89" s="145"/>
      <c r="B89" s="95"/>
      <c r="C89" s="97"/>
      <c r="D89" s="97"/>
      <c r="E89" s="148"/>
      <c r="F89" s="148"/>
      <c r="G89" s="97"/>
      <c r="H89" s="148"/>
      <c r="I89" s="99"/>
      <c r="J89" s="100"/>
      <c r="K89" s="103"/>
      <c r="L89" s="146"/>
      <c r="M89" s="103"/>
      <c r="N89" s="103"/>
      <c r="O89" s="103">
        <f t="shared" si="3"/>
        <v>0</v>
      </c>
      <c r="P89" s="104">
        <f t="shared" si="4"/>
        <v>0</v>
      </c>
      <c r="Q89" s="147"/>
      <c r="R89" s="103"/>
      <c r="S89" s="103">
        <f t="shared" si="6"/>
        <v>0</v>
      </c>
      <c r="U89" s="107" t="str">
        <f t="shared" si="7"/>
        <v>0</v>
      </c>
    </row>
    <row r="90" ht="15.75" customHeight="1">
      <c r="A90" s="145"/>
      <c r="B90" s="95"/>
      <c r="C90" s="97"/>
      <c r="D90" s="97"/>
      <c r="E90" s="148"/>
      <c r="F90" s="148"/>
      <c r="G90" s="97"/>
      <c r="H90" s="148"/>
      <c r="I90" s="99"/>
      <c r="J90" s="100"/>
      <c r="K90" s="103"/>
      <c r="L90" s="146"/>
      <c r="M90" s="103"/>
      <c r="N90" s="103"/>
      <c r="O90" s="103">
        <f t="shared" si="3"/>
        <v>0</v>
      </c>
      <c r="P90" s="104">
        <f t="shared" si="4"/>
        <v>0</v>
      </c>
      <c r="Q90" s="147"/>
      <c r="R90" s="103"/>
      <c r="S90" s="103">
        <f t="shared" si="6"/>
        <v>0</v>
      </c>
      <c r="U90" s="107" t="str">
        <f t="shared" si="7"/>
        <v>0</v>
      </c>
    </row>
    <row r="91" ht="15.75" customHeight="1">
      <c r="A91" s="145"/>
      <c r="B91" s="95"/>
      <c r="C91" s="97"/>
      <c r="D91" s="97"/>
      <c r="E91" s="148"/>
      <c r="F91" s="148"/>
      <c r="G91" s="97"/>
      <c r="H91" s="149"/>
      <c r="I91" s="99"/>
      <c r="J91" s="100"/>
      <c r="K91" s="103"/>
      <c r="L91" s="146"/>
      <c r="M91" s="103"/>
      <c r="N91" s="103"/>
      <c r="O91" s="103">
        <f t="shared" si="3"/>
        <v>0</v>
      </c>
      <c r="P91" s="104">
        <f t="shared" si="4"/>
        <v>0</v>
      </c>
      <c r="Q91" s="147"/>
      <c r="R91" s="103"/>
      <c r="S91" s="103">
        <f t="shared" si="6"/>
        <v>0</v>
      </c>
      <c r="U91" s="107" t="str">
        <f t="shared" si="7"/>
        <v>0</v>
      </c>
    </row>
    <row r="92" ht="15.75" customHeight="1">
      <c r="A92" s="145"/>
      <c r="B92" s="95"/>
      <c r="C92" s="97"/>
      <c r="D92" s="97"/>
      <c r="E92" s="148"/>
      <c r="F92" s="148"/>
      <c r="G92" s="97"/>
      <c r="H92" s="148"/>
      <c r="I92" s="99"/>
      <c r="J92" s="100"/>
      <c r="K92" s="103"/>
      <c r="L92" s="146"/>
      <c r="M92" s="103"/>
      <c r="N92" s="103"/>
      <c r="O92" s="103">
        <f t="shared" si="3"/>
        <v>0</v>
      </c>
      <c r="P92" s="104">
        <f t="shared" si="4"/>
        <v>0</v>
      </c>
      <c r="Q92" s="147"/>
      <c r="R92" s="103"/>
      <c r="S92" s="103">
        <f t="shared" si="6"/>
        <v>0</v>
      </c>
      <c r="U92" s="107" t="str">
        <f t="shared" si="7"/>
        <v>0</v>
      </c>
    </row>
    <row r="93" ht="15.75" customHeight="1">
      <c r="A93" s="145"/>
      <c r="B93" s="95"/>
      <c r="C93" s="97"/>
      <c r="D93" s="97"/>
      <c r="E93" s="148"/>
      <c r="F93" s="148"/>
      <c r="G93" s="97"/>
      <c r="H93" s="149"/>
      <c r="I93" s="99"/>
      <c r="J93" s="100"/>
      <c r="K93" s="103"/>
      <c r="L93" s="146"/>
      <c r="M93" s="103"/>
      <c r="N93" s="103"/>
      <c r="O93" s="103">
        <f t="shared" si="3"/>
        <v>0</v>
      </c>
      <c r="P93" s="104">
        <f t="shared" si="4"/>
        <v>0</v>
      </c>
      <c r="Q93" s="147"/>
      <c r="R93" s="103"/>
      <c r="S93" s="103">
        <f t="shared" si="6"/>
        <v>0</v>
      </c>
      <c r="U93" s="107" t="str">
        <f t="shared" si="7"/>
        <v>0</v>
      </c>
    </row>
    <row r="94" ht="15.75" customHeight="1">
      <c r="A94" s="145"/>
      <c r="B94" s="95"/>
      <c r="C94" s="97"/>
      <c r="D94" s="97"/>
      <c r="E94" s="148"/>
      <c r="F94" s="148"/>
      <c r="G94" s="97"/>
      <c r="H94" s="149"/>
      <c r="I94" s="99"/>
      <c r="J94" s="100"/>
      <c r="K94" s="103"/>
      <c r="L94" s="146"/>
      <c r="M94" s="103"/>
      <c r="N94" s="103"/>
      <c r="O94" s="103">
        <f t="shared" si="3"/>
        <v>0</v>
      </c>
      <c r="P94" s="104">
        <f t="shared" si="4"/>
        <v>0</v>
      </c>
      <c r="Q94" s="147"/>
      <c r="R94" s="103"/>
      <c r="S94" s="103">
        <f t="shared" si="6"/>
        <v>0</v>
      </c>
      <c r="U94" s="107" t="str">
        <f t="shared" si="7"/>
        <v>0</v>
      </c>
    </row>
    <row r="95" ht="15.75" customHeight="1">
      <c r="A95" s="145"/>
      <c r="B95" s="95"/>
      <c r="C95" s="97"/>
      <c r="D95" s="97"/>
      <c r="E95" s="148"/>
      <c r="F95" s="148"/>
      <c r="G95" s="97"/>
      <c r="H95" s="149"/>
      <c r="I95" s="99"/>
      <c r="J95" s="100"/>
      <c r="K95" s="103"/>
      <c r="L95" s="146"/>
      <c r="M95" s="103"/>
      <c r="N95" s="103"/>
      <c r="O95" s="103">
        <f t="shared" si="3"/>
        <v>0</v>
      </c>
      <c r="P95" s="104">
        <f t="shared" si="4"/>
        <v>0</v>
      </c>
      <c r="Q95" s="147"/>
      <c r="R95" s="103"/>
      <c r="S95" s="103">
        <f t="shared" si="6"/>
        <v>0</v>
      </c>
      <c r="U95" s="107" t="str">
        <f t="shared" si="7"/>
        <v>0</v>
      </c>
    </row>
    <row r="96" ht="15.75" customHeight="1">
      <c r="A96" s="145"/>
      <c r="B96" s="95"/>
      <c r="C96" s="97"/>
      <c r="D96" s="97"/>
      <c r="E96" s="148"/>
      <c r="F96" s="148"/>
      <c r="G96" s="97"/>
      <c r="H96" s="149"/>
      <c r="I96" s="99"/>
      <c r="J96" s="100"/>
      <c r="K96" s="103"/>
      <c r="L96" s="146"/>
      <c r="M96" s="103"/>
      <c r="N96" s="103"/>
      <c r="O96" s="103">
        <f t="shared" si="3"/>
        <v>0</v>
      </c>
      <c r="P96" s="104">
        <f t="shared" si="4"/>
        <v>0</v>
      </c>
      <c r="Q96" s="147"/>
      <c r="R96" s="103"/>
      <c r="S96" s="103">
        <f t="shared" si="6"/>
        <v>0</v>
      </c>
      <c r="U96" s="107" t="str">
        <f t="shared" si="7"/>
        <v>0</v>
      </c>
    </row>
    <row r="97" ht="15.75" customHeight="1">
      <c r="A97" s="145"/>
      <c r="B97" s="95"/>
      <c r="C97" s="97"/>
      <c r="D97" s="97"/>
      <c r="E97" s="148"/>
      <c r="F97" s="148"/>
      <c r="G97" s="97"/>
      <c r="H97" s="149"/>
      <c r="I97" s="99"/>
      <c r="J97" s="100"/>
      <c r="K97" s="103"/>
      <c r="L97" s="146"/>
      <c r="M97" s="103"/>
      <c r="N97" s="103"/>
      <c r="O97" s="103">
        <f t="shared" si="3"/>
        <v>0</v>
      </c>
      <c r="P97" s="104">
        <f t="shared" si="4"/>
        <v>0</v>
      </c>
      <c r="Q97" s="147"/>
      <c r="R97" s="103"/>
      <c r="S97" s="103">
        <f t="shared" si="6"/>
        <v>0</v>
      </c>
      <c r="U97" s="107" t="str">
        <f t="shared" si="7"/>
        <v>0</v>
      </c>
    </row>
    <row r="98" ht="15.75" customHeight="1">
      <c r="A98" s="145"/>
      <c r="B98" s="95"/>
      <c r="C98" s="97"/>
      <c r="D98" s="97"/>
      <c r="E98" s="148"/>
      <c r="F98" s="148"/>
      <c r="G98" s="97"/>
      <c r="H98" s="149"/>
      <c r="I98" s="99"/>
      <c r="J98" s="100"/>
      <c r="K98" s="103"/>
      <c r="L98" s="146"/>
      <c r="M98" s="103"/>
      <c r="N98" s="103"/>
      <c r="O98" s="103">
        <f t="shared" si="3"/>
        <v>0</v>
      </c>
      <c r="P98" s="104">
        <f t="shared" si="4"/>
        <v>0</v>
      </c>
      <c r="Q98" s="147"/>
      <c r="R98" s="103"/>
      <c r="S98" s="103">
        <f t="shared" si="6"/>
        <v>0</v>
      </c>
      <c r="U98" s="107" t="str">
        <f t="shared" si="7"/>
        <v>0</v>
      </c>
    </row>
    <row r="99" ht="15.75" customHeight="1">
      <c r="A99" s="145"/>
      <c r="B99" s="95"/>
      <c r="C99" s="97"/>
      <c r="D99" s="97"/>
      <c r="E99" s="148"/>
      <c r="F99" s="148"/>
      <c r="G99" s="97"/>
      <c r="H99" s="148"/>
      <c r="I99" s="99"/>
      <c r="J99" s="100"/>
      <c r="K99" s="103"/>
      <c r="L99" s="146"/>
      <c r="M99" s="103"/>
      <c r="N99" s="103"/>
      <c r="O99" s="103">
        <f t="shared" si="3"/>
        <v>0</v>
      </c>
      <c r="P99" s="104">
        <f t="shared" si="4"/>
        <v>0</v>
      </c>
      <c r="Q99" s="147"/>
      <c r="R99" s="103"/>
      <c r="S99" s="103">
        <f t="shared" si="6"/>
        <v>0</v>
      </c>
      <c r="U99" s="107" t="str">
        <f t="shared" si="7"/>
        <v>0</v>
      </c>
    </row>
    <row r="100" ht="15.75" customHeight="1">
      <c r="A100" s="145"/>
      <c r="B100" s="95"/>
      <c r="C100" s="97"/>
      <c r="D100" s="97"/>
      <c r="E100" s="148"/>
      <c r="F100" s="148"/>
      <c r="G100" s="97"/>
      <c r="H100" s="149"/>
      <c r="I100" s="99"/>
      <c r="J100" s="100"/>
      <c r="K100" s="103"/>
      <c r="L100" s="146"/>
      <c r="M100" s="103"/>
      <c r="N100" s="103"/>
      <c r="O100" s="103">
        <f t="shared" si="3"/>
        <v>0</v>
      </c>
      <c r="P100" s="104">
        <f t="shared" si="4"/>
        <v>0</v>
      </c>
      <c r="Q100" s="147"/>
      <c r="R100" s="103"/>
      <c r="S100" s="103">
        <f t="shared" si="6"/>
        <v>0</v>
      </c>
      <c r="U100" s="107" t="str">
        <f t="shared" si="7"/>
        <v>0</v>
      </c>
    </row>
    <row r="101" ht="15.75" customHeight="1">
      <c r="A101" s="145"/>
      <c r="B101" s="95"/>
      <c r="C101" s="97"/>
      <c r="D101" s="97"/>
      <c r="E101" s="148"/>
      <c r="F101" s="148"/>
      <c r="G101" s="97"/>
      <c r="H101" s="148"/>
      <c r="I101" s="99"/>
      <c r="J101" s="100"/>
      <c r="K101" s="103"/>
      <c r="L101" s="146"/>
      <c r="M101" s="103"/>
      <c r="N101" s="103"/>
      <c r="O101" s="103">
        <f t="shared" si="3"/>
        <v>0</v>
      </c>
      <c r="P101" s="104">
        <f t="shared" si="4"/>
        <v>0</v>
      </c>
      <c r="Q101" s="147"/>
      <c r="R101" s="103"/>
      <c r="S101" s="103">
        <f t="shared" si="6"/>
        <v>0</v>
      </c>
      <c r="U101" s="107" t="str">
        <f t="shared" si="7"/>
        <v>0</v>
      </c>
    </row>
    <row r="102" ht="15.75" customHeight="1">
      <c r="A102" s="145"/>
      <c r="B102" s="95"/>
      <c r="C102" s="97"/>
      <c r="D102" s="97"/>
      <c r="E102" s="148"/>
      <c r="F102" s="148"/>
      <c r="G102" s="97"/>
      <c r="H102" s="148"/>
      <c r="I102" s="99"/>
      <c r="J102" s="100"/>
      <c r="K102" s="103"/>
      <c r="L102" s="146"/>
      <c r="M102" s="103"/>
      <c r="N102" s="103"/>
      <c r="O102" s="103">
        <f t="shared" si="3"/>
        <v>0</v>
      </c>
      <c r="P102" s="104">
        <f t="shared" si="4"/>
        <v>0</v>
      </c>
      <c r="Q102" s="147"/>
      <c r="R102" s="103"/>
      <c r="S102" s="103">
        <f t="shared" si="6"/>
        <v>0</v>
      </c>
      <c r="U102" s="107" t="str">
        <f t="shared" si="7"/>
        <v>0</v>
      </c>
    </row>
    <row r="103" ht="15.75" customHeight="1">
      <c r="A103" s="145"/>
      <c r="B103" s="95"/>
      <c r="C103" s="97"/>
      <c r="D103" s="97"/>
      <c r="E103" s="148"/>
      <c r="F103" s="148"/>
      <c r="G103" s="97"/>
      <c r="H103" s="148"/>
      <c r="I103" s="99"/>
      <c r="J103" s="100"/>
      <c r="K103" s="103"/>
      <c r="L103" s="146"/>
      <c r="M103" s="103"/>
      <c r="N103" s="103"/>
      <c r="O103" s="103">
        <f t="shared" si="3"/>
        <v>0</v>
      </c>
      <c r="P103" s="104">
        <f t="shared" si="4"/>
        <v>0</v>
      </c>
      <c r="Q103" s="147"/>
      <c r="R103" s="103"/>
      <c r="S103" s="103">
        <f t="shared" si="6"/>
        <v>0</v>
      </c>
      <c r="U103" s="107" t="str">
        <f t="shared" si="7"/>
        <v>0</v>
      </c>
    </row>
    <row r="104" ht="15.75" customHeight="1">
      <c r="A104" s="145"/>
      <c r="B104" s="95"/>
      <c r="C104" s="97"/>
      <c r="D104" s="97"/>
      <c r="E104" s="148"/>
      <c r="F104" s="148"/>
      <c r="G104" s="97"/>
      <c r="H104" s="149"/>
      <c r="I104" s="99"/>
      <c r="J104" s="100"/>
      <c r="K104" s="103"/>
      <c r="L104" s="146"/>
      <c r="M104" s="103"/>
      <c r="N104" s="103"/>
      <c r="O104" s="103">
        <f t="shared" si="3"/>
        <v>0</v>
      </c>
      <c r="P104" s="104">
        <f t="shared" si="4"/>
        <v>0</v>
      </c>
      <c r="Q104" s="147"/>
      <c r="R104" s="103"/>
      <c r="S104" s="103">
        <f t="shared" si="6"/>
        <v>0</v>
      </c>
      <c r="U104" s="107" t="str">
        <f t="shared" si="7"/>
        <v>0</v>
      </c>
    </row>
    <row r="105" ht="15.75" customHeight="1">
      <c r="A105" s="145"/>
      <c r="B105" s="95"/>
      <c r="C105" s="97"/>
      <c r="D105" s="97"/>
      <c r="E105" s="148"/>
      <c r="F105" s="148"/>
      <c r="G105" s="97"/>
      <c r="H105" s="148"/>
      <c r="I105" s="99"/>
      <c r="J105" s="100"/>
      <c r="K105" s="103"/>
      <c r="L105" s="146"/>
      <c r="M105" s="103"/>
      <c r="N105" s="103"/>
      <c r="O105" s="103">
        <f t="shared" si="3"/>
        <v>0</v>
      </c>
      <c r="P105" s="104">
        <f t="shared" si="4"/>
        <v>0</v>
      </c>
      <c r="Q105" s="147"/>
      <c r="R105" s="103"/>
      <c r="S105" s="103">
        <f t="shared" si="6"/>
        <v>0</v>
      </c>
      <c r="U105" s="107" t="str">
        <f t="shared" si="7"/>
        <v>0</v>
      </c>
    </row>
    <row r="106" ht="15.75" customHeight="1">
      <c r="A106" s="145"/>
      <c r="B106" s="95"/>
      <c r="C106" s="97"/>
      <c r="D106" s="97"/>
      <c r="E106" s="148"/>
      <c r="F106" s="148"/>
      <c r="G106" s="97"/>
      <c r="H106" s="148"/>
      <c r="I106" s="99"/>
      <c r="J106" s="100"/>
      <c r="K106" s="103"/>
      <c r="L106" s="146"/>
      <c r="M106" s="103"/>
      <c r="N106" s="103"/>
      <c r="O106" s="103">
        <f t="shared" si="3"/>
        <v>0</v>
      </c>
      <c r="P106" s="104">
        <f t="shared" si="4"/>
        <v>0</v>
      </c>
      <c r="Q106" s="147"/>
      <c r="R106" s="103"/>
      <c r="S106" s="103">
        <f t="shared" si="6"/>
        <v>0</v>
      </c>
      <c r="U106" s="107" t="str">
        <f t="shared" si="7"/>
        <v>0</v>
      </c>
    </row>
    <row r="107" ht="15.75" customHeight="1">
      <c r="A107" s="145"/>
      <c r="B107" s="95"/>
      <c r="C107" s="97"/>
      <c r="D107" s="97"/>
      <c r="E107" s="148"/>
      <c r="F107" s="148"/>
      <c r="G107" s="97"/>
      <c r="H107" s="148"/>
      <c r="I107" s="99"/>
      <c r="J107" s="100"/>
      <c r="K107" s="103"/>
      <c r="L107" s="146"/>
      <c r="M107" s="103"/>
      <c r="N107" s="103"/>
      <c r="O107" s="103">
        <f t="shared" si="3"/>
        <v>0</v>
      </c>
      <c r="P107" s="104">
        <f t="shared" si="4"/>
        <v>0</v>
      </c>
      <c r="Q107" s="147"/>
      <c r="R107" s="103"/>
      <c r="S107" s="103">
        <f t="shared" si="6"/>
        <v>0</v>
      </c>
      <c r="U107" s="107" t="str">
        <f t="shared" si="7"/>
        <v>0</v>
      </c>
    </row>
    <row r="108" ht="15.75" customHeight="1">
      <c r="A108" s="145"/>
      <c r="B108" s="95"/>
      <c r="C108" s="97"/>
      <c r="D108" s="97"/>
      <c r="E108" s="148"/>
      <c r="F108" s="148"/>
      <c r="G108" s="97"/>
      <c r="H108" s="149"/>
      <c r="I108" s="99"/>
      <c r="J108" s="100"/>
      <c r="K108" s="103"/>
      <c r="L108" s="146"/>
      <c r="M108" s="103"/>
      <c r="N108" s="103"/>
      <c r="O108" s="103">
        <f t="shared" si="3"/>
        <v>0</v>
      </c>
      <c r="P108" s="104">
        <f t="shared" si="4"/>
        <v>0</v>
      </c>
      <c r="Q108" s="147"/>
      <c r="R108" s="103"/>
      <c r="S108" s="103">
        <f t="shared" si="6"/>
        <v>0</v>
      </c>
      <c r="U108" s="107" t="str">
        <f t="shared" si="7"/>
        <v>0</v>
      </c>
    </row>
    <row r="109" ht="15.75" customHeight="1">
      <c r="A109" s="145"/>
      <c r="B109" s="95"/>
      <c r="C109" s="97"/>
      <c r="D109" s="97"/>
      <c r="E109" s="148"/>
      <c r="F109" s="148"/>
      <c r="G109" s="97"/>
      <c r="H109" s="148"/>
      <c r="I109" s="99"/>
      <c r="J109" s="100"/>
      <c r="K109" s="103"/>
      <c r="L109" s="146"/>
      <c r="M109" s="103"/>
      <c r="N109" s="103"/>
      <c r="O109" s="103">
        <f t="shared" si="3"/>
        <v>0</v>
      </c>
      <c r="P109" s="104">
        <f t="shared" si="4"/>
        <v>0</v>
      </c>
      <c r="Q109" s="147"/>
      <c r="R109" s="103"/>
      <c r="S109" s="103">
        <f t="shared" si="6"/>
        <v>0</v>
      </c>
      <c r="U109" s="107" t="str">
        <f t="shared" si="7"/>
        <v>0</v>
      </c>
    </row>
    <row r="110" ht="15.75" customHeight="1">
      <c r="A110" s="145"/>
      <c r="B110" s="95"/>
      <c r="C110" s="97"/>
      <c r="D110" s="97"/>
      <c r="E110" s="148"/>
      <c r="F110" s="148"/>
      <c r="G110" s="97"/>
      <c r="H110" s="148"/>
      <c r="I110" s="99"/>
      <c r="J110" s="100"/>
      <c r="K110" s="103"/>
      <c r="L110" s="146"/>
      <c r="M110" s="103"/>
      <c r="N110" s="103"/>
      <c r="O110" s="103">
        <f t="shared" si="3"/>
        <v>0</v>
      </c>
      <c r="P110" s="104">
        <f t="shared" si="4"/>
        <v>0</v>
      </c>
      <c r="Q110" s="147"/>
      <c r="R110" s="103"/>
      <c r="S110" s="103">
        <f t="shared" si="6"/>
        <v>0</v>
      </c>
      <c r="U110" s="107" t="str">
        <f t="shared" si="7"/>
        <v>0</v>
      </c>
    </row>
    <row r="111" ht="15.75" customHeight="1">
      <c r="A111" s="145"/>
      <c r="B111" s="95"/>
      <c r="C111" s="97"/>
      <c r="D111" s="97"/>
      <c r="E111" s="148"/>
      <c r="F111" s="148"/>
      <c r="G111" s="97"/>
      <c r="H111" s="148"/>
      <c r="I111" s="99"/>
      <c r="J111" s="100"/>
      <c r="K111" s="103"/>
      <c r="L111" s="146"/>
      <c r="M111" s="103"/>
      <c r="N111" s="103"/>
      <c r="O111" s="103">
        <f t="shared" si="3"/>
        <v>0</v>
      </c>
      <c r="P111" s="104">
        <f t="shared" si="4"/>
        <v>0</v>
      </c>
      <c r="Q111" s="147"/>
      <c r="R111" s="103"/>
      <c r="S111" s="103">
        <f t="shared" si="6"/>
        <v>0</v>
      </c>
      <c r="U111" s="107" t="str">
        <f t="shared" si="7"/>
        <v>0</v>
      </c>
    </row>
    <row r="112" ht="15.75" customHeight="1">
      <c r="A112" s="145"/>
      <c r="B112" s="95"/>
      <c r="C112" s="97"/>
      <c r="D112" s="97"/>
      <c r="E112" s="148"/>
      <c r="F112" s="148"/>
      <c r="G112" s="97"/>
      <c r="H112" s="148"/>
      <c r="I112" s="99"/>
      <c r="J112" s="100"/>
      <c r="K112" s="103"/>
      <c r="L112" s="146"/>
      <c r="M112" s="103"/>
      <c r="N112" s="103"/>
      <c r="O112" s="103">
        <f t="shared" si="3"/>
        <v>0</v>
      </c>
      <c r="P112" s="104">
        <f t="shared" si="4"/>
        <v>0</v>
      </c>
      <c r="Q112" s="147"/>
      <c r="R112" s="103"/>
      <c r="S112" s="103">
        <f t="shared" si="6"/>
        <v>0</v>
      </c>
      <c r="U112" s="107" t="str">
        <f t="shared" si="7"/>
        <v>0</v>
      </c>
    </row>
    <row r="113" ht="15.75" customHeight="1">
      <c r="A113" s="145"/>
      <c r="B113" s="95"/>
      <c r="C113" s="97"/>
      <c r="D113" s="97"/>
      <c r="E113" s="148"/>
      <c r="F113" s="148"/>
      <c r="G113" s="97"/>
      <c r="H113" s="148"/>
      <c r="I113" s="99"/>
      <c r="J113" s="100"/>
      <c r="K113" s="103"/>
      <c r="L113" s="146"/>
      <c r="M113" s="103"/>
      <c r="N113" s="103"/>
      <c r="O113" s="103">
        <f t="shared" si="3"/>
        <v>0</v>
      </c>
      <c r="P113" s="104">
        <f t="shared" si="4"/>
        <v>0</v>
      </c>
      <c r="Q113" s="147"/>
      <c r="R113" s="103"/>
      <c r="S113" s="103">
        <f t="shared" si="6"/>
        <v>0</v>
      </c>
      <c r="U113" s="107" t="str">
        <f t="shared" si="7"/>
        <v>0</v>
      </c>
    </row>
    <row r="114" ht="15.75" customHeight="1">
      <c r="A114" s="145"/>
      <c r="B114" s="95"/>
      <c r="C114" s="97"/>
      <c r="D114" s="97"/>
      <c r="E114" s="148"/>
      <c r="F114" s="148"/>
      <c r="G114" s="97"/>
      <c r="H114" s="148"/>
      <c r="I114" s="99"/>
      <c r="J114" s="100"/>
      <c r="K114" s="103"/>
      <c r="L114" s="146"/>
      <c r="M114" s="103"/>
      <c r="N114" s="103"/>
      <c r="O114" s="103">
        <f t="shared" si="3"/>
        <v>0</v>
      </c>
      <c r="P114" s="104">
        <f t="shared" si="4"/>
        <v>0</v>
      </c>
      <c r="Q114" s="147"/>
      <c r="R114" s="103"/>
      <c r="S114" s="103">
        <f t="shared" si="6"/>
        <v>0</v>
      </c>
      <c r="U114" s="107" t="str">
        <f t="shared" si="7"/>
        <v>0</v>
      </c>
    </row>
    <row r="115" ht="15.75" customHeight="1">
      <c r="A115" s="145"/>
      <c r="B115" s="95"/>
      <c r="C115" s="97"/>
      <c r="D115" s="97"/>
      <c r="E115" s="148"/>
      <c r="F115" s="148"/>
      <c r="G115" s="97"/>
      <c r="H115" s="148"/>
      <c r="I115" s="99"/>
      <c r="J115" s="100"/>
      <c r="K115" s="103"/>
      <c r="L115" s="146"/>
      <c r="M115" s="103"/>
      <c r="N115" s="103"/>
      <c r="O115" s="103">
        <f t="shared" si="3"/>
        <v>0</v>
      </c>
      <c r="P115" s="104">
        <f t="shared" si="4"/>
        <v>0</v>
      </c>
      <c r="Q115" s="147"/>
      <c r="R115" s="103"/>
      <c r="S115" s="103">
        <f t="shared" si="6"/>
        <v>0</v>
      </c>
      <c r="U115" s="107" t="str">
        <f t="shared" si="7"/>
        <v>0</v>
      </c>
    </row>
    <row r="116" ht="15.75" customHeight="1">
      <c r="A116" s="145"/>
      <c r="B116" s="95"/>
      <c r="C116" s="97"/>
      <c r="D116" s="97"/>
      <c r="E116" s="148"/>
      <c r="F116" s="148"/>
      <c r="G116" s="97"/>
      <c r="H116" s="148"/>
      <c r="I116" s="99"/>
      <c r="J116" s="100"/>
      <c r="K116" s="103"/>
      <c r="L116" s="146"/>
      <c r="M116" s="103"/>
      <c r="N116" s="103"/>
      <c r="O116" s="103">
        <f t="shared" si="3"/>
        <v>0</v>
      </c>
      <c r="P116" s="104">
        <f t="shared" si="4"/>
        <v>0</v>
      </c>
      <c r="Q116" s="147"/>
      <c r="R116" s="103"/>
      <c r="S116" s="103">
        <f t="shared" si="6"/>
        <v>0</v>
      </c>
      <c r="U116" s="107" t="str">
        <f t="shared" si="7"/>
        <v>0</v>
      </c>
    </row>
    <row r="117" ht="15.75" customHeight="1">
      <c r="A117" s="145"/>
      <c r="B117" s="95"/>
      <c r="C117" s="97"/>
      <c r="D117" s="97"/>
      <c r="E117" s="148"/>
      <c r="F117" s="148"/>
      <c r="G117" s="97"/>
      <c r="H117" s="148"/>
      <c r="I117" s="99"/>
      <c r="J117" s="100"/>
      <c r="K117" s="103"/>
      <c r="L117" s="146"/>
      <c r="M117" s="103"/>
      <c r="N117" s="103"/>
      <c r="O117" s="103">
        <f t="shared" si="3"/>
        <v>0</v>
      </c>
      <c r="P117" s="104">
        <f t="shared" si="4"/>
        <v>0</v>
      </c>
      <c r="Q117" s="147"/>
      <c r="R117" s="103"/>
      <c r="S117" s="103">
        <f t="shared" si="6"/>
        <v>0</v>
      </c>
      <c r="U117" s="107" t="str">
        <f t="shared" si="7"/>
        <v>0</v>
      </c>
    </row>
    <row r="118" ht="15.75" customHeight="1">
      <c r="A118" s="145"/>
      <c r="B118" s="95"/>
      <c r="C118" s="97"/>
      <c r="D118" s="97"/>
      <c r="E118" s="148"/>
      <c r="F118" s="148"/>
      <c r="G118" s="97"/>
      <c r="H118" s="149"/>
      <c r="I118" s="99"/>
      <c r="J118" s="100"/>
      <c r="K118" s="103"/>
      <c r="L118" s="146"/>
      <c r="M118" s="103"/>
      <c r="N118" s="103"/>
      <c r="O118" s="103">
        <f t="shared" si="3"/>
        <v>0</v>
      </c>
      <c r="P118" s="104">
        <f t="shared" si="4"/>
        <v>0</v>
      </c>
      <c r="Q118" s="147"/>
      <c r="R118" s="103"/>
      <c r="S118" s="103">
        <f t="shared" si="6"/>
        <v>0</v>
      </c>
      <c r="U118" s="107" t="str">
        <f t="shared" si="7"/>
        <v>0</v>
      </c>
    </row>
    <row r="119" ht="15.75" customHeight="1">
      <c r="A119" s="145"/>
      <c r="B119" s="95"/>
      <c r="C119" s="97"/>
      <c r="D119" s="97"/>
      <c r="E119" s="148"/>
      <c r="F119" s="148"/>
      <c r="G119" s="97"/>
      <c r="H119" s="148"/>
      <c r="I119" s="99"/>
      <c r="J119" s="100"/>
      <c r="K119" s="103"/>
      <c r="L119" s="146"/>
      <c r="M119" s="103"/>
      <c r="N119" s="103"/>
      <c r="O119" s="103">
        <f t="shared" si="3"/>
        <v>0</v>
      </c>
      <c r="P119" s="104">
        <f t="shared" si="4"/>
        <v>0</v>
      </c>
      <c r="Q119" s="147"/>
      <c r="R119" s="103"/>
      <c r="S119" s="103">
        <f t="shared" si="6"/>
        <v>0</v>
      </c>
      <c r="U119" s="107" t="str">
        <f t="shared" si="7"/>
        <v>0</v>
      </c>
    </row>
    <row r="120" ht="15.75" customHeight="1">
      <c r="A120" s="145"/>
      <c r="B120" s="95"/>
      <c r="C120" s="97"/>
      <c r="D120" s="97"/>
      <c r="E120" s="148"/>
      <c r="F120" s="148"/>
      <c r="G120" s="97"/>
      <c r="H120" s="148"/>
      <c r="I120" s="99"/>
      <c r="J120" s="100"/>
      <c r="K120" s="103"/>
      <c r="L120" s="146"/>
      <c r="M120" s="103"/>
      <c r="N120" s="103"/>
      <c r="O120" s="103">
        <f t="shared" si="3"/>
        <v>0</v>
      </c>
      <c r="P120" s="104">
        <f t="shared" si="4"/>
        <v>0</v>
      </c>
      <c r="Q120" s="147"/>
      <c r="R120" s="103"/>
      <c r="S120" s="103">
        <f t="shared" si="6"/>
        <v>0</v>
      </c>
      <c r="U120" s="107" t="str">
        <f t="shared" si="7"/>
        <v>0</v>
      </c>
    </row>
    <row r="121" ht="15.75" customHeight="1">
      <c r="A121" s="145"/>
      <c r="B121" s="95"/>
      <c r="C121" s="97"/>
      <c r="D121" s="97"/>
      <c r="E121" s="148"/>
      <c r="F121" s="148"/>
      <c r="G121" s="97"/>
      <c r="H121" s="148"/>
      <c r="I121" s="99"/>
      <c r="J121" s="100"/>
      <c r="K121" s="103"/>
      <c r="L121" s="146"/>
      <c r="M121" s="103"/>
      <c r="N121" s="103"/>
      <c r="O121" s="103">
        <f t="shared" si="3"/>
        <v>0</v>
      </c>
      <c r="P121" s="104">
        <f t="shared" si="4"/>
        <v>0</v>
      </c>
      <c r="Q121" s="147"/>
      <c r="R121" s="103"/>
      <c r="S121" s="103">
        <f t="shared" si="6"/>
        <v>0</v>
      </c>
      <c r="U121" s="107" t="str">
        <f t="shared" si="7"/>
        <v>0</v>
      </c>
    </row>
    <row r="122" ht="15.75" customHeight="1">
      <c r="A122" s="145"/>
      <c r="B122" s="95"/>
      <c r="C122" s="97"/>
      <c r="D122" s="97"/>
      <c r="E122" s="148"/>
      <c r="F122" s="148"/>
      <c r="G122" s="97"/>
      <c r="H122" s="148"/>
      <c r="I122" s="99"/>
      <c r="J122" s="100"/>
      <c r="K122" s="103"/>
      <c r="L122" s="146"/>
      <c r="M122" s="103"/>
      <c r="N122" s="103"/>
      <c r="O122" s="103">
        <f t="shared" si="3"/>
        <v>0</v>
      </c>
      <c r="P122" s="104">
        <f t="shared" si="4"/>
        <v>0</v>
      </c>
      <c r="Q122" s="147"/>
      <c r="R122" s="103"/>
      <c r="S122" s="103">
        <f t="shared" si="6"/>
        <v>0</v>
      </c>
      <c r="U122" s="107" t="str">
        <f t="shared" si="7"/>
        <v>0</v>
      </c>
    </row>
    <row r="123" ht="15.75" customHeight="1">
      <c r="A123" s="145"/>
      <c r="B123" s="95"/>
      <c r="C123" s="97"/>
      <c r="D123" s="97"/>
      <c r="E123" s="148"/>
      <c r="F123" s="148"/>
      <c r="G123" s="97"/>
      <c r="H123" s="148"/>
      <c r="I123" s="99"/>
      <c r="J123" s="100"/>
      <c r="K123" s="103"/>
      <c r="L123" s="146"/>
      <c r="M123" s="103"/>
      <c r="N123" s="103"/>
      <c r="O123" s="103">
        <f t="shared" si="3"/>
        <v>0</v>
      </c>
      <c r="P123" s="104">
        <f t="shared" si="4"/>
        <v>0</v>
      </c>
      <c r="Q123" s="147"/>
      <c r="R123" s="103"/>
      <c r="S123" s="103">
        <f t="shared" si="6"/>
        <v>0</v>
      </c>
      <c r="U123" s="107" t="str">
        <f t="shared" si="7"/>
        <v>0</v>
      </c>
    </row>
    <row r="124" ht="15.75" customHeight="1">
      <c r="A124" s="145"/>
      <c r="B124" s="95"/>
      <c r="C124" s="97"/>
      <c r="D124" s="97"/>
      <c r="E124" s="148"/>
      <c r="F124" s="148"/>
      <c r="G124" s="97"/>
      <c r="H124" s="148"/>
      <c r="I124" s="99"/>
      <c r="J124" s="100"/>
      <c r="K124" s="103"/>
      <c r="L124" s="146"/>
      <c r="M124" s="103"/>
      <c r="N124" s="103"/>
      <c r="O124" s="103">
        <f t="shared" si="3"/>
        <v>0</v>
      </c>
      <c r="P124" s="104">
        <f t="shared" si="4"/>
        <v>0</v>
      </c>
      <c r="Q124" s="147"/>
      <c r="R124" s="103"/>
      <c r="S124" s="103">
        <f t="shared" si="6"/>
        <v>0</v>
      </c>
      <c r="U124" s="107" t="str">
        <f t="shared" si="7"/>
        <v>0</v>
      </c>
    </row>
    <row r="125" ht="15.75" customHeight="1">
      <c r="A125" s="145"/>
      <c r="B125" s="95"/>
      <c r="C125" s="97"/>
      <c r="D125" s="97"/>
      <c r="E125" s="148"/>
      <c r="F125" s="148"/>
      <c r="G125" s="97"/>
      <c r="H125" s="148"/>
      <c r="I125" s="99"/>
      <c r="J125" s="100"/>
      <c r="K125" s="103"/>
      <c r="L125" s="146"/>
      <c r="M125" s="103"/>
      <c r="N125" s="103"/>
      <c r="O125" s="103">
        <f t="shared" si="3"/>
        <v>0</v>
      </c>
      <c r="P125" s="104">
        <f t="shared" si="4"/>
        <v>0</v>
      </c>
      <c r="Q125" s="147"/>
      <c r="R125" s="103"/>
      <c r="S125" s="103">
        <f t="shared" si="6"/>
        <v>0</v>
      </c>
      <c r="U125" s="107" t="str">
        <f t="shared" si="7"/>
        <v>0</v>
      </c>
    </row>
    <row r="126" ht="15.75" customHeight="1">
      <c r="A126" s="145"/>
      <c r="B126" s="95"/>
      <c r="C126" s="97"/>
      <c r="D126" s="97"/>
      <c r="E126" s="148"/>
      <c r="F126" s="148"/>
      <c r="G126" s="97"/>
      <c r="H126" s="149"/>
      <c r="I126" s="99"/>
      <c r="J126" s="100"/>
      <c r="K126" s="103"/>
      <c r="L126" s="146"/>
      <c r="M126" s="103"/>
      <c r="N126" s="103"/>
      <c r="O126" s="103">
        <f t="shared" si="3"/>
        <v>0</v>
      </c>
      <c r="P126" s="104">
        <f t="shared" si="4"/>
        <v>0</v>
      </c>
      <c r="Q126" s="147"/>
      <c r="R126" s="103"/>
      <c r="S126" s="103">
        <f t="shared" si="6"/>
        <v>0</v>
      </c>
      <c r="U126" s="107" t="str">
        <f t="shared" si="7"/>
        <v>0</v>
      </c>
    </row>
    <row r="127" ht="15.75" customHeight="1">
      <c r="A127" s="145"/>
      <c r="B127" s="95"/>
      <c r="C127" s="97"/>
      <c r="D127" s="97"/>
      <c r="E127" s="148"/>
      <c r="F127" s="148"/>
      <c r="G127" s="97"/>
      <c r="H127" s="148"/>
      <c r="I127" s="99"/>
      <c r="J127" s="100"/>
      <c r="K127" s="103"/>
      <c r="L127" s="146"/>
      <c r="M127" s="103"/>
      <c r="N127" s="103"/>
      <c r="O127" s="103">
        <f t="shared" si="3"/>
        <v>0</v>
      </c>
      <c r="P127" s="104">
        <f t="shared" si="4"/>
        <v>0</v>
      </c>
      <c r="Q127" s="147"/>
      <c r="R127" s="103"/>
      <c r="S127" s="103">
        <f t="shared" si="6"/>
        <v>0</v>
      </c>
      <c r="U127" s="107" t="str">
        <f t="shared" si="7"/>
        <v>0</v>
      </c>
    </row>
    <row r="128" ht="15.75" customHeight="1">
      <c r="A128" s="145"/>
      <c r="B128" s="95"/>
      <c r="C128" s="97"/>
      <c r="D128" s="97"/>
      <c r="E128" s="148"/>
      <c r="F128" s="148"/>
      <c r="G128" s="97"/>
      <c r="H128" s="148"/>
      <c r="I128" s="99"/>
      <c r="J128" s="100"/>
      <c r="K128" s="103"/>
      <c r="L128" s="146"/>
      <c r="M128" s="103"/>
      <c r="N128" s="103"/>
      <c r="O128" s="103">
        <f t="shared" si="3"/>
        <v>0</v>
      </c>
      <c r="P128" s="104">
        <f t="shared" si="4"/>
        <v>0</v>
      </c>
      <c r="Q128" s="147"/>
      <c r="R128" s="103"/>
      <c r="S128" s="103">
        <f t="shared" si="6"/>
        <v>0</v>
      </c>
      <c r="U128" s="107" t="str">
        <f t="shared" si="7"/>
        <v>0</v>
      </c>
    </row>
    <row r="129" ht="15.75" customHeight="1">
      <c r="A129" s="145"/>
      <c r="B129" s="95"/>
      <c r="C129" s="97"/>
      <c r="D129" s="97"/>
      <c r="E129" s="148"/>
      <c r="F129" s="148"/>
      <c r="G129" s="97"/>
      <c r="H129" s="148"/>
      <c r="I129" s="99"/>
      <c r="J129" s="100"/>
      <c r="K129" s="103"/>
      <c r="L129" s="146"/>
      <c r="M129" s="103"/>
      <c r="N129" s="103"/>
      <c r="O129" s="103">
        <f t="shared" si="3"/>
        <v>0</v>
      </c>
      <c r="P129" s="104">
        <f t="shared" si="4"/>
        <v>0</v>
      </c>
      <c r="Q129" s="147"/>
      <c r="R129" s="103"/>
      <c r="S129" s="103">
        <f t="shared" si="6"/>
        <v>0</v>
      </c>
      <c r="U129" s="107" t="str">
        <f t="shared" si="7"/>
        <v>0</v>
      </c>
    </row>
    <row r="130" ht="15.75" customHeight="1">
      <c r="A130" s="145"/>
      <c r="B130" s="95"/>
      <c r="C130" s="97"/>
      <c r="D130" s="97"/>
      <c r="E130" s="148"/>
      <c r="F130" s="148"/>
      <c r="G130" s="97"/>
      <c r="H130" s="148"/>
      <c r="I130" s="99"/>
      <c r="J130" s="100"/>
      <c r="K130" s="103"/>
      <c r="L130" s="146"/>
      <c r="M130" s="103"/>
      <c r="N130" s="103"/>
      <c r="O130" s="103">
        <f t="shared" si="3"/>
        <v>0</v>
      </c>
      <c r="P130" s="104">
        <f t="shared" si="4"/>
        <v>0</v>
      </c>
      <c r="Q130" s="147"/>
      <c r="R130" s="103"/>
      <c r="S130" s="103">
        <f t="shared" si="6"/>
        <v>0</v>
      </c>
      <c r="U130" s="107" t="str">
        <f t="shared" si="7"/>
        <v>0</v>
      </c>
    </row>
    <row r="131" ht="15.75" customHeight="1">
      <c r="A131" s="145"/>
      <c r="B131" s="95"/>
      <c r="C131" s="97"/>
      <c r="D131" s="97"/>
      <c r="E131" s="148"/>
      <c r="F131" s="148"/>
      <c r="G131" s="97"/>
      <c r="H131" s="148"/>
      <c r="I131" s="99"/>
      <c r="J131" s="100"/>
      <c r="K131" s="103"/>
      <c r="L131" s="146"/>
      <c r="M131" s="103"/>
      <c r="N131" s="103"/>
      <c r="O131" s="103">
        <f t="shared" si="3"/>
        <v>0</v>
      </c>
      <c r="P131" s="104">
        <f t="shared" si="4"/>
        <v>0</v>
      </c>
      <c r="Q131" s="147"/>
      <c r="R131" s="103"/>
      <c r="S131" s="103">
        <f t="shared" si="6"/>
        <v>0</v>
      </c>
      <c r="U131" s="107" t="str">
        <f t="shared" si="7"/>
        <v>0</v>
      </c>
    </row>
    <row r="132" ht="15.75" customHeight="1">
      <c r="A132" s="145"/>
      <c r="B132" s="95"/>
      <c r="C132" s="97"/>
      <c r="D132" s="97"/>
      <c r="E132" s="148"/>
      <c r="F132" s="148"/>
      <c r="G132" s="97"/>
      <c r="H132" s="148"/>
      <c r="I132" s="99"/>
      <c r="J132" s="100"/>
      <c r="K132" s="103"/>
      <c r="L132" s="146"/>
      <c r="M132" s="103"/>
      <c r="N132" s="103"/>
      <c r="O132" s="103">
        <f t="shared" si="3"/>
        <v>0</v>
      </c>
      <c r="P132" s="104">
        <f t="shared" si="4"/>
        <v>0</v>
      </c>
      <c r="Q132" s="147"/>
      <c r="R132" s="103"/>
      <c r="S132" s="103">
        <f t="shared" si="6"/>
        <v>0</v>
      </c>
      <c r="U132" s="107" t="str">
        <f t="shared" si="7"/>
        <v>0</v>
      </c>
    </row>
    <row r="133" ht="15.75" customHeight="1">
      <c r="A133" s="145"/>
      <c r="B133" s="95"/>
      <c r="C133" s="97"/>
      <c r="D133" s="97"/>
      <c r="E133" s="148"/>
      <c r="F133" s="148"/>
      <c r="G133" s="97"/>
      <c r="H133" s="148"/>
      <c r="I133" s="99"/>
      <c r="J133" s="100"/>
      <c r="K133" s="103"/>
      <c r="L133" s="146"/>
      <c r="M133" s="103"/>
      <c r="N133" s="103"/>
      <c r="O133" s="103">
        <f t="shared" si="3"/>
        <v>0</v>
      </c>
      <c r="P133" s="104">
        <f t="shared" si="4"/>
        <v>0</v>
      </c>
      <c r="Q133" s="147"/>
      <c r="R133" s="103"/>
      <c r="S133" s="103">
        <f t="shared" si="6"/>
        <v>0</v>
      </c>
      <c r="U133" s="107" t="str">
        <f t="shared" si="7"/>
        <v>0</v>
      </c>
    </row>
    <row r="134" ht="15.75" customHeight="1">
      <c r="A134" s="273"/>
      <c r="B134" s="274"/>
      <c r="C134" s="275"/>
      <c r="D134" s="275"/>
      <c r="E134" s="276"/>
      <c r="F134" s="276"/>
      <c r="G134" s="275"/>
      <c r="H134" s="149"/>
      <c r="I134" s="277"/>
      <c r="J134" s="278"/>
      <c r="K134" s="103"/>
      <c r="L134" s="146"/>
      <c r="M134" s="103"/>
      <c r="N134" s="103"/>
      <c r="O134" s="103">
        <f t="shared" si="3"/>
        <v>0</v>
      </c>
      <c r="P134" s="104">
        <f t="shared" si="4"/>
        <v>0</v>
      </c>
      <c r="Q134" s="147"/>
      <c r="R134" s="103"/>
      <c r="S134" s="103">
        <f t="shared" si="6"/>
        <v>0</v>
      </c>
      <c r="U134" s="107" t="str">
        <f t="shared" si="7"/>
        <v>0</v>
      </c>
    </row>
    <row r="135" ht="15.75" customHeight="1">
      <c r="A135" s="279"/>
      <c r="B135" s="280"/>
      <c r="C135" s="280"/>
      <c r="D135" s="280"/>
      <c r="E135" s="281"/>
      <c r="F135" s="281"/>
      <c r="G135" s="280"/>
      <c r="H135" s="282"/>
      <c r="I135" s="283"/>
      <c r="J135" s="280"/>
      <c r="K135" s="103"/>
      <c r="L135" s="146"/>
      <c r="M135" s="103"/>
      <c r="N135" s="103"/>
      <c r="O135" s="103">
        <f t="shared" si="3"/>
        <v>0</v>
      </c>
      <c r="P135" s="104">
        <f t="shared" si="4"/>
        <v>0</v>
      </c>
      <c r="Q135" s="147"/>
      <c r="R135" s="103"/>
      <c r="S135" s="103">
        <f t="shared" si="6"/>
        <v>0</v>
      </c>
      <c r="U135" s="107" t="str">
        <f t="shared" si="7"/>
        <v>0</v>
      </c>
    </row>
    <row r="136" ht="15.75" customHeight="1">
      <c r="A136" s="279"/>
      <c r="B136" s="280"/>
      <c r="C136" s="280"/>
      <c r="D136" s="280"/>
      <c r="E136" s="281"/>
      <c r="F136" s="281"/>
      <c r="G136" s="280"/>
      <c r="H136" s="282"/>
      <c r="I136" s="283"/>
      <c r="J136" s="280"/>
      <c r="K136" s="103"/>
      <c r="L136" s="146"/>
      <c r="M136" s="103"/>
      <c r="N136" s="103"/>
      <c r="O136" s="103">
        <f t="shared" si="3"/>
        <v>0</v>
      </c>
      <c r="P136" s="104">
        <f t="shared" si="4"/>
        <v>0</v>
      </c>
      <c r="Q136" s="147"/>
      <c r="R136" s="103"/>
      <c r="S136" s="103">
        <f t="shared" si="6"/>
        <v>0</v>
      </c>
      <c r="U136" s="107" t="str">
        <f t="shared" si="7"/>
        <v>0</v>
      </c>
    </row>
    <row r="137" ht="15.75" customHeight="1">
      <c r="A137" s="279"/>
      <c r="B137" s="280"/>
      <c r="C137" s="280"/>
      <c r="D137" s="280"/>
      <c r="E137" s="281"/>
      <c r="F137" s="281"/>
      <c r="G137" s="280"/>
      <c r="H137" s="282"/>
      <c r="I137" s="283"/>
      <c r="J137" s="280"/>
      <c r="K137" s="103"/>
      <c r="L137" s="146"/>
      <c r="M137" s="103"/>
      <c r="N137" s="103"/>
      <c r="O137" s="103">
        <f t="shared" si="3"/>
        <v>0</v>
      </c>
      <c r="P137" s="104">
        <f t="shared" si="4"/>
        <v>0</v>
      </c>
      <c r="Q137" s="147"/>
      <c r="R137" s="103"/>
      <c r="S137" s="103">
        <f t="shared" si="6"/>
        <v>0</v>
      </c>
      <c r="U137" s="107" t="str">
        <f t="shared" si="7"/>
        <v>0</v>
      </c>
    </row>
    <row r="138" ht="15.75" customHeight="1">
      <c r="A138" s="279"/>
      <c r="B138" s="280"/>
      <c r="C138" s="280"/>
      <c r="D138" s="280"/>
      <c r="E138" s="281"/>
      <c r="F138" s="281"/>
      <c r="G138" s="280"/>
      <c r="H138" s="282"/>
      <c r="I138" s="283"/>
      <c r="J138" s="280"/>
      <c r="K138" s="103"/>
      <c r="L138" s="146"/>
      <c r="M138" s="103"/>
      <c r="N138" s="103"/>
      <c r="O138" s="103">
        <f t="shared" si="3"/>
        <v>0</v>
      </c>
      <c r="P138" s="104">
        <f t="shared" si="4"/>
        <v>0</v>
      </c>
      <c r="Q138" s="147"/>
      <c r="R138" s="103"/>
      <c r="S138" s="103">
        <f t="shared" si="6"/>
        <v>0</v>
      </c>
      <c r="U138" s="107" t="str">
        <f t="shared" si="7"/>
        <v>0</v>
      </c>
    </row>
    <row r="139" ht="15.75" customHeight="1">
      <c r="A139" s="279"/>
      <c r="B139" s="280"/>
      <c r="C139" s="280"/>
      <c r="D139" s="280"/>
      <c r="E139" s="281"/>
      <c r="F139" s="281"/>
      <c r="G139" s="280"/>
      <c r="H139" s="282"/>
      <c r="I139" s="283"/>
      <c r="J139" s="280"/>
      <c r="K139" s="103"/>
      <c r="L139" s="146"/>
      <c r="M139" s="103"/>
      <c r="N139" s="103"/>
      <c r="O139" s="103">
        <f t="shared" si="3"/>
        <v>0</v>
      </c>
      <c r="P139" s="104">
        <f t="shared" si="4"/>
        <v>0</v>
      </c>
      <c r="Q139" s="147"/>
      <c r="R139" s="103"/>
      <c r="S139" s="103">
        <f t="shared" si="6"/>
        <v>0</v>
      </c>
      <c r="U139" s="107" t="str">
        <f t="shared" si="7"/>
        <v>0</v>
      </c>
    </row>
    <row r="140" ht="15.75" customHeight="1">
      <c r="A140" s="279"/>
      <c r="B140" s="280"/>
      <c r="C140" s="280"/>
      <c r="D140" s="280"/>
      <c r="E140" s="281"/>
      <c r="F140" s="281"/>
      <c r="G140" s="280"/>
      <c r="H140" s="282"/>
      <c r="I140" s="283"/>
      <c r="J140" s="280"/>
      <c r="K140" s="103"/>
      <c r="L140" s="146"/>
      <c r="M140" s="103"/>
      <c r="N140" s="103"/>
      <c r="O140" s="103">
        <f t="shared" si="3"/>
        <v>0</v>
      </c>
      <c r="P140" s="104">
        <f t="shared" si="4"/>
        <v>0</v>
      </c>
      <c r="Q140" s="147"/>
      <c r="R140" s="103"/>
      <c r="S140" s="103">
        <f t="shared" si="6"/>
        <v>0</v>
      </c>
      <c r="U140" s="107" t="str">
        <f t="shared" si="7"/>
        <v>0</v>
      </c>
    </row>
    <row r="141" ht="15.75" customHeight="1">
      <c r="A141" s="279"/>
      <c r="B141" s="280"/>
      <c r="C141" s="280"/>
      <c r="D141" s="280"/>
      <c r="E141" s="281"/>
      <c r="F141" s="281"/>
      <c r="G141" s="280"/>
      <c r="H141" s="282"/>
      <c r="I141" s="283"/>
      <c r="J141" s="280"/>
      <c r="K141" s="103"/>
      <c r="L141" s="146"/>
      <c r="M141" s="103"/>
      <c r="N141" s="103"/>
      <c r="O141" s="103">
        <f t="shared" si="3"/>
        <v>0</v>
      </c>
      <c r="P141" s="104">
        <f t="shared" si="4"/>
        <v>0</v>
      </c>
      <c r="Q141" s="147"/>
      <c r="R141" s="103"/>
      <c r="S141" s="103">
        <f t="shared" si="6"/>
        <v>0</v>
      </c>
      <c r="U141" s="107" t="str">
        <f t="shared" si="7"/>
        <v>0</v>
      </c>
    </row>
    <row r="142" ht="15.75" customHeight="1">
      <c r="A142" s="279"/>
      <c r="B142" s="280"/>
      <c r="C142" s="280"/>
      <c r="D142" s="280"/>
      <c r="E142" s="281"/>
      <c r="F142" s="281"/>
      <c r="G142" s="280"/>
      <c r="H142" s="282"/>
      <c r="I142" s="283"/>
      <c r="J142" s="280"/>
      <c r="K142" s="103"/>
      <c r="L142" s="146"/>
      <c r="M142" s="103"/>
      <c r="N142" s="103"/>
      <c r="O142" s="103">
        <f t="shared" si="3"/>
        <v>0</v>
      </c>
      <c r="P142" s="104">
        <f t="shared" si="4"/>
        <v>0</v>
      </c>
      <c r="Q142" s="147"/>
      <c r="R142" s="103"/>
      <c r="S142" s="103">
        <f t="shared" si="6"/>
        <v>0</v>
      </c>
      <c r="U142" s="107" t="str">
        <f t="shared" si="7"/>
        <v>0</v>
      </c>
    </row>
    <row r="143" ht="15.75" customHeight="1">
      <c r="A143" s="279"/>
      <c r="B143" s="280"/>
      <c r="C143" s="280"/>
      <c r="D143" s="280"/>
      <c r="E143" s="281"/>
      <c r="F143" s="281"/>
      <c r="G143" s="280"/>
      <c r="H143" s="282"/>
      <c r="I143" s="283"/>
      <c r="J143" s="280"/>
      <c r="K143" s="103"/>
      <c r="L143" s="146"/>
      <c r="M143" s="103"/>
      <c r="N143" s="103"/>
      <c r="O143" s="103">
        <f t="shared" si="3"/>
        <v>0</v>
      </c>
      <c r="P143" s="104">
        <f t="shared" si="4"/>
        <v>0</v>
      </c>
      <c r="Q143" s="147"/>
      <c r="R143" s="103"/>
      <c r="S143" s="103">
        <f t="shared" si="6"/>
        <v>0</v>
      </c>
      <c r="U143" s="107" t="str">
        <f t="shared" si="7"/>
        <v>0</v>
      </c>
    </row>
    <row r="144" ht="15.75" customHeight="1">
      <c r="A144" s="279"/>
      <c r="B144" s="280"/>
      <c r="C144" s="280"/>
      <c r="D144" s="280"/>
      <c r="E144" s="281"/>
      <c r="F144" s="281"/>
      <c r="G144" s="280"/>
      <c r="H144" s="282"/>
      <c r="I144" s="283"/>
      <c r="J144" s="280"/>
      <c r="K144" s="103"/>
      <c r="L144" s="146"/>
      <c r="M144" s="103"/>
      <c r="N144" s="103"/>
      <c r="O144" s="103">
        <f t="shared" si="3"/>
        <v>0</v>
      </c>
      <c r="P144" s="104">
        <f t="shared" si="4"/>
        <v>0</v>
      </c>
      <c r="Q144" s="147"/>
      <c r="R144" s="103"/>
      <c r="S144" s="103">
        <f t="shared" si="6"/>
        <v>0</v>
      </c>
      <c r="U144" s="107" t="str">
        <f t="shared" si="7"/>
        <v>0</v>
      </c>
    </row>
    <row r="145" ht="15.75" customHeight="1">
      <c r="A145" s="279"/>
      <c r="B145" s="280"/>
      <c r="C145" s="280"/>
      <c r="D145" s="280"/>
      <c r="E145" s="281"/>
      <c r="F145" s="281"/>
      <c r="G145" s="280"/>
      <c r="H145" s="282"/>
      <c r="I145" s="283"/>
      <c r="J145" s="280"/>
      <c r="K145" s="103"/>
      <c r="L145" s="146"/>
      <c r="M145" s="103"/>
      <c r="N145" s="103"/>
      <c r="O145" s="103">
        <f t="shared" si="3"/>
        <v>0</v>
      </c>
      <c r="P145" s="104">
        <f t="shared" si="4"/>
        <v>0</v>
      </c>
      <c r="Q145" s="147"/>
      <c r="R145" s="103"/>
      <c r="S145" s="103">
        <f t="shared" si="6"/>
        <v>0</v>
      </c>
      <c r="U145" s="107" t="str">
        <f t="shared" si="7"/>
        <v>0</v>
      </c>
    </row>
    <row r="146" ht="15.75" customHeight="1">
      <c r="A146" s="279"/>
      <c r="B146" s="280"/>
      <c r="C146" s="280"/>
      <c r="D146" s="280"/>
      <c r="E146" s="281"/>
      <c r="F146" s="281"/>
      <c r="G146" s="280"/>
      <c r="H146" s="282"/>
      <c r="I146" s="283"/>
      <c r="J146" s="280"/>
      <c r="K146" s="103"/>
      <c r="L146" s="146"/>
      <c r="M146" s="103"/>
      <c r="N146" s="103"/>
      <c r="O146" s="103">
        <f t="shared" si="3"/>
        <v>0</v>
      </c>
      <c r="P146" s="104">
        <f t="shared" si="4"/>
        <v>0</v>
      </c>
      <c r="Q146" s="147"/>
      <c r="R146" s="103"/>
      <c r="S146" s="103">
        <f t="shared" si="6"/>
        <v>0</v>
      </c>
      <c r="U146" s="107" t="str">
        <f t="shared" si="7"/>
        <v>0</v>
      </c>
    </row>
    <row r="147" ht="15.75" customHeight="1">
      <c r="A147" s="279"/>
      <c r="B147" s="280"/>
      <c r="C147" s="280"/>
      <c r="D147" s="280"/>
      <c r="E147" s="281"/>
      <c r="F147" s="281"/>
      <c r="G147" s="280"/>
      <c r="H147" s="282"/>
      <c r="I147" s="283"/>
      <c r="J147" s="280"/>
      <c r="K147" s="103"/>
      <c r="L147" s="146"/>
      <c r="M147" s="103"/>
      <c r="N147" s="103"/>
      <c r="O147" s="103">
        <f t="shared" si="3"/>
        <v>0</v>
      </c>
      <c r="P147" s="104">
        <f t="shared" si="4"/>
        <v>0</v>
      </c>
      <c r="Q147" s="147"/>
      <c r="R147" s="103"/>
      <c r="S147" s="103">
        <f t="shared" si="6"/>
        <v>0</v>
      </c>
      <c r="U147" s="107" t="str">
        <f t="shared" si="7"/>
        <v>0</v>
      </c>
    </row>
    <row r="148" ht="15.75" customHeight="1">
      <c r="A148" s="279"/>
      <c r="B148" s="280"/>
      <c r="C148" s="280"/>
      <c r="D148" s="280"/>
      <c r="E148" s="281"/>
      <c r="F148" s="281"/>
      <c r="G148" s="280"/>
      <c r="H148" s="282"/>
      <c r="I148" s="283"/>
      <c r="J148" s="280"/>
      <c r="K148" s="103"/>
      <c r="L148" s="146"/>
      <c r="M148" s="103"/>
      <c r="N148" s="103"/>
      <c r="O148" s="103">
        <f t="shared" si="3"/>
        <v>0</v>
      </c>
      <c r="P148" s="104">
        <f t="shared" si="4"/>
        <v>0</v>
      </c>
      <c r="Q148" s="147"/>
      <c r="R148" s="103"/>
      <c r="S148" s="103">
        <f t="shared" si="6"/>
        <v>0</v>
      </c>
      <c r="U148" s="107" t="str">
        <f t="shared" si="7"/>
        <v>0</v>
      </c>
    </row>
    <row r="149" ht="15.75" customHeight="1">
      <c r="A149" s="279"/>
      <c r="B149" s="280"/>
      <c r="C149" s="280"/>
      <c r="D149" s="280"/>
      <c r="E149" s="281"/>
      <c r="F149" s="281"/>
      <c r="G149" s="280"/>
      <c r="H149" s="282"/>
      <c r="I149" s="283"/>
      <c r="J149" s="280"/>
      <c r="K149" s="103"/>
      <c r="L149" s="146"/>
      <c r="M149" s="103"/>
      <c r="N149" s="103"/>
      <c r="O149" s="103">
        <f t="shared" si="3"/>
        <v>0</v>
      </c>
      <c r="P149" s="104">
        <f t="shared" si="4"/>
        <v>0</v>
      </c>
      <c r="Q149" s="147"/>
      <c r="R149" s="103"/>
      <c r="S149" s="103">
        <f t="shared" si="6"/>
        <v>0</v>
      </c>
      <c r="U149" s="107" t="str">
        <f t="shared" si="7"/>
        <v>0</v>
      </c>
    </row>
    <row r="150" ht="15.75" customHeight="1">
      <c r="A150" s="279"/>
      <c r="B150" s="280"/>
      <c r="C150" s="280"/>
      <c r="D150" s="280"/>
      <c r="E150" s="281"/>
      <c r="F150" s="281"/>
      <c r="G150" s="280"/>
      <c r="H150" s="282"/>
      <c r="I150" s="283"/>
      <c r="J150" s="280"/>
      <c r="K150" s="103"/>
      <c r="L150" s="146"/>
      <c r="M150" s="103"/>
      <c r="N150" s="103"/>
      <c r="O150" s="103">
        <f t="shared" si="3"/>
        <v>0</v>
      </c>
      <c r="P150" s="104">
        <f t="shared" si="4"/>
        <v>0</v>
      </c>
      <c r="Q150" s="147"/>
      <c r="R150" s="103"/>
      <c r="S150" s="103">
        <f t="shared" si="6"/>
        <v>0</v>
      </c>
      <c r="U150" s="107" t="str">
        <f t="shared" si="7"/>
        <v>0</v>
      </c>
    </row>
    <row r="151" ht="15.75" customHeight="1">
      <c r="A151" s="279"/>
      <c r="B151" s="280"/>
      <c r="C151" s="280"/>
      <c r="D151" s="280"/>
      <c r="E151" s="281"/>
      <c r="F151" s="281"/>
      <c r="G151" s="280"/>
      <c r="H151" s="282"/>
      <c r="I151" s="283"/>
      <c r="J151" s="280"/>
      <c r="K151" s="103"/>
      <c r="L151" s="146"/>
      <c r="M151" s="103"/>
      <c r="N151" s="103"/>
      <c r="O151" s="103">
        <f t="shared" si="3"/>
        <v>0</v>
      </c>
      <c r="P151" s="104">
        <f t="shared" si="4"/>
        <v>0</v>
      </c>
      <c r="Q151" s="147"/>
      <c r="R151" s="103"/>
      <c r="S151" s="103">
        <f t="shared" si="6"/>
        <v>0</v>
      </c>
      <c r="U151" s="107" t="str">
        <f t="shared" si="7"/>
        <v>0</v>
      </c>
    </row>
    <row r="152" ht="15.75" customHeight="1">
      <c r="A152" s="279"/>
      <c r="B152" s="280"/>
      <c r="C152" s="280"/>
      <c r="D152" s="280"/>
      <c r="E152" s="281"/>
      <c r="F152" s="281"/>
      <c r="G152" s="280"/>
      <c r="H152" s="282"/>
      <c r="I152" s="283"/>
      <c r="J152" s="280"/>
      <c r="K152" s="103"/>
      <c r="L152" s="146"/>
      <c r="M152" s="103"/>
      <c r="N152" s="103"/>
      <c r="O152" s="103">
        <f t="shared" si="3"/>
        <v>0</v>
      </c>
      <c r="P152" s="104">
        <f t="shared" si="4"/>
        <v>0</v>
      </c>
      <c r="Q152" s="147"/>
      <c r="R152" s="103"/>
      <c r="S152" s="103">
        <f t="shared" si="6"/>
        <v>0</v>
      </c>
      <c r="U152" s="107" t="str">
        <f t="shared" si="7"/>
        <v>0</v>
      </c>
    </row>
    <row r="153" ht="15.75" customHeight="1">
      <c r="A153" s="279"/>
      <c r="B153" s="280"/>
      <c r="C153" s="280"/>
      <c r="D153" s="280"/>
      <c r="E153" s="281"/>
      <c r="F153" s="281"/>
      <c r="G153" s="280"/>
      <c r="H153" s="282"/>
      <c r="I153" s="283"/>
      <c r="J153" s="280"/>
      <c r="K153" s="103"/>
      <c r="L153" s="146"/>
      <c r="M153" s="103"/>
      <c r="N153" s="103"/>
      <c r="O153" s="103">
        <f t="shared" si="3"/>
        <v>0</v>
      </c>
      <c r="P153" s="104">
        <f t="shared" si="4"/>
        <v>0</v>
      </c>
      <c r="Q153" s="147"/>
      <c r="R153" s="103"/>
      <c r="S153" s="103">
        <f t="shared" si="6"/>
        <v>0</v>
      </c>
      <c r="U153" s="107" t="str">
        <f t="shared" si="7"/>
        <v>0</v>
      </c>
    </row>
    <row r="154" ht="15.75" customHeight="1">
      <c r="A154" s="279"/>
      <c r="B154" s="280"/>
      <c r="C154" s="280"/>
      <c r="D154" s="280"/>
      <c r="E154" s="281"/>
      <c r="F154" s="281"/>
      <c r="G154" s="280"/>
      <c r="H154" s="282"/>
      <c r="I154" s="283"/>
      <c r="J154" s="280"/>
      <c r="K154" s="103"/>
      <c r="L154" s="146"/>
      <c r="M154" s="103"/>
      <c r="N154" s="103"/>
      <c r="O154" s="103">
        <f t="shared" si="3"/>
        <v>0</v>
      </c>
      <c r="P154" s="104">
        <f t="shared" si="4"/>
        <v>0</v>
      </c>
      <c r="Q154" s="147"/>
      <c r="R154" s="103"/>
      <c r="S154" s="103">
        <f t="shared" si="6"/>
        <v>0</v>
      </c>
      <c r="U154" s="107" t="str">
        <f t="shared" si="7"/>
        <v>0</v>
      </c>
    </row>
    <row r="155" ht="15.75" customHeight="1">
      <c r="A155" s="279"/>
      <c r="B155" s="280"/>
      <c r="C155" s="280"/>
      <c r="D155" s="280"/>
      <c r="E155" s="281"/>
      <c r="F155" s="281"/>
      <c r="G155" s="280"/>
      <c r="H155" s="282"/>
      <c r="I155" s="283"/>
      <c r="J155" s="280"/>
      <c r="K155" s="103"/>
      <c r="L155" s="146"/>
      <c r="M155" s="103"/>
      <c r="N155" s="103"/>
      <c r="O155" s="103">
        <f t="shared" si="3"/>
        <v>0</v>
      </c>
      <c r="P155" s="104">
        <f t="shared" si="4"/>
        <v>0</v>
      </c>
      <c r="Q155" s="147"/>
      <c r="R155" s="103"/>
      <c r="S155" s="103">
        <f t="shared" si="6"/>
        <v>0</v>
      </c>
      <c r="U155" s="107" t="str">
        <f t="shared" si="7"/>
        <v>0</v>
      </c>
    </row>
    <row r="156" ht="15.75" customHeight="1">
      <c r="A156" s="279"/>
      <c r="B156" s="280"/>
      <c r="C156" s="280"/>
      <c r="D156" s="280"/>
      <c r="E156" s="281"/>
      <c r="F156" s="281"/>
      <c r="G156" s="280"/>
      <c r="H156" s="282"/>
      <c r="I156" s="283"/>
      <c r="J156" s="280"/>
      <c r="K156" s="103"/>
      <c r="L156" s="146"/>
      <c r="M156" s="103"/>
      <c r="N156" s="103"/>
      <c r="O156" s="103">
        <f t="shared" si="3"/>
        <v>0</v>
      </c>
      <c r="P156" s="104">
        <f t="shared" si="4"/>
        <v>0</v>
      </c>
      <c r="Q156" s="147"/>
      <c r="R156" s="103"/>
      <c r="S156" s="103">
        <f t="shared" si="6"/>
        <v>0</v>
      </c>
      <c r="U156" s="107" t="str">
        <f t="shared" si="7"/>
        <v>0</v>
      </c>
    </row>
    <row r="157" ht="15.75" customHeight="1">
      <c r="A157" s="279"/>
      <c r="B157" s="280"/>
      <c r="C157" s="280"/>
      <c r="D157" s="280"/>
      <c r="E157" s="281"/>
      <c r="F157" s="281"/>
      <c r="G157" s="280"/>
      <c r="H157" s="282"/>
      <c r="I157" s="283"/>
      <c r="J157" s="280"/>
      <c r="K157" s="103"/>
      <c r="L157" s="146"/>
      <c r="M157" s="103"/>
      <c r="N157" s="103"/>
      <c r="O157" s="103">
        <f t="shared" si="3"/>
        <v>0</v>
      </c>
      <c r="P157" s="104">
        <f t="shared" si="4"/>
        <v>0</v>
      </c>
      <c r="Q157" s="147"/>
      <c r="R157" s="103"/>
      <c r="S157" s="103">
        <f t="shared" si="6"/>
        <v>0</v>
      </c>
      <c r="U157" s="107" t="str">
        <f t="shared" si="7"/>
        <v>0</v>
      </c>
    </row>
    <row r="158" ht="15.75" customHeight="1">
      <c r="A158" s="279"/>
      <c r="B158" s="280"/>
      <c r="C158" s="280"/>
      <c r="D158" s="280"/>
      <c r="E158" s="281"/>
      <c r="F158" s="281"/>
      <c r="G158" s="280"/>
      <c r="H158" s="282"/>
      <c r="I158" s="283"/>
      <c r="J158" s="280"/>
      <c r="K158" s="103"/>
      <c r="L158" s="146"/>
      <c r="M158" s="103"/>
      <c r="N158" s="103"/>
      <c r="O158" s="103">
        <f t="shared" si="3"/>
        <v>0</v>
      </c>
      <c r="P158" s="104">
        <f t="shared" si="4"/>
        <v>0</v>
      </c>
      <c r="Q158" s="147"/>
      <c r="R158" s="103"/>
      <c r="S158" s="103">
        <f t="shared" si="6"/>
        <v>0</v>
      </c>
      <c r="U158" s="107" t="str">
        <f t="shared" si="7"/>
        <v>0</v>
      </c>
    </row>
    <row r="159" ht="15.75" customHeight="1">
      <c r="A159" s="279"/>
      <c r="B159" s="280"/>
      <c r="C159" s="280"/>
      <c r="D159" s="280"/>
      <c r="E159" s="281"/>
      <c r="F159" s="281"/>
      <c r="G159" s="280"/>
      <c r="H159" s="282"/>
      <c r="I159" s="283"/>
      <c r="J159" s="280"/>
      <c r="K159" s="103"/>
      <c r="L159" s="146"/>
      <c r="M159" s="103"/>
      <c r="N159" s="103"/>
      <c r="O159" s="103">
        <f t="shared" si="3"/>
        <v>0</v>
      </c>
      <c r="P159" s="104">
        <f t="shared" si="4"/>
        <v>0</v>
      </c>
      <c r="Q159" s="147"/>
      <c r="R159" s="103"/>
      <c r="S159" s="103">
        <f t="shared" si="6"/>
        <v>0</v>
      </c>
      <c r="U159" s="107" t="str">
        <f t="shared" si="7"/>
        <v>0</v>
      </c>
    </row>
    <row r="160" ht="15.75" customHeight="1">
      <c r="A160" s="279"/>
      <c r="B160" s="280"/>
      <c r="C160" s="280"/>
      <c r="D160" s="280"/>
      <c r="E160" s="281"/>
      <c r="F160" s="281"/>
      <c r="G160" s="280"/>
      <c r="H160" s="282"/>
      <c r="I160" s="283"/>
      <c r="J160" s="280"/>
      <c r="K160" s="103"/>
      <c r="L160" s="146"/>
      <c r="M160" s="103"/>
      <c r="N160" s="103"/>
      <c r="O160" s="103">
        <f t="shared" si="3"/>
        <v>0</v>
      </c>
      <c r="P160" s="104">
        <f t="shared" si="4"/>
        <v>0</v>
      </c>
      <c r="Q160" s="147"/>
      <c r="R160" s="103"/>
      <c r="S160" s="103">
        <f t="shared" si="6"/>
        <v>0</v>
      </c>
      <c r="U160" s="107" t="str">
        <f t="shared" si="7"/>
        <v>0</v>
      </c>
    </row>
    <row r="161" ht="15.75" customHeight="1">
      <c r="A161" s="279"/>
      <c r="B161" s="280"/>
      <c r="C161" s="280"/>
      <c r="D161" s="280"/>
      <c r="E161" s="281"/>
      <c r="F161" s="281"/>
      <c r="G161" s="280"/>
      <c r="H161" s="282"/>
      <c r="I161" s="283"/>
      <c r="J161" s="280"/>
      <c r="K161" s="103"/>
      <c r="L161" s="146"/>
      <c r="M161" s="103"/>
      <c r="N161" s="103"/>
      <c r="O161" s="103">
        <f t="shared" si="3"/>
        <v>0</v>
      </c>
      <c r="P161" s="104">
        <f t="shared" si="4"/>
        <v>0</v>
      </c>
      <c r="Q161" s="147"/>
      <c r="R161" s="103"/>
      <c r="S161" s="103">
        <f t="shared" si="6"/>
        <v>0</v>
      </c>
      <c r="U161" s="107" t="str">
        <f t="shared" si="7"/>
        <v>0</v>
      </c>
    </row>
    <row r="162" ht="15.75" customHeight="1">
      <c r="A162" s="279"/>
      <c r="B162" s="280"/>
      <c r="C162" s="280"/>
      <c r="D162" s="280"/>
      <c r="E162" s="281"/>
      <c r="F162" s="281"/>
      <c r="G162" s="280"/>
      <c r="H162" s="282"/>
      <c r="I162" s="283"/>
      <c r="J162" s="280"/>
      <c r="K162" s="103"/>
      <c r="L162" s="146"/>
      <c r="M162" s="103"/>
      <c r="N162" s="103"/>
      <c r="O162" s="103">
        <f t="shared" si="3"/>
        <v>0</v>
      </c>
      <c r="P162" s="104">
        <f t="shared" si="4"/>
        <v>0</v>
      </c>
      <c r="Q162" s="147"/>
      <c r="R162" s="103"/>
      <c r="S162" s="103">
        <f t="shared" si="6"/>
        <v>0</v>
      </c>
      <c r="U162" s="107" t="str">
        <f t="shared" si="7"/>
        <v>0</v>
      </c>
    </row>
    <row r="163" ht="15.75" customHeight="1">
      <c r="A163" s="279"/>
      <c r="B163" s="280"/>
      <c r="C163" s="280"/>
      <c r="D163" s="280"/>
      <c r="E163" s="281"/>
      <c r="F163" s="281"/>
      <c r="G163" s="280"/>
      <c r="H163" s="282"/>
      <c r="I163" s="283"/>
      <c r="J163" s="280"/>
      <c r="K163" s="103"/>
      <c r="L163" s="146"/>
      <c r="M163" s="103"/>
      <c r="N163" s="103"/>
      <c r="O163" s="103">
        <f t="shared" si="3"/>
        <v>0</v>
      </c>
      <c r="P163" s="104">
        <f t="shared" si="4"/>
        <v>0</v>
      </c>
      <c r="Q163" s="147"/>
      <c r="R163" s="103"/>
      <c r="S163" s="103">
        <f t="shared" si="6"/>
        <v>0</v>
      </c>
      <c r="U163" s="107" t="str">
        <f t="shared" si="7"/>
        <v>0</v>
      </c>
    </row>
    <row r="164" ht="15.75" customHeight="1">
      <c r="A164" s="279"/>
      <c r="B164" s="280"/>
      <c r="C164" s="280"/>
      <c r="D164" s="280"/>
      <c r="E164" s="281"/>
      <c r="F164" s="281"/>
      <c r="G164" s="280"/>
      <c r="H164" s="282"/>
      <c r="I164" s="283"/>
      <c r="J164" s="280"/>
      <c r="K164" s="103"/>
      <c r="L164" s="146"/>
      <c r="M164" s="103"/>
      <c r="N164" s="103"/>
      <c r="O164" s="103">
        <f t="shared" si="3"/>
        <v>0</v>
      </c>
      <c r="P164" s="104">
        <f t="shared" si="4"/>
        <v>0</v>
      </c>
      <c r="Q164" s="147"/>
      <c r="R164" s="103"/>
      <c r="S164" s="103">
        <f t="shared" si="6"/>
        <v>0</v>
      </c>
      <c r="U164" s="107" t="str">
        <f t="shared" si="7"/>
        <v>0</v>
      </c>
    </row>
    <row r="165" ht="15.75" customHeight="1">
      <c r="A165" s="279"/>
      <c r="B165" s="280"/>
      <c r="C165" s="280"/>
      <c r="D165" s="280"/>
      <c r="E165" s="281"/>
      <c r="F165" s="281"/>
      <c r="G165" s="280"/>
      <c r="H165" s="282"/>
      <c r="I165" s="283"/>
      <c r="J165" s="280"/>
      <c r="K165" s="103"/>
      <c r="L165" s="146"/>
      <c r="M165" s="103"/>
      <c r="N165" s="103"/>
      <c r="O165" s="103">
        <f t="shared" si="3"/>
        <v>0</v>
      </c>
      <c r="P165" s="104">
        <f t="shared" si="4"/>
        <v>0</v>
      </c>
      <c r="Q165" s="147"/>
      <c r="R165" s="103"/>
      <c r="S165" s="103">
        <f t="shared" si="6"/>
        <v>0</v>
      </c>
      <c r="U165" s="107" t="str">
        <f t="shared" si="7"/>
        <v>0</v>
      </c>
    </row>
    <row r="166" ht="15.75" customHeight="1">
      <c r="A166" s="279"/>
      <c r="B166" s="280"/>
      <c r="C166" s="280"/>
      <c r="D166" s="280"/>
      <c r="E166" s="281"/>
      <c r="F166" s="281"/>
      <c r="G166" s="280"/>
      <c r="H166" s="282"/>
      <c r="I166" s="283"/>
      <c r="J166" s="280"/>
      <c r="K166" s="103"/>
      <c r="L166" s="146"/>
      <c r="M166" s="103"/>
      <c r="N166" s="103"/>
      <c r="O166" s="103">
        <f t="shared" si="3"/>
        <v>0</v>
      </c>
      <c r="P166" s="104">
        <f t="shared" si="4"/>
        <v>0</v>
      </c>
      <c r="Q166" s="147"/>
      <c r="R166" s="103"/>
      <c r="S166" s="103">
        <f t="shared" si="6"/>
        <v>0</v>
      </c>
      <c r="U166" s="107" t="str">
        <f t="shared" si="7"/>
        <v>0</v>
      </c>
    </row>
    <row r="167" ht="15.75" customHeight="1">
      <c r="A167" s="279"/>
      <c r="B167" s="280"/>
      <c r="C167" s="280"/>
      <c r="D167" s="280"/>
      <c r="E167" s="281"/>
      <c r="F167" s="281"/>
      <c r="G167" s="280"/>
      <c r="H167" s="282"/>
      <c r="I167" s="283"/>
      <c r="J167" s="280"/>
      <c r="K167" s="103"/>
      <c r="L167" s="146"/>
      <c r="M167" s="103"/>
      <c r="N167" s="103"/>
      <c r="O167" s="103">
        <f t="shared" si="3"/>
        <v>0</v>
      </c>
      <c r="P167" s="104">
        <f t="shared" si="4"/>
        <v>0</v>
      </c>
      <c r="Q167" s="147"/>
      <c r="R167" s="103"/>
      <c r="S167" s="103">
        <f t="shared" si="6"/>
        <v>0</v>
      </c>
      <c r="U167" s="107" t="str">
        <f t="shared" si="7"/>
        <v>0</v>
      </c>
    </row>
    <row r="168" ht="15.75" customHeight="1">
      <c r="A168" s="279"/>
      <c r="B168" s="280"/>
      <c r="C168" s="280"/>
      <c r="D168" s="280"/>
      <c r="E168" s="281"/>
      <c r="F168" s="281"/>
      <c r="G168" s="280"/>
      <c r="H168" s="282"/>
      <c r="I168" s="283"/>
      <c r="J168" s="280"/>
      <c r="K168" s="103"/>
      <c r="L168" s="146"/>
      <c r="M168" s="103"/>
      <c r="N168" s="103"/>
      <c r="O168" s="103">
        <f t="shared" si="3"/>
        <v>0</v>
      </c>
      <c r="P168" s="104">
        <f t="shared" si="4"/>
        <v>0</v>
      </c>
      <c r="Q168" s="147"/>
      <c r="R168" s="103"/>
      <c r="S168" s="103">
        <f t="shared" si="6"/>
        <v>0</v>
      </c>
      <c r="U168" s="107" t="str">
        <f t="shared" si="7"/>
        <v>0</v>
      </c>
    </row>
    <row r="169" ht="15.75" customHeight="1">
      <c r="A169" s="279"/>
      <c r="B169" s="280"/>
      <c r="C169" s="280"/>
      <c r="D169" s="280"/>
      <c r="E169" s="281"/>
      <c r="F169" s="281"/>
      <c r="G169" s="280"/>
      <c r="H169" s="282"/>
      <c r="I169" s="283"/>
      <c r="J169" s="280"/>
      <c r="K169" s="103"/>
      <c r="L169" s="146"/>
      <c r="M169" s="103"/>
      <c r="N169" s="103"/>
      <c r="O169" s="103">
        <f t="shared" si="3"/>
        <v>0</v>
      </c>
      <c r="P169" s="104">
        <f t="shared" si="4"/>
        <v>0</v>
      </c>
      <c r="Q169" s="147"/>
      <c r="R169" s="103"/>
      <c r="S169" s="103">
        <f t="shared" si="6"/>
        <v>0</v>
      </c>
      <c r="U169" s="107" t="str">
        <f t="shared" si="7"/>
        <v>0</v>
      </c>
    </row>
    <row r="170" ht="15.75" customHeight="1">
      <c r="A170" s="279"/>
      <c r="B170" s="280"/>
      <c r="C170" s="280"/>
      <c r="D170" s="280"/>
      <c r="E170" s="281"/>
      <c r="F170" s="281"/>
      <c r="G170" s="280"/>
      <c r="H170" s="282"/>
      <c r="I170" s="283"/>
      <c r="J170" s="280"/>
      <c r="K170" s="103"/>
      <c r="L170" s="146"/>
      <c r="M170" s="103"/>
      <c r="N170" s="103"/>
      <c r="O170" s="103">
        <f t="shared" si="3"/>
        <v>0</v>
      </c>
      <c r="P170" s="104">
        <f t="shared" si="4"/>
        <v>0</v>
      </c>
      <c r="Q170" s="147"/>
      <c r="R170" s="103"/>
      <c r="S170" s="103">
        <f t="shared" si="6"/>
        <v>0</v>
      </c>
      <c r="U170" s="107" t="str">
        <f t="shared" si="7"/>
        <v>0</v>
      </c>
    </row>
    <row r="171" ht="15.75" customHeight="1">
      <c r="A171" s="279"/>
      <c r="B171" s="280"/>
      <c r="C171" s="280"/>
      <c r="D171" s="280"/>
      <c r="E171" s="281"/>
      <c r="F171" s="281"/>
      <c r="G171" s="280"/>
      <c r="H171" s="282"/>
      <c r="I171" s="283"/>
      <c r="J171" s="280"/>
      <c r="K171" s="103"/>
      <c r="L171" s="146"/>
      <c r="M171" s="103"/>
      <c r="N171" s="103"/>
      <c r="O171" s="103">
        <f t="shared" si="3"/>
        <v>0</v>
      </c>
      <c r="P171" s="104">
        <f t="shared" si="4"/>
        <v>0</v>
      </c>
      <c r="Q171" s="147"/>
      <c r="R171" s="103"/>
      <c r="S171" s="103">
        <f t="shared" si="6"/>
        <v>0</v>
      </c>
      <c r="U171" s="107" t="str">
        <f t="shared" si="7"/>
        <v>0</v>
      </c>
    </row>
    <row r="172" ht="15.75" customHeight="1">
      <c r="A172" s="279"/>
      <c r="B172" s="280"/>
      <c r="C172" s="280"/>
      <c r="D172" s="280"/>
      <c r="E172" s="281"/>
      <c r="F172" s="281"/>
      <c r="G172" s="280"/>
      <c r="H172" s="282"/>
      <c r="I172" s="283"/>
      <c r="J172" s="280"/>
      <c r="K172" s="103"/>
      <c r="L172" s="146"/>
      <c r="M172" s="103"/>
      <c r="N172" s="103"/>
      <c r="O172" s="103">
        <f t="shared" si="3"/>
        <v>0</v>
      </c>
      <c r="P172" s="104">
        <f t="shared" si="4"/>
        <v>0</v>
      </c>
      <c r="Q172" s="147"/>
      <c r="R172" s="103"/>
      <c r="S172" s="103">
        <f t="shared" si="6"/>
        <v>0</v>
      </c>
      <c r="U172" s="107" t="str">
        <f t="shared" si="7"/>
        <v>0</v>
      </c>
    </row>
    <row r="173" ht="15.75" customHeight="1">
      <c r="A173" s="279"/>
      <c r="B173" s="280"/>
      <c r="C173" s="280"/>
      <c r="D173" s="280"/>
      <c r="E173" s="281"/>
      <c r="F173" s="281"/>
      <c r="G173" s="280"/>
      <c r="H173" s="282"/>
      <c r="I173" s="283"/>
      <c r="J173" s="280"/>
      <c r="K173" s="103"/>
      <c r="L173" s="146"/>
      <c r="M173" s="103"/>
      <c r="N173" s="103"/>
      <c r="O173" s="103">
        <f t="shared" si="3"/>
        <v>0</v>
      </c>
      <c r="P173" s="104">
        <f t="shared" si="4"/>
        <v>0</v>
      </c>
      <c r="Q173" s="147"/>
      <c r="R173" s="103"/>
      <c r="S173" s="103">
        <f t="shared" si="6"/>
        <v>0</v>
      </c>
      <c r="U173" s="107" t="str">
        <f t="shared" si="7"/>
        <v>0</v>
      </c>
    </row>
    <row r="174" ht="15.75" customHeight="1">
      <c r="A174" s="279"/>
      <c r="B174" s="280"/>
      <c r="C174" s="280"/>
      <c r="D174" s="280"/>
      <c r="E174" s="281"/>
      <c r="F174" s="281"/>
      <c r="G174" s="280"/>
      <c r="H174" s="282"/>
      <c r="I174" s="283"/>
      <c r="J174" s="280"/>
      <c r="K174" s="103"/>
      <c r="L174" s="146"/>
      <c r="M174" s="103"/>
      <c r="N174" s="103"/>
      <c r="O174" s="103">
        <f t="shared" si="3"/>
        <v>0</v>
      </c>
      <c r="P174" s="104">
        <f t="shared" si="4"/>
        <v>0</v>
      </c>
      <c r="Q174" s="147"/>
      <c r="R174" s="103"/>
      <c r="S174" s="103">
        <f t="shared" si="6"/>
        <v>0</v>
      </c>
      <c r="U174" s="107" t="str">
        <f t="shared" si="7"/>
        <v>0</v>
      </c>
    </row>
    <row r="175" ht="15.75" customHeight="1">
      <c r="A175" s="279"/>
      <c r="B175" s="280"/>
      <c r="C175" s="280"/>
      <c r="D175" s="280"/>
      <c r="E175" s="281"/>
      <c r="F175" s="281"/>
      <c r="G175" s="280"/>
      <c r="H175" s="282"/>
      <c r="I175" s="283"/>
      <c r="J175" s="280"/>
      <c r="K175" s="103"/>
      <c r="L175" s="146"/>
      <c r="M175" s="103"/>
      <c r="N175" s="103"/>
      <c r="O175" s="103">
        <f t="shared" si="3"/>
        <v>0</v>
      </c>
      <c r="P175" s="104">
        <f t="shared" si="4"/>
        <v>0</v>
      </c>
      <c r="Q175" s="147"/>
      <c r="R175" s="103"/>
      <c r="S175" s="103">
        <f t="shared" si="6"/>
        <v>0</v>
      </c>
      <c r="U175" s="107" t="str">
        <f t="shared" si="7"/>
        <v>0</v>
      </c>
    </row>
    <row r="176" ht="15.75" customHeight="1">
      <c r="A176" s="279"/>
      <c r="B176" s="280"/>
      <c r="C176" s="280"/>
      <c r="D176" s="280"/>
      <c r="E176" s="281"/>
      <c r="F176" s="281"/>
      <c r="G176" s="280"/>
      <c r="H176" s="282"/>
      <c r="I176" s="283"/>
      <c r="J176" s="280"/>
      <c r="K176" s="103"/>
      <c r="L176" s="146"/>
      <c r="M176" s="103"/>
      <c r="N176" s="103"/>
      <c r="O176" s="103">
        <f t="shared" si="3"/>
        <v>0</v>
      </c>
      <c r="P176" s="104">
        <f t="shared" si="4"/>
        <v>0</v>
      </c>
      <c r="Q176" s="147"/>
      <c r="R176" s="103"/>
      <c r="S176" s="103">
        <f t="shared" si="6"/>
        <v>0</v>
      </c>
      <c r="U176" s="107" t="str">
        <f t="shared" si="7"/>
        <v>0</v>
      </c>
    </row>
    <row r="177" ht="15.75" customHeight="1">
      <c r="A177" s="279"/>
      <c r="B177" s="280"/>
      <c r="C177" s="280"/>
      <c r="D177" s="280"/>
      <c r="E177" s="281"/>
      <c r="F177" s="281"/>
      <c r="G177" s="280"/>
      <c r="H177" s="282"/>
      <c r="I177" s="283"/>
      <c r="J177" s="280"/>
      <c r="K177" s="103"/>
      <c r="L177" s="146"/>
      <c r="M177" s="103"/>
      <c r="N177" s="103"/>
      <c r="O177" s="103">
        <f t="shared" si="3"/>
        <v>0</v>
      </c>
      <c r="P177" s="104">
        <f t="shared" si="4"/>
        <v>0</v>
      </c>
      <c r="Q177" s="147"/>
      <c r="R177" s="103"/>
      <c r="S177" s="103">
        <f t="shared" si="6"/>
        <v>0</v>
      </c>
      <c r="U177" s="107" t="str">
        <f t="shared" si="7"/>
        <v>0</v>
      </c>
    </row>
    <row r="178" ht="15.75" customHeight="1">
      <c r="A178" s="279"/>
      <c r="B178" s="280"/>
      <c r="C178" s="280"/>
      <c r="D178" s="280"/>
      <c r="E178" s="281"/>
      <c r="F178" s="281"/>
      <c r="G178" s="280"/>
      <c r="H178" s="282"/>
      <c r="I178" s="283"/>
      <c r="J178" s="280"/>
      <c r="K178" s="103"/>
      <c r="L178" s="146"/>
      <c r="M178" s="103"/>
      <c r="N178" s="103"/>
      <c r="O178" s="103">
        <f t="shared" si="3"/>
        <v>0</v>
      </c>
      <c r="P178" s="104">
        <f t="shared" si="4"/>
        <v>0</v>
      </c>
      <c r="Q178" s="147"/>
      <c r="R178" s="103"/>
      <c r="S178" s="103">
        <f t="shared" si="6"/>
        <v>0</v>
      </c>
      <c r="U178" s="107" t="str">
        <f t="shared" si="7"/>
        <v>0</v>
      </c>
    </row>
    <row r="179" ht="15.75" customHeight="1">
      <c r="A179" s="279"/>
      <c r="B179" s="280"/>
      <c r="C179" s="280"/>
      <c r="D179" s="280"/>
      <c r="E179" s="281"/>
      <c r="F179" s="281"/>
      <c r="G179" s="280"/>
      <c r="H179" s="282"/>
      <c r="I179" s="283"/>
      <c r="J179" s="280"/>
      <c r="K179" s="103"/>
      <c r="L179" s="146"/>
      <c r="M179" s="103"/>
      <c r="N179" s="103"/>
      <c r="O179" s="103">
        <f t="shared" si="3"/>
        <v>0</v>
      </c>
      <c r="P179" s="104">
        <f t="shared" si="4"/>
        <v>0</v>
      </c>
      <c r="Q179" s="147"/>
      <c r="R179" s="103"/>
      <c r="S179" s="103">
        <f t="shared" si="6"/>
        <v>0</v>
      </c>
      <c r="U179" s="107" t="str">
        <f t="shared" si="7"/>
        <v>0</v>
      </c>
    </row>
    <row r="180" ht="15.75" customHeight="1">
      <c r="A180" s="279"/>
      <c r="B180" s="280"/>
      <c r="C180" s="280"/>
      <c r="D180" s="280"/>
      <c r="E180" s="281"/>
      <c r="F180" s="281"/>
      <c r="G180" s="280"/>
      <c r="H180" s="282"/>
      <c r="I180" s="283"/>
      <c r="J180" s="280"/>
      <c r="K180" s="103"/>
      <c r="L180" s="146"/>
      <c r="M180" s="103"/>
      <c r="N180" s="103"/>
      <c r="O180" s="103">
        <f t="shared" si="3"/>
        <v>0</v>
      </c>
      <c r="P180" s="104">
        <f t="shared" si="4"/>
        <v>0</v>
      </c>
      <c r="Q180" s="147"/>
      <c r="R180" s="103"/>
      <c r="S180" s="103">
        <f t="shared" si="6"/>
        <v>0</v>
      </c>
      <c r="U180" s="107" t="str">
        <f t="shared" si="7"/>
        <v>0</v>
      </c>
    </row>
    <row r="181" ht="15.75" customHeight="1">
      <c r="A181" s="279"/>
      <c r="B181" s="280"/>
      <c r="C181" s="280"/>
      <c r="D181" s="280"/>
      <c r="E181" s="281"/>
      <c r="F181" s="281"/>
      <c r="G181" s="280"/>
      <c r="H181" s="282"/>
      <c r="I181" s="283"/>
      <c r="J181" s="280"/>
      <c r="K181" s="103"/>
      <c r="L181" s="146"/>
      <c r="M181" s="103"/>
      <c r="N181" s="103"/>
      <c r="O181" s="103">
        <f t="shared" si="3"/>
        <v>0</v>
      </c>
      <c r="P181" s="104">
        <f t="shared" si="4"/>
        <v>0</v>
      </c>
      <c r="Q181" s="147"/>
      <c r="R181" s="103"/>
      <c r="S181" s="103">
        <f t="shared" si="6"/>
        <v>0</v>
      </c>
      <c r="U181" s="107" t="str">
        <f t="shared" si="7"/>
        <v>0</v>
      </c>
    </row>
    <row r="182" ht="15.75" customHeight="1">
      <c r="A182" s="279"/>
      <c r="B182" s="280"/>
      <c r="C182" s="280"/>
      <c r="D182" s="280"/>
      <c r="E182" s="281"/>
      <c r="F182" s="281"/>
      <c r="G182" s="280"/>
      <c r="H182" s="282"/>
      <c r="I182" s="283"/>
      <c r="J182" s="280"/>
      <c r="K182" s="103"/>
      <c r="L182" s="146"/>
      <c r="M182" s="103"/>
      <c r="N182" s="103"/>
      <c r="O182" s="103">
        <f t="shared" si="3"/>
        <v>0</v>
      </c>
      <c r="P182" s="104">
        <f t="shared" si="4"/>
        <v>0</v>
      </c>
      <c r="Q182" s="147"/>
      <c r="R182" s="103"/>
      <c r="S182" s="103">
        <f t="shared" si="6"/>
        <v>0</v>
      </c>
      <c r="U182" s="107" t="str">
        <f t="shared" si="7"/>
        <v>0</v>
      </c>
    </row>
    <row r="183" ht="15.75" customHeight="1">
      <c r="A183" s="279"/>
      <c r="B183" s="280"/>
      <c r="C183" s="280"/>
      <c r="D183" s="280"/>
      <c r="E183" s="281"/>
      <c r="F183" s="281"/>
      <c r="G183" s="280"/>
      <c r="H183" s="282"/>
      <c r="I183" s="283"/>
      <c r="J183" s="280"/>
      <c r="K183" s="103"/>
      <c r="L183" s="146"/>
      <c r="M183" s="103"/>
      <c r="N183" s="103"/>
      <c r="O183" s="103">
        <f t="shared" si="3"/>
        <v>0</v>
      </c>
      <c r="P183" s="104">
        <f t="shared" si="4"/>
        <v>0</v>
      </c>
      <c r="Q183" s="147"/>
      <c r="R183" s="103"/>
      <c r="S183" s="103">
        <f t="shared" si="6"/>
        <v>0</v>
      </c>
      <c r="U183" s="107" t="str">
        <f t="shared" si="7"/>
        <v>0</v>
      </c>
    </row>
    <row r="184" ht="15.75" customHeight="1">
      <c r="A184" s="279"/>
      <c r="B184" s="280"/>
      <c r="C184" s="280"/>
      <c r="D184" s="280"/>
      <c r="E184" s="281"/>
      <c r="F184" s="281"/>
      <c r="G184" s="280"/>
      <c r="H184" s="282"/>
      <c r="I184" s="283"/>
      <c r="J184" s="280"/>
      <c r="K184" s="103"/>
      <c r="L184" s="146"/>
      <c r="M184" s="103"/>
      <c r="N184" s="103"/>
      <c r="O184" s="103">
        <f t="shared" si="3"/>
        <v>0</v>
      </c>
      <c r="P184" s="104">
        <f t="shared" si="4"/>
        <v>0</v>
      </c>
      <c r="Q184" s="147"/>
      <c r="R184" s="103"/>
      <c r="S184" s="103">
        <f t="shared" si="6"/>
        <v>0</v>
      </c>
      <c r="U184" s="107" t="str">
        <f t="shared" si="7"/>
        <v>0</v>
      </c>
    </row>
    <row r="185" ht="15.75" customHeight="1">
      <c r="A185" s="279"/>
      <c r="B185" s="280"/>
      <c r="C185" s="280"/>
      <c r="D185" s="280"/>
      <c r="E185" s="281"/>
      <c r="F185" s="281"/>
      <c r="G185" s="280"/>
      <c r="H185" s="282"/>
      <c r="I185" s="283"/>
      <c r="J185" s="280"/>
      <c r="K185" s="103"/>
      <c r="L185" s="146"/>
      <c r="M185" s="103"/>
      <c r="N185" s="103"/>
      <c r="O185" s="103">
        <f t="shared" si="3"/>
        <v>0</v>
      </c>
      <c r="P185" s="104">
        <f t="shared" si="4"/>
        <v>0</v>
      </c>
      <c r="Q185" s="147"/>
      <c r="R185" s="103"/>
      <c r="S185" s="103">
        <f t="shared" si="6"/>
        <v>0</v>
      </c>
      <c r="U185" s="107" t="str">
        <f t="shared" si="7"/>
        <v>0</v>
      </c>
    </row>
    <row r="186" ht="15.75" customHeight="1">
      <c r="A186" s="279"/>
      <c r="B186" s="280"/>
      <c r="C186" s="280"/>
      <c r="D186" s="280"/>
      <c r="E186" s="281"/>
      <c r="F186" s="281"/>
      <c r="G186" s="280"/>
      <c r="H186" s="282"/>
      <c r="I186" s="283"/>
      <c r="J186" s="280"/>
      <c r="K186" s="103"/>
      <c r="L186" s="146"/>
      <c r="M186" s="103"/>
      <c r="N186" s="103"/>
      <c r="O186" s="103">
        <f t="shared" si="3"/>
        <v>0</v>
      </c>
      <c r="P186" s="104">
        <f t="shared" si="4"/>
        <v>0</v>
      </c>
      <c r="Q186" s="147"/>
      <c r="R186" s="103"/>
      <c r="S186" s="103">
        <f t="shared" si="6"/>
        <v>0</v>
      </c>
      <c r="U186" s="107" t="str">
        <f t="shared" si="7"/>
        <v>0</v>
      </c>
    </row>
    <row r="187" ht="15.75" customHeight="1">
      <c r="A187" s="279"/>
      <c r="B187" s="280"/>
      <c r="C187" s="280"/>
      <c r="D187" s="280"/>
      <c r="E187" s="281"/>
      <c r="F187" s="281"/>
      <c r="G187" s="280"/>
      <c r="H187" s="282"/>
      <c r="I187" s="283"/>
      <c r="J187" s="280"/>
      <c r="K187" s="103"/>
      <c r="L187" s="146"/>
      <c r="M187" s="103"/>
      <c r="N187" s="103"/>
      <c r="O187" s="103">
        <f t="shared" si="3"/>
        <v>0</v>
      </c>
      <c r="P187" s="104">
        <f t="shared" si="4"/>
        <v>0</v>
      </c>
      <c r="Q187" s="147"/>
      <c r="R187" s="103"/>
      <c r="S187" s="103">
        <f t="shared" si="6"/>
        <v>0</v>
      </c>
      <c r="U187" s="107" t="str">
        <f t="shared" si="7"/>
        <v>0</v>
      </c>
    </row>
    <row r="188" ht="15.75" customHeight="1">
      <c r="A188" s="279"/>
      <c r="B188" s="280"/>
      <c r="C188" s="280"/>
      <c r="D188" s="280"/>
      <c r="E188" s="281"/>
      <c r="F188" s="281"/>
      <c r="G188" s="280"/>
      <c r="H188" s="282"/>
      <c r="I188" s="283"/>
      <c r="J188" s="280"/>
      <c r="K188" s="103"/>
      <c r="L188" s="146"/>
      <c r="M188" s="103"/>
      <c r="N188" s="103"/>
      <c r="O188" s="103">
        <f t="shared" si="3"/>
        <v>0</v>
      </c>
      <c r="P188" s="104">
        <f t="shared" si="4"/>
        <v>0</v>
      </c>
      <c r="Q188" s="147"/>
      <c r="R188" s="103"/>
      <c r="S188" s="103">
        <f t="shared" si="6"/>
        <v>0</v>
      </c>
      <c r="U188" s="107" t="str">
        <f t="shared" si="7"/>
        <v>0</v>
      </c>
    </row>
    <row r="189" ht="15.75" customHeight="1">
      <c r="A189" s="279"/>
      <c r="B189" s="280"/>
      <c r="C189" s="280"/>
      <c r="D189" s="280"/>
      <c r="E189" s="281"/>
      <c r="F189" s="281"/>
      <c r="G189" s="280"/>
      <c r="H189" s="282"/>
      <c r="I189" s="283"/>
      <c r="J189" s="280"/>
      <c r="K189" s="103"/>
      <c r="L189" s="146"/>
      <c r="M189" s="103"/>
      <c r="N189" s="103"/>
      <c r="O189" s="103">
        <f t="shared" si="3"/>
        <v>0</v>
      </c>
      <c r="P189" s="104">
        <f t="shared" si="4"/>
        <v>0</v>
      </c>
      <c r="Q189" s="147"/>
      <c r="R189" s="103"/>
      <c r="S189" s="103">
        <f t="shared" si="6"/>
        <v>0</v>
      </c>
      <c r="U189" s="107" t="str">
        <f t="shared" si="7"/>
        <v>0</v>
      </c>
    </row>
    <row r="190" ht="15.75" customHeight="1">
      <c r="A190" s="279"/>
      <c r="B190" s="280"/>
      <c r="C190" s="280"/>
      <c r="D190" s="280"/>
      <c r="E190" s="281"/>
      <c r="F190" s="281"/>
      <c r="G190" s="280"/>
      <c r="H190" s="282"/>
      <c r="I190" s="283"/>
      <c r="J190" s="280"/>
      <c r="K190" s="103"/>
      <c r="L190" s="146"/>
      <c r="M190" s="103"/>
      <c r="N190" s="103"/>
      <c r="O190" s="103">
        <f t="shared" si="3"/>
        <v>0</v>
      </c>
      <c r="P190" s="104">
        <f t="shared" si="4"/>
        <v>0</v>
      </c>
      <c r="Q190" s="147"/>
      <c r="R190" s="103"/>
      <c r="S190" s="103">
        <f t="shared" si="6"/>
        <v>0</v>
      </c>
      <c r="U190" s="107" t="str">
        <f t="shared" si="7"/>
        <v>0</v>
      </c>
    </row>
    <row r="191" ht="15.75" customHeight="1">
      <c r="A191" s="279"/>
      <c r="B191" s="280"/>
      <c r="C191" s="280"/>
      <c r="D191" s="280"/>
      <c r="E191" s="281"/>
      <c r="F191" s="281"/>
      <c r="G191" s="280"/>
      <c r="H191" s="282"/>
      <c r="I191" s="283"/>
      <c r="J191" s="280"/>
      <c r="K191" s="103"/>
      <c r="L191" s="146"/>
      <c r="M191" s="103"/>
      <c r="N191" s="103"/>
      <c r="O191" s="103">
        <f t="shared" si="3"/>
        <v>0</v>
      </c>
      <c r="P191" s="104">
        <f t="shared" si="4"/>
        <v>0</v>
      </c>
      <c r="Q191" s="147"/>
      <c r="R191" s="103"/>
      <c r="S191" s="103">
        <f t="shared" si="6"/>
        <v>0</v>
      </c>
      <c r="U191" s="107" t="str">
        <f t="shared" si="7"/>
        <v>0</v>
      </c>
    </row>
    <row r="192" ht="15.75" customHeight="1">
      <c r="A192" s="279"/>
      <c r="B192" s="280"/>
      <c r="C192" s="280"/>
      <c r="D192" s="280"/>
      <c r="E192" s="281"/>
      <c r="F192" s="281"/>
      <c r="G192" s="280"/>
      <c r="H192" s="282"/>
      <c r="I192" s="283"/>
      <c r="J192" s="280"/>
      <c r="K192" s="103"/>
      <c r="L192" s="146"/>
      <c r="M192" s="103"/>
      <c r="N192" s="103"/>
      <c r="O192" s="103">
        <f t="shared" si="3"/>
        <v>0</v>
      </c>
      <c r="P192" s="104">
        <f t="shared" si="4"/>
        <v>0</v>
      </c>
      <c r="Q192" s="147"/>
      <c r="R192" s="103"/>
      <c r="S192" s="103">
        <f t="shared" si="6"/>
        <v>0</v>
      </c>
      <c r="U192" s="107" t="str">
        <f t="shared" si="7"/>
        <v>0</v>
      </c>
    </row>
    <row r="193" ht="15.75" customHeight="1">
      <c r="A193" s="279"/>
      <c r="B193" s="280"/>
      <c r="C193" s="280"/>
      <c r="D193" s="280"/>
      <c r="E193" s="281"/>
      <c r="F193" s="281"/>
      <c r="G193" s="280"/>
      <c r="H193" s="282"/>
      <c r="I193" s="283"/>
      <c r="J193" s="280"/>
      <c r="K193" s="103"/>
      <c r="L193" s="146"/>
      <c r="M193" s="103"/>
      <c r="N193" s="103"/>
      <c r="O193" s="103">
        <f t="shared" si="3"/>
        <v>0</v>
      </c>
      <c r="P193" s="104">
        <f t="shared" si="4"/>
        <v>0</v>
      </c>
      <c r="Q193" s="147"/>
      <c r="R193" s="103"/>
      <c r="S193" s="103">
        <f t="shared" si="6"/>
        <v>0</v>
      </c>
      <c r="U193" s="107" t="str">
        <f t="shared" si="7"/>
        <v>0</v>
      </c>
    </row>
    <row r="194" ht="15.75" customHeight="1">
      <c r="A194" s="279"/>
      <c r="B194" s="280"/>
      <c r="C194" s="280"/>
      <c r="D194" s="280"/>
      <c r="E194" s="281"/>
      <c r="F194" s="281"/>
      <c r="G194" s="280"/>
      <c r="H194" s="282"/>
      <c r="I194" s="283"/>
      <c r="J194" s="280"/>
      <c r="K194" s="103"/>
      <c r="L194" s="146"/>
      <c r="M194" s="103"/>
      <c r="N194" s="103"/>
      <c r="O194" s="103">
        <f t="shared" si="3"/>
        <v>0</v>
      </c>
      <c r="P194" s="104">
        <f t="shared" si="4"/>
        <v>0</v>
      </c>
      <c r="Q194" s="147"/>
      <c r="R194" s="103"/>
      <c r="S194" s="103">
        <f t="shared" si="6"/>
        <v>0</v>
      </c>
      <c r="U194" s="107" t="str">
        <f t="shared" si="7"/>
        <v>0</v>
      </c>
    </row>
    <row r="195" ht="15.75" customHeight="1">
      <c r="A195" s="279"/>
      <c r="B195" s="280"/>
      <c r="C195" s="280"/>
      <c r="D195" s="280"/>
      <c r="E195" s="281"/>
      <c r="F195" s="281"/>
      <c r="G195" s="280"/>
      <c r="H195" s="282"/>
      <c r="I195" s="283"/>
      <c r="J195" s="280"/>
      <c r="K195" s="103"/>
      <c r="L195" s="146"/>
      <c r="M195" s="103"/>
      <c r="N195" s="103"/>
      <c r="O195" s="103">
        <f t="shared" si="3"/>
        <v>0</v>
      </c>
      <c r="P195" s="104">
        <f t="shared" si="4"/>
        <v>0</v>
      </c>
      <c r="Q195" s="147"/>
      <c r="R195" s="103"/>
      <c r="S195" s="103">
        <f t="shared" si="6"/>
        <v>0</v>
      </c>
      <c r="U195" s="107" t="str">
        <f t="shared" si="7"/>
        <v>0</v>
      </c>
    </row>
    <row r="196" ht="15.75" customHeight="1">
      <c r="A196" s="279"/>
      <c r="B196" s="280"/>
      <c r="C196" s="280"/>
      <c r="D196" s="280"/>
      <c r="E196" s="281"/>
      <c r="F196" s="281"/>
      <c r="G196" s="280"/>
      <c r="H196" s="282"/>
      <c r="I196" s="283"/>
      <c r="J196" s="280"/>
      <c r="K196" s="103"/>
      <c r="L196" s="146"/>
      <c r="M196" s="103"/>
      <c r="N196" s="103"/>
      <c r="O196" s="103">
        <f t="shared" si="3"/>
        <v>0</v>
      </c>
      <c r="P196" s="104">
        <f t="shared" si="4"/>
        <v>0</v>
      </c>
      <c r="Q196" s="147"/>
      <c r="R196" s="103"/>
      <c r="S196" s="103">
        <f t="shared" si="6"/>
        <v>0</v>
      </c>
      <c r="U196" s="107" t="str">
        <f t="shared" si="7"/>
        <v>0</v>
      </c>
    </row>
    <row r="197" ht="15.75" customHeight="1">
      <c r="A197" s="279"/>
      <c r="B197" s="280"/>
      <c r="C197" s="280"/>
      <c r="D197" s="280"/>
      <c r="E197" s="281"/>
      <c r="F197" s="281"/>
      <c r="G197" s="280"/>
      <c r="H197" s="282"/>
      <c r="I197" s="283"/>
      <c r="J197" s="280"/>
      <c r="K197" s="103"/>
      <c r="L197" s="146"/>
      <c r="M197" s="103"/>
      <c r="N197" s="103"/>
      <c r="O197" s="103">
        <f t="shared" si="3"/>
        <v>0</v>
      </c>
      <c r="P197" s="104">
        <f t="shared" si="4"/>
        <v>0</v>
      </c>
      <c r="Q197" s="147"/>
      <c r="R197" s="103"/>
      <c r="S197" s="103">
        <f t="shared" si="6"/>
        <v>0</v>
      </c>
      <c r="U197" s="107" t="str">
        <f t="shared" si="7"/>
        <v>0</v>
      </c>
    </row>
    <row r="198" ht="15.75" customHeight="1">
      <c r="A198" s="279"/>
      <c r="B198" s="280"/>
      <c r="C198" s="280"/>
      <c r="D198" s="280"/>
      <c r="E198" s="281"/>
      <c r="F198" s="281"/>
      <c r="G198" s="280"/>
      <c r="H198" s="282"/>
      <c r="I198" s="283"/>
      <c r="J198" s="280"/>
      <c r="K198" s="103"/>
      <c r="L198" s="146"/>
      <c r="M198" s="103"/>
      <c r="N198" s="103"/>
      <c r="O198" s="103">
        <f t="shared" si="3"/>
        <v>0</v>
      </c>
      <c r="P198" s="104">
        <f t="shared" si="4"/>
        <v>0</v>
      </c>
      <c r="Q198" s="147"/>
      <c r="R198" s="103"/>
      <c r="S198" s="103">
        <f t="shared" si="6"/>
        <v>0</v>
      </c>
      <c r="U198" s="107" t="str">
        <f t="shared" si="7"/>
        <v>0</v>
      </c>
    </row>
    <row r="199" ht="15.75" customHeight="1">
      <c r="A199" s="279"/>
      <c r="B199" s="280"/>
      <c r="C199" s="280"/>
      <c r="D199" s="280"/>
      <c r="E199" s="281"/>
      <c r="F199" s="281"/>
      <c r="G199" s="280"/>
      <c r="H199" s="282"/>
      <c r="I199" s="283"/>
      <c r="J199" s="280"/>
      <c r="K199" s="103"/>
      <c r="L199" s="146"/>
      <c r="M199" s="103"/>
      <c r="N199" s="103"/>
      <c r="O199" s="103">
        <f t="shared" si="3"/>
        <v>0</v>
      </c>
      <c r="P199" s="104">
        <f t="shared" si="4"/>
        <v>0</v>
      </c>
      <c r="Q199" s="147"/>
      <c r="R199" s="103"/>
      <c r="S199" s="103">
        <f t="shared" si="6"/>
        <v>0</v>
      </c>
      <c r="U199" s="107" t="str">
        <f t="shared" si="7"/>
        <v>0</v>
      </c>
    </row>
    <row r="200" ht="15.75" customHeight="1">
      <c r="A200" s="279"/>
      <c r="B200" s="280"/>
      <c r="C200" s="280"/>
      <c r="D200" s="280"/>
      <c r="E200" s="281"/>
      <c r="F200" s="281"/>
      <c r="G200" s="280"/>
      <c r="H200" s="282"/>
      <c r="I200" s="283"/>
      <c r="J200" s="280"/>
      <c r="K200" s="103"/>
      <c r="L200" s="146"/>
      <c r="M200" s="103"/>
      <c r="N200" s="103"/>
      <c r="O200" s="103">
        <f t="shared" si="3"/>
        <v>0</v>
      </c>
      <c r="P200" s="104">
        <f t="shared" si="4"/>
        <v>0</v>
      </c>
      <c r="Q200" s="147"/>
      <c r="R200" s="103"/>
      <c r="S200" s="103">
        <f t="shared" si="6"/>
        <v>0</v>
      </c>
      <c r="U200" s="107" t="str">
        <f t="shared" si="7"/>
        <v>0</v>
      </c>
    </row>
    <row r="201" ht="15.75" customHeight="1">
      <c r="A201" s="279"/>
      <c r="B201" s="280"/>
      <c r="C201" s="280"/>
      <c r="D201" s="280"/>
      <c r="E201" s="281"/>
      <c r="F201" s="281"/>
      <c r="G201" s="280"/>
      <c r="H201" s="282"/>
      <c r="I201" s="283"/>
      <c r="J201" s="280"/>
      <c r="K201" s="103"/>
      <c r="L201" s="146"/>
      <c r="M201" s="103"/>
      <c r="N201" s="103"/>
      <c r="O201" s="103">
        <f t="shared" si="3"/>
        <v>0</v>
      </c>
      <c r="P201" s="104">
        <f t="shared" si="4"/>
        <v>0</v>
      </c>
      <c r="Q201" s="147"/>
      <c r="R201" s="103"/>
      <c r="S201" s="103">
        <f t="shared" si="6"/>
        <v>0</v>
      </c>
      <c r="U201" s="107" t="str">
        <f t="shared" si="7"/>
        <v>0</v>
      </c>
    </row>
    <row r="202" ht="15.75" customHeight="1">
      <c r="A202" s="279"/>
      <c r="B202" s="280"/>
      <c r="C202" s="280"/>
      <c r="D202" s="280"/>
      <c r="E202" s="281"/>
      <c r="F202" s="281"/>
      <c r="G202" s="280"/>
      <c r="H202" s="282"/>
      <c r="I202" s="283"/>
      <c r="J202" s="280"/>
      <c r="K202" s="103"/>
      <c r="L202" s="146"/>
      <c r="M202" s="103"/>
      <c r="N202" s="103"/>
      <c r="O202" s="103">
        <f t="shared" si="3"/>
        <v>0</v>
      </c>
      <c r="P202" s="104">
        <f t="shared" si="4"/>
        <v>0</v>
      </c>
      <c r="Q202" s="147"/>
      <c r="R202" s="103"/>
      <c r="S202" s="103">
        <f t="shared" si="6"/>
        <v>0</v>
      </c>
      <c r="U202" s="107" t="str">
        <f t="shared" si="7"/>
        <v>0</v>
      </c>
    </row>
    <row r="203" ht="15.75" customHeight="1">
      <c r="A203" s="279"/>
      <c r="B203" s="280"/>
      <c r="C203" s="280"/>
      <c r="D203" s="280"/>
      <c r="E203" s="281"/>
      <c r="F203" s="281"/>
      <c r="G203" s="280"/>
      <c r="H203" s="282"/>
      <c r="I203" s="283"/>
      <c r="J203" s="280"/>
      <c r="K203" s="103"/>
      <c r="L203" s="146"/>
      <c r="M203" s="103"/>
      <c r="N203" s="103"/>
      <c r="O203" s="103">
        <f t="shared" si="3"/>
        <v>0</v>
      </c>
      <c r="P203" s="104">
        <f t="shared" si="4"/>
        <v>0</v>
      </c>
      <c r="Q203" s="147"/>
      <c r="R203" s="103"/>
      <c r="S203" s="103">
        <f t="shared" si="6"/>
        <v>0</v>
      </c>
      <c r="U203" s="107" t="str">
        <f t="shared" si="7"/>
        <v>0</v>
      </c>
    </row>
    <row r="204" ht="15.75" customHeight="1">
      <c r="A204" s="279"/>
      <c r="B204" s="280"/>
      <c r="C204" s="280"/>
      <c r="D204" s="280"/>
      <c r="E204" s="281"/>
      <c r="F204" s="281"/>
      <c r="G204" s="280"/>
      <c r="H204" s="282"/>
      <c r="I204" s="283"/>
      <c r="J204" s="280"/>
      <c r="K204" s="103"/>
      <c r="L204" s="146"/>
      <c r="M204" s="103"/>
      <c r="N204" s="103"/>
      <c r="O204" s="103">
        <f t="shared" si="3"/>
        <v>0</v>
      </c>
      <c r="P204" s="104">
        <f t="shared" si="4"/>
        <v>0</v>
      </c>
      <c r="Q204" s="147"/>
      <c r="R204" s="103"/>
      <c r="S204" s="103">
        <f t="shared" si="6"/>
        <v>0</v>
      </c>
      <c r="U204" s="107" t="str">
        <f t="shared" si="7"/>
        <v>0</v>
      </c>
    </row>
    <row r="205" ht="15.75" customHeight="1">
      <c r="A205" s="279"/>
      <c r="B205" s="280"/>
      <c r="C205" s="280"/>
      <c r="D205" s="280"/>
      <c r="E205" s="281"/>
      <c r="F205" s="281"/>
      <c r="G205" s="280"/>
      <c r="H205" s="282"/>
      <c r="I205" s="283"/>
      <c r="J205" s="280"/>
      <c r="K205" s="103"/>
      <c r="L205" s="146"/>
      <c r="M205" s="103"/>
      <c r="N205" s="103"/>
      <c r="O205" s="103">
        <f t="shared" si="3"/>
        <v>0</v>
      </c>
      <c r="P205" s="104">
        <f t="shared" si="4"/>
        <v>0</v>
      </c>
      <c r="Q205" s="147"/>
      <c r="R205" s="103"/>
      <c r="S205" s="103">
        <f t="shared" si="6"/>
        <v>0</v>
      </c>
      <c r="U205" s="107" t="str">
        <f t="shared" si="7"/>
        <v>0</v>
      </c>
    </row>
    <row r="206" ht="15.75" customHeight="1">
      <c r="A206" s="279"/>
      <c r="B206" s="280"/>
      <c r="C206" s="280"/>
      <c r="D206" s="280"/>
      <c r="E206" s="281"/>
      <c r="F206" s="281"/>
      <c r="G206" s="280"/>
      <c r="H206" s="282"/>
      <c r="I206" s="283"/>
      <c r="J206" s="280"/>
      <c r="K206" s="103"/>
      <c r="L206" s="146"/>
      <c r="M206" s="103"/>
      <c r="N206" s="103"/>
      <c r="O206" s="103">
        <f t="shared" si="3"/>
        <v>0</v>
      </c>
      <c r="P206" s="104">
        <f t="shared" si="4"/>
        <v>0</v>
      </c>
      <c r="Q206" s="147"/>
      <c r="R206" s="103"/>
      <c r="S206" s="103">
        <f t="shared" si="6"/>
        <v>0</v>
      </c>
      <c r="U206" s="107" t="str">
        <f t="shared" si="7"/>
        <v>0</v>
      </c>
    </row>
    <row r="207" ht="15.75" customHeight="1">
      <c r="A207" s="279"/>
      <c r="B207" s="280"/>
      <c r="C207" s="280"/>
      <c r="D207" s="280"/>
      <c r="E207" s="281"/>
      <c r="F207" s="281"/>
      <c r="G207" s="280"/>
      <c r="H207" s="282"/>
      <c r="I207" s="283"/>
      <c r="J207" s="280"/>
      <c r="K207" s="103"/>
      <c r="L207" s="146"/>
      <c r="M207" s="103"/>
      <c r="N207" s="103"/>
      <c r="O207" s="103">
        <f t="shared" si="3"/>
        <v>0</v>
      </c>
      <c r="P207" s="104">
        <f t="shared" si="4"/>
        <v>0</v>
      </c>
      <c r="Q207" s="147"/>
      <c r="R207" s="103"/>
      <c r="S207" s="103">
        <f t="shared" si="6"/>
        <v>0</v>
      </c>
      <c r="U207" s="107" t="str">
        <f t="shared" si="7"/>
        <v>0</v>
      </c>
    </row>
    <row r="208" ht="15.75" customHeight="1">
      <c r="A208" s="279"/>
      <c r="B208" s="280"/>
      <c r="C208" s="280"/>
      <c r="D208" s="280"/>
      <c r="E208" s="281"/>
      <c r="F208" s="281"/>
      <c r="G208" s="280"/>
      <c r="H208" s="282"/>
      <c r="I208" s="283"/>
      <c r="J208" s="280"/>
      <c r="K208" s="103"/>
      <c r="L208" s="146"/>
      <c r="M208" s="103"/>
      <c r="N208" s="103"/>
      <c r="O208" s="103">
        <f t="shared" si="3"/>
        <v>0</v>
      </c>
      <c r="P208" s="104">
        <f t="shared" si="4"/>
        <v>0</v>
      </c>
      <c r="Q208" s="147"/>
      <c r="R208" s="103"/>
      <c r="S208" s="103">
        <f t="shared" si="6"/>
        <v>0</v>
      </c>
      <c r="U208" s="107" t="str">
        <f t="shared" si="7"/>
        <v>0</v>
      </c>
    </row>
    <row r="209" ht="15.75" customHeight="1">
      <c r="A209" s="279"/>
      <c r="B209" s="280"/>
      <c r="C209" s="280"/>
      <c r="D209" s="280"/>
      <c r="E209" s="281"/>
      <c r="F209" s="281"/>
      <c r="G209" s="280"/>
      <c r="H209" s="282"/>
      <c r="I209" s="283"/>
      <c r="J209" s="280"/>
      <c r="K209" s="103"/>
      <c r="L209" s="146"/>
      <c r="M209" s="103"/>
      <c r="N209" s="103"/>
      <c r="O209" s="103">
        <f t="shared" si="3"/>
        <v>0</v>
      </c>
      <c r="P209" s="104">
        <f t="shared" si="4"/>
        <v>0</v>
      </c>
      <c r="Q209" s="147"/>
      <c r="R209" s="103"/>
      <c r="S209" s="103">
        <f t="shared" si="6"/>
        <v>0</v>
      </c>
      <c r="U209" s="107" t="str">
        <f t="shared" si="7"/>
        <v>0</v>
      </c>
    </row>
    <row r="210" ht="15.75" customHeight="1">
      <c r="A210" s="279"/>
      <c r="B210" s="280"/>
      <c r="C210" s="280"/>
      <c r="D210" s="280"/>
      <c r="E210" s="281"/>
      <c r="F210" s="281"/>
      <c r="G210" s="280"/>
      <c r="H210" s="282"/>
      <c r="I210" s="283"/>
      <c r="J210" s="280"/>
      <c r="K210" s="103"/>
      <c r="L210" s="146"/>
      <c r="M210" s="103"/>
      <c r="N210" s="103"/>
      <c r="O210" s="103">
        <f t="shared" si="3"/>
        <v>0</v>
      </c>
      <c r="P210" s="104">
        <f t="shared" si="4"/>
        <v>0</v>
      </c>
      <c r="Q210" s="147"/>
      <c r="R210" s="103"/>
      <c r="S210" s="103">
        <f t="shared" si="6"/>
        <v>0</v>
      </c>
      <c r="U210" s="107" t="str">
        <f t="shared" si="7"/>
        <v>0</v>
      </c>
    </row>
    <row r="211" ht="15.75" customHeight="1">
      <c r="A211" s="279"/>
      <c r="B211" s="280"/>
      <c r="C211" s="280"/>
      <c r="D211" s="280"/>
      <c r="E211" s="281"/>
      <c r="F211" s="281"/>
      <c r="G211" s="280"/>
      <c r="H211" s="282"/>
      <c r="I211" s="283"/>
      <c r="J211" s="280"/>
      <c r="K211" s="103"/>
      <c r="L211" s="146"/>
      <c r="M211" s="103"/>
      <c r="N211" s="103"/>
      <c r="O211" s="103">
        <f t="shared" si="3"/>
        <v>0</v>
      </c>
      <c r="P211" s="104">
        <f t="shared" si="4"/>
        <v>0</v>
      </c>
      <c r="Q211" s="147"/>
      <c r="R211" s="103"/>
      <c r="S211" s="103">
        <f t="shared" si="6"/>
        <v>0</v>
      </c>
      <c r="U211" s="107" t="str">
        <f t="shared" si="7"/>
        <v>0</v>
      </c>
    </row>
    <row r="212" ht="15.75" customHeight="1">
      <c r="A212" s="279"/>
      <c r="B212" s="280"/>
      <c r="C212" s="280"/>
      <c r="D212" s="280"/>
      <c r="E212" s="281"/>
      <c r="F212" s="281"/>
      <c r="G212" s="280"/>
      <c r="H212" s="282"/>
      <c r="I212" s="283"/>
      <c r="J212" s="280"/>
      <c r="K212" s="103"/>
      <c r="L212" s="146"/>
      <c r="M212" s="103"/>
      <c r="N212" s="103"/>
      <c r="O212" s="103">
        <f t="shared" si="3"/>
        <v>0</v>
      </c>
      <c r="P212" s="104">
        <f t="shared" si="4"/>
        <v>0</v>
      </c>
      <c r="Q212" s="147"/>
      <c r="R212" s="103"/>
      <c r="S212" s="103">
        <f t="shared" si="6"/>
        <v>0</v>
      </c>
      <c r="U212" s="107" t="str">
        <f t="shared" si="7"/>
        <v>0</v>
      </c>
    </row>
    <row r="213" ht="15.75" customHeight="1">
      <c r="A213" s="279"/>
      <c r="B213" s="280"/>
      <c r="C213" s="280"/>
      <c r="D213" s="280"/>
      <c r="E213" s="281"/>
      <c r="F213" s="281"/>
      <c r="G213" s="280"/>
      <c r="H213" s="282"/>
      <c r="I213" s="283"/>
      <c r="J213" s="280"/>
      <c r="K213" s="103"/>
      <c r="L213" s="146"/>
      <c r="M213" s="103"/>
      <c r="N213" s="103"/>
      <c r="O213" s="103">
        <f t="shared" si="3"/>
        <v>0</v>
      </c>
      <c r="P213" s="104">
        <f t="shared" si="4"/>
        <v>0</v>
      </c>
      <c r="Q213" s="147"/>
      <c r="R213" s="103"/>
      <c r="S213" s="103">
        <f t="shared" si="6"/>
        <v>0</v>
      </c>
      <c r="U213" s="107" t="str">
        <f t="shared" si="7"/>
        <v>0</v>
      </c>
    </row>
    <row r="214" ht="15.75" customHeight="1">
      <c r="A214" s="279"/>
      <c r="B214" s="280"/>
      <c r="C214" s="280"/>
      <c r="D214" s="280"/>
      <c r="E214" s="281"/>
      <c r="F214" s="281"/>
      <c r="G214" s="280"/>
      <c r="H214" s="282"/>
      <c r="I214" s="283"/>
      <c r="J214" s="280"/>
      <c r="K214" s="103"/>
      <c r="L214" s="146"/>
      <c r="M214" s="103"/>
      <c r="N214" s="103"/>
      <c r="O214" s="103">
        <f t="shared" si="3"/>
        <v>0</v>
      </c>
      <c r="P214" s="104">
        <f t="shared" si="4"/>
        <v>0</v>
      </c>
      <c r="Q214" s="147"/>
      <c r="R214" s="103"/>
      <c r="S214" s="103">
        <f t="shared" si="6"/>
        <v>0</v>
      </c>
      <c r="U214" s="107" t="str">
        <f t="shared" si="7"/>
        <v>0</v>
      </c>
    </row>
    <row r="215" ht="15.75" customHeight="1">
      <c r="A215" s="279"/>
      <c r="B215" s="280"/>
      <c r="C215" s="280"/>
      <c r="D215" s="280"/>
      <c r="E215" s="281"/>
      <c r="F215" s="281"/>
      <c r="G215" s="280"/>
      <c r="H215" s="282"/>
      <c r="I215" s="283"/>
      <c r="J215" s="280"/>
      <c r="K215" s="103"/>
      <c r="L215" s="146"/>
      <c r="M215" s="103"/>
      <c r="N215" s="103"/>
      <c r="O215" s="103">
        <f t="shared" si="3"/>
        <v>0</v>
      </c>
      <c r="P215" s="104">
        <f t="shared" si="4"/>
        <v>0</v>
      </c>
      <c r="Q215" s="147"/>
      <c r="R215" s="103"/>
      <c r="S215" s="103">
        <f t="shared" si="6"/>
        <v>0</v>
      </c>
      <c r="U215" s="107" t="str">
        <f t="shared" si="7"/>
        <v>0</v>
      </c>
    </row>
    <row r="216" ht="15.75" customHeight="1">
      <c r="A216" s="279"/>
      <c r="B216" s="280"/>
      <c r="C216" s="280"/>
      <c r="D216" s="280"/>
      <c r="E216" s="281"/>
      <c r="F216" s="281"/>
      <c r="G216" s="280"/>
      <c r="H216" s="282"/>
      <c r="I216" s="283"/>
      <c r="J216" s="280"/>
      <c r="K216" s="103"/>
      <c r="L216" s="146"/>
      <c r="M216" s="103"/>
      <c r="N216" s="103"/>
      <c r="O216" s="103">
        <f t="shared" si="3"/>
        <v>0</v>
      </c>
      <c r="P216" s="104">
        <f t="shared" si="4"/>
        <v>0</v>
      </c>
      <c r="Q216" s="147"/>
      <c r="R216" s="103"/>
      <c r="S216" s="103">
        <f t="shared" si="6"/>
        <v>0</v>
      </c>
      <c r="U216" s="107" t="str">
        <f t="shared" si="7"/>
        <v>0</v>
      </c>
    </row>
    <row r="217" ht="15.75" customHeight="1">
      <c r="A217" s="279"/>
      <c r="B217" s="280"/>
      <c r="C217" s="280"/>
      <c r="D217" s="280"/>
      <c r="E217" s="281"/>
      <c r="F217" s="281"/>
      <c r="G217" s="280"/>
      <c r="H217" s="282"/>
      <c r="I217" s="283"/>
      <c r="J217" s="280"/>
      <c r="K217" s="103"/>
      <c r="L217" s="146"/>
      <c r="M217" s="103"/>
      <c r="N217" s="103"/>
      <c r="O217" s="103">
        <f t="shared" si="3"/>
        <v>0</v>
      </c>
      <c r="P217" s="104">
        <f t="shared" si="4"/>
        <v>0</v>
      </c>
      <c r="Q217" s="147"/>
      <c r="R217" s="103"/>
      <c r="S217" s="103">
        <f t="shared" si="6"/>
        <v>0</v>
      </c>
      <c r="U217" s="107" t="str">
        <f t="shared" si="7"/>
        <v>0</v>
      </c>
    </row>
    <row r="218" ht="15.75" customHeight="1">
      <c r="A218" s="279"/>
      <c r="B218" s="280"/>
      <c r="C218" s="280"/>
      <c r="D218" s="280"/>
      <c r="E218" s="281"/>
      <c r="F218" s="281"/>
      <c r="G218" s="280"/>
      <c r="H218" s="282"/>
      <c r="I218" s="283"/>
      <c r="J218" s="280"/>
      <c r="K218" s="103"/>
      <c r="L218" s="146"/>
      <c r="M218" s="103"/>
      <c r="N218" s="103"/>
      <c r="O218" s="103">
        <f t="shared" si="3"/>
        <v>0</v>
      </c>
      <c r="P218" s="104">
        <f t="shared" si="4"/>
        <v>0</v>
      </c>
      <c r="Q218" s="147"/>
      <c r="R218" s="103"/>
      <c r="S218" s="103">
        <f t="shared" si="6"/>
        <v>0</v>
      </c>
      <c r="U218" s="107" t="str">
        <f t="shared" si="7"/>
        <v>0</v>
      </c>
    </row>
    <row r="219" ht="15.75" customHeight="1">
      <c r="A219" s="279"/>
      <c r="B219" s="280"/>
      <c r="C219" s="280"/>
      <c r="D219" s="280"/>
      <c r="E219" s="281"/>
      <c r="F219" s="281"/>
      <c r="G219" s="280"/>
      <c r="H219" s="282"/>
      <c r="I219" s="283"/>
      <c r="J219" s="280"/>
      <c r="K219" s="103"/>
      <c r="L219" s="146"/>
      <c r="M219" s="103"/>
      <c r="N219" s="103"/>
      <c r="O219" s="103">
        <f t="shared" si="3"/>
        <v>0</v>
      </c>
      <c r="P219" s="104">
        <f t="shared" si="4"/>
        <v>0</v>
      </c>
      <c r="Q219" s="147"/>
      <c r="R219" s="103"/>
      <c r="S219" s="103">
        <f t="shared" si="6"/>
        <v>0</v>
      </c>
      <c r="U219" s="107" t="str">
        <f t="shared" si="7"/>
        <v>0</v>
      </c>
    </row>
    <row r="220" ht="15.75" customHeight="1">
      <c r="A220" s="279"/>
      <c r="B220" s="280"/>
      <c r="C220" s="280"/>
      <c r="D220" s="280"/>
      <c r="E220" s="281"/>
      <c r="F220" s="281"/>
      <c r="G220" s="280"/>
      <c r="H220" s="282"/>
      <c r="I220" s="283"/>
      <c r="J220" s="280"/>
      <c r="K220" s="103"/>
      <c r="L220" s="146"/>
      <c r="M220" s="103"/>
      <c r="N220" s="103"/>
      <c r="O220" s="103">
        <f t="shared" si="3"/>
        <v>0</v>
      </c>
      <c r="P220" s="104">
        <f t="shared" si="4"/>
        <v>0</v>
      </c>
      <c r="Q220" s="147"/>
      <c r="R220" s="103"/>
      <c r="S220" s="103">
        <f t="shared" si="6"/>
        <v>0</v>
      </c>
      <c r="U220" s="107" t="str">
        <f t="shared" si="7"/>
        <v>0</v>
      </c>
    </row>
    <row r="221" ht="15.75" customHeight="1">
      <c r="A221" s="279"/>
      <c r="B221" s="280"/>
      <c r="C221" s="280"/>
      <c r="D221" s="280"/>
      <c r="E221" s="281"/>
      <c r="F221" s="281"/>
      <c r="G221" s="280"/>
      <c r="H221" s="282"/>
      <c r="I221" s="283"/>
      <c r="J221" s="280"/>
      <c r="K221" s="103"/>
      <c r="L221" s="146"/>
      <c r="M221" s="103"/>
      <c r="N221" s="103"/>
      <c r="O221" s="103">
        <f t="shared" si="3"/>
        <v>0</v>
      </c>
      <c r="P221" s="104">
        <f t="shared" si="4"/>
        <v>0</v>
      </c>
      <c r="Q221" s="147"/>
      <c r="R221" s="103"/>
      <c r="S221" s="103">
        <f t="shared" si="6"/>
        <v>0</v>
      </c>
      <c r="U221" s="107" t="str">
        <f t="shared" si="7"/>
        <v>0</v>
      </c>
    </row>
    <row r="222" ht="15.75" customHeight="1">
      <c r="A222" s="279"/>
      <c r="B222" s="280"/>
      <c r="C222" s="280"/>
      <c r="D222" s="280"/>
      <c r="E222" s="281"/>
      <c r="F222" s="281"/>
      <c r="G222" s="280"/>
      <c r="H222" s="282"/>
      <c r="I222" s="283"/>
      <c r="J222" s="280"/>
      <c r="K222" s="103"/>
      <c r="L222" s="146"/>
      <c r="M222" s="103"/>
      <c r="N222" s="103"/>
      <c r="O222" s="103">
        <f t="shared" si="3"/>
        <v>0</v>
      </c>
      <c r="P222" s="104">
        <f t="shared" si="4"/>
        <v>0</v>
      </c>
      <c r="Q222" s="147"/>
      <c r="R222" s="103"/>
      <c r="S222" s="103">
        <f t="shared" si="6"/>
        <v>0</v>
      </c>
      <c r="U222" s="107" t="str">
        <f t="shared" si="7"/>
        <v>0</v>
      </c>
    </row>
    <row r="223" ht="15.75" customHeight="1">
      <c r="A223" s="279"/>
      <c r="B223" s="280"/>
      <c r="C223" s="280"/>
      <c r="D223" s="280"/>
      <c r="E223" s="281"/>
      <c r="F223" s="281"/>
      <c r="G223" s="280"/>
      <c r="H223" s="282"/>
      <c r="I223" s="283"/>
      <c r="J223" s="280"/>
      <c r="K223" s="103"/>
      <c r="L223" s="146"/>
      <c r="M223" s="103"/>
      <c r="N223" s="103"/>
      <c r="O223" s="103">
        <f t="shared" si="3"/>
        <v>0</v>
      </c>
      <c r="P223" s="104">
        <f t="shared" si="4"/>
        <v>0</v>
      </c>
      <c r="Q223" s="147"/>
      <c r="R223" s="103"/>
      <c r="S223" s="103">
        <f t="shared" si="6"/>
        <v>0</v>
      </c>
      <c r="U223" s="107" t="str">
        <f t="shared" si="7"/>
        <v>0</v>
      </c>
    </row>
    <row r="224" ht="15.75" customHeight="1">
      <c r="A224" s="279"/>
      <c r="B224" s="280"/>
      <c r="C224" s="280"/>
      <c r="D224" s="280"/>
      <c r="E224" s="281"/>
      <c r="F224" s="281"/>
      <c r="G224" s="280"/>
      <c r="H224" s="282"/>
      <c r="I224" s="283"/>
      <c r="J224" s="280"/>
      <c r="K224" s="103"/>
      <c r="L224" s="146"/>
      <c r="M224" s="103"/>
      <c r="N224" s="103"/>
      <c r="O224" s="103">
        <f t="shared" si="3"/>
        <v>0</v>
      </c>
      <c r="P224" s="104">
        <f t="shared" si="4"/>
        <v>0</v>
      </c>
      <c r="Q224" s="147"/>
      <c r="R224" s="103"/>
      <c r="S224" s="103">
        <f t="shared" si="6"/>
        <v>0</v>
      </c>
      <c r="U224" s="107" t="str">
        <f t="shared" si="7"/>
        <v>0</v>
      </c>
    </row>
    <row r="225" ht="15.75" customHeight="1">
      <c r="A225" s="279"/>
      <c r="B225" s="280"/>
      <c r="C225" s="280"/>
      <c r="D225" s="280"/>
      <c r="E225" s="281"/>
      <c r="F225" s="281"/>
      <c r="G225" s="280"/>
      <c r="H225" s="282"/>
      <c r="I225" s="283"/>
      <c r="J225" s="280"/>
      <c r="K225" s="103"/>
      <c r="L225" s="146"/>
      <c r="M225" s="103"/>
      <c r="N225" s="103"/>
      <c r="O225" s="103">
        <f t="shared" si="3"/>
        <v>0</v>
      </c>
      <c r="P225" s="104">
        <f t="shared" si="4"/>
        <v>0</v>
      </c>
      <c r="Q225" s="147"/>
      <c r="R225" s="103"/>
      <c r="S225" s="103">
        <f t="shared" si="6"/>
        <v>0</v>
      </c>
      <c r="U225" s="107" t="str">
        <f t="shared" si="7"/>
        <v>0</v>
      </c>
    </row>
    <row r="226" ht="15.75" customHeight="1">
      <c r="A226" s="279"/>
      <c r="B226" s="280"/>
      <c r="C226" s="280"/>
      <c r="D226" s="280"/>
      <c r="E226" s="281"/>
      <c r="F226" s="281"/>
      <c r="G226" s="280"/>
      <c r="H226" s="282"/>
      <c r="I226" s="283"/>
      <c r="J226" s="280"/>
      <c r="K226" s="103"/>
      <c r="L226" s="146"/>
      <c r="M226" s="103"/>
      <c r="N226" s="103"/>
      <c r="O226" s="103">
        <f t="shared" si="3"/>
        <v>0</v>
      </c>
      <c r="P226" s="104">
        <f t="shared" si="4"/>
        <v>0</v>
      </c>
      <c r="Q226" s="147"/>
      <c r="R226" s="103"/>
      <c r="S226" s="103">
        <f t="shared" si="6"/>
        <v>0</v>
      </c>
      <c r="U226" s="107" t="str">
        <f t="shared" si="7"/>
        <v>0</v>
      </c>
    </row>
    <row r="227" ht="15.75" customHeight="1">
      <c r="A227" s="279"/>
      <c r="B227" s="280"/>
      <c r="C227" s="280"/>
      <c r="D227" s="280"/>
      <c r="E227" s="281"/>
      <c r="F227" s="281"/>
      <c r="G227" s="280"/>
      <c r="H227" s="282"/>
      <c r="I227" s="283"/>
      <c r="J227" s="280"/>
      <c r="K227" s="103"/>
      <c r="L227" s="146"/>
      <c r="M227" s="103"/>
      <c r="N227" s="103"/>
      <c r="O227" s="103">
        <f t="shared" si="3"/>
        <v>0</v>
      </c>
      <c r="P227" s="104">
        <f t="shared" si="4"/>
        <v>0</v>
      </c>
      <c r="Q227" s="147"/>
      <c r="R227" s="103"/>
      <c r="S227" s="103">
        <f t="shared" si="6"/>
        <v>0</v>
      </c>
      <c r="U227" s="107" t="str">
        <f t="shared" si="7"/>
        <v>0</v>
      </c>
    </row>
    <row r="228" ht="15.75" customHeight="1">
      <c r="A228" s="279"/>
      <c r="B228" s="280"/>
      <c r="C228" s="280"/>
      <c r="D228" s="280"/>
      <c r="E228" s="281"/>
      <c r="F228" s="281"/>
      <c r="G228" s="280"/>
      <c r="H228" s="282"/>
      <c r="I228" s="283"/>
      <c r="J228" s="280"/>
      <c r="K228" s="103"/>
      <c r="L228" s="146"/>
      <c r="M228" s="103"/>
      <c r="N228" s="103"/>
      <c r="O228" s="103">
        <f t="shared" si="3"/>
        <v>0</v>
      </c>
      <c r="P228" s="104">
        <f t="shared" si="4"/>
        <v>0</v>
      </c>
      <c r="Q228" s="147"/>
      <c r="R228" s="103"/>
      <c r="S228" s="103">
        <f t="shared" si="6"/>
        <v>0</v>
      </c>
      <c r="U228" s="107" t="str">
        <f t="shared" si="7"/>
        <v>0</v>
      </c>
    </row>
    <row r="229" ht="15.75" customHeight="1">
      <c r="A229" s="279"/>
      <c r="B229" s="280"/>
      <c r="C229" s="280"/>
      <c r="D229" s="280"/>
      <c r="E229" s="281"/>
      <c r="F229" s="281"/>
      <c r="G229" s="280"/>
      <c r="H229" s="282"/>
      <c r="I229" s="283"/>
      <c r="J229" s="280"/>
      <c r="K229" s="103"/>
      <c r="L229" s="146"/>
      <c r="M229" s="103"/>
      <c r="N229" s="103"/>
      <c r="O229" s="103">
        <f t="shared" si="3"/>
        <v>0</v>
      </c>
      <c r="P229" s="104">
        <f t="shared" si="4"/>
        <v>0</v>
      </c>
      <c r="Q229" s="147"/>
      <c r="R229" s="103"/>
      <c r="S229" s="103">
        <f t="shared" si="6"/>
        <v>0</v>
      </c>
      <c r="U229" s="107" t="str">
        <f t="shared" si="7"/>
        <v>0</v>
      </c>
    </row>
    <row r="230" ht="15.75" customHeight="1">
      <c r="A230" s="279"/>
      <c r="B230" s="280"/>
      <c r="C230" s="280"/>
      <c r="D230" s="280"/>
      <c r="E230" s="281"/>
      <c r="F230" s="281"/>
      <c r="G230" s="280"/>
      <c r="H230" s="282"/>
      <c r="I230" s="283"/>
      <c r="J230" s="280"/>
      <c r="K230" s="103"/>
      <c r="L230" s="146"/>
      <c r="M230" s="103"/>
      <c r="N230" s="103"/>
      <c r="O230" s="103">
        <f t="shared" si="3"/>
        <v>0</v>
      </c>
      <c r="P230" s="104">
        <f t="shared" si="4"/>
        <v>0</v>
      </c>
      <c r="Q230" s="147"/>
      <c r="R230" s="103"/>
      <c r="S230" s="103">
        <f t="shared" si="6"/>
        <v>0</v>
      </c>
      <c r="U230" s="107" t="str">
        <f t="shared" si="7"/>
        <v>0</v>
      </c>
    </row>
    <row r="231" ht="15.75" customHeight="1">
      <c r="A231" s="279"/>
      <c r="B231" s="280"/>
      <c r="C231" s="280"/>
      <c r="D231" s="280"/>
      <c r="E231" s="281"/>
      <c r="F231" s="281"/>
      <c r="G231" s="280"/>
      <c r="H231" s="282"/>
      <c r="I231" s="283"/>
      <c r="J231" s="280"/>
      <c r="K231" s="103"/>
      <c r="L231" s="146"/>
      <c r="M231" s="103"/>
      <c r="N231" s="103"/>
      <c r="O231" s="103">
        <f t="shared" si="3"/>
        <v>0</v>
      </c>
      <c r="P231" s="104">
        <f t="shared" si="4"/>
        <v>0</v>
      </c>
      <c r="Q231" s="147"/>
      <c r="R231" s="103"/>
      <c r="S231" s="103">
        <f t="shared" si="6"/>
        <v>0</v>
      </c>
      <c r="U231" s="107" t="str">
        <f t="shared" si="7"/>
        <v>0</v>
      </c>
    </row>
    <row r="232" ht="15.75" customHeight="1">
      <c r="A232" s="279"/>
      <c r="B232" s="280"/>
      <c r="C232" s="280"/>
      <c r="D232" s="280"/>
      <c r="E232" s="281"/>
      <c r="F232" s="281"/>
      <c r="G232" s="280"/>
      <c r="H232" s="282"/>
      <c r="I232" s="283"/>
      <c r="J232" s="280"/>
      <c r="K232" s="103"/>
      <c r="L232" s="146"/>
      <c r="M232" s="103"/>
      <c r="N232" s="103"/>
      <c r="O232" s="103">
        <f t="shared" si="3"/>
        <v>0</v>
      </c>
      <c r="P232" s="104">
        <f t="shared" si="4"/>
        <v>0</v>
      </c>
      <c r="Q232" s="147"/>
      <c r="R232" s="103"/>
      <c r="S232" s="103">
        <f t="shared" si="6"/>
        <v>0</v>
      </c>
      <c r="U232" s="107" t="str">
        <f t="shared" si="7"/>
        <v>0</v>
      </c>
    </row>
    <row r="233" ht="15.75" customHeight="1">
      <c r="A233" s="279"/>
      <c r="B233" s="280"/>
      <c r="C233" s="280"/>
      <c r="D233" s="280"/>
      <c r="E233" s="281"/>
      <c r="F233" s="281"/>
      <c r="G233" s="280"/>
      <c r="H233" s="282"/>
      <c r="I233" s="283"/>
      <c r="J233" s="280"/>
      <c r="K233" s="103"/>
      <c r="L233" s="146"/>
      <c r="M233" s="103"/>
      <c r="N233" s="103"/>
      <c r="O233" s="103">
        <f t="shared" si="3"/>
        <v>0</v>
      </c>
      <c r="P233" s="104">
        <f t="shared" si="4"/>
        <v>0</v>
      </c>
      <c r="Q233" s="147"/>
      <c r="R233" s="103"/>
      <c r="S233" s="103">
        <f t="shared" si="6"/>
        <v>0</v>
      </c>
      <c r="U233" s="107" t="str">
        <f t="shared" si="7"/>
        <v>0</v>
      </c>
    </row>
    <row r="234" ht="15.75" customHeight="1">
      <c r="A234" s="279"/>
      <c r="B234" s="280"/>
      <c r="C234" s="280"/>
      <c r="D234" s="280"/>
      <c r="E234" s="281"/>
      <c r="F234" s="281"/>
      <c r="G234" s="280"/>
      <c r="H234" s="282"/>
      <c r="I234" s="283"/>
      <c r="J234" s="280"/>
      <c r="K234" s="103"/>
      <c r="L234" s="146"/>
      <c r="M234" s="103"/>
      <c r="N234" s="103"/>
      <c r="O234" s="103">
        <f t="shared" si="3"/>
        <v>0</v>
      </c>
      <c r="P234" s="104">
        <f t="shared" si="4"/>
        <v>0</v>
      </c>
      <c r="Q234" s="147"/>
      <c r="R234" s="103"/>
      <c r="S234" s="103">
        <f t="shared" si="6"/>
        <v>0</v>
      </c>
      <c r="U234" s="107" t="str">
        <f t="shared" si="7"/>
        <v>0</v>
      </c>
    </row>
    <row r="235" ht="15.75" customHeight="1">
      <c r="A235" s="279"/>
      <c r="B235" s="280"/>
      <c r="C235" s="280"/>
      <c r="D235" s="280"/>
      <c r="E235" s="281"/>
      <c r="F235" s="281"/>
      <c r="G235" s="280"/>
      <c r="H235" s="282"/>
      <c r="I235" s="283"/>
      <c r="J235" s="280"/>
      <c r="K235" s="103"/>
      <c r="L235" s="146"/>
      <c r="M235" s="103"/>
      <c r="N235" s="103"/>
      <c r="O235" s="103">
        <f t="shared" si="3"/>
        <v>0</v>
      </c>
      <c r="P235" s="104">
        <f t="shared" si="4"/>
        <v>0</v>
      </c>
      <c r="Q235" s="147"/>
      <c r="R235" s="103"/>
      <c r="S235" s="103">
        <f t="shared" si="6"/>
        <v>0</v>
      </c>
      <c r="U235" s="107" t="str">
        <f t="shared" si="7"/>
        <v>0</v>
      </c>
    </row>
    <row r="236" ht="15.75" customHeight="1">
      <c r="A236" s="279"/>
      <c r="B236" s="280"/>
      <c r="C236" s="280"/>
      <c r="D236" s="280"/>
      <c r="E236" s="281"/>
      <c r="F236" s="281"/>
      <c r="G236" s="280"/>
      <c r="H236" s="282"/>
      <c r="I236" s="283"/>
      <c r="J236" s="280"/>
      <c r="K236" s="103"/>
      <c r="L236" s="146"/>
      <c r="M236" s="103"/>
      <c r="N236" s="103"/>
      <c r="O236" s="103">
        <f t="shared" si="3"/>
        <v>0</v>
      </c>
      <c r="P236" s="104">
        <f t="shared" si="4"/>
        <v>0</v>
      </c>
      <c r="Q236" s="147"/>
      <c r="R236" s="103"/>
      <c r="S236" s="103">
        <f t="shared" si="6"/>
        <v>0</v>
      </c>
      <c r="U236" s="107" t="str">
        <f t="shared" si="7"/>
        <v>0</v>
      </c>
    </row>
    <row r="237" ht="15.75" customHeight="1">
      <c r="A237" s="279"/>
      <c r="B237" s="280"/>
      <c r="C237" s="280"/>
      <c r="D237" s="280"/>
      <c r="E237" s="281"/>
      <c r="F237" s="281"/>
      <c r="G237" s="280"/>
      <c r="H237" s="282"/>
      <c r="I237" s="283"/>
      <c r="J237" s="280"/>
      <c r="K237" s="103"/>
      <c r="L237" s="146"/>
      <c r="M237" s="103"/>
      <c r="N237" s="103"/>
      <c r="O237" s="103">
        <f t="shared" si="3"/>
        <v>0</v>
      </c>
      <c r="P237" s="104">
        <f t="shared" si="4"/>
        <v>0</v>
      </c>
      <c r="Q237" s="147"/>
      <c r="R237" s="103"/>
      <c r="S237" s="103">
        <f t="shared" si="6"/>
        <v>0</v>
      </c>
      <c r="U237" s="107" t="str">
        <f t="shared" si="7"/>
        <v>0</v>
      </c>
    </row>
    <row r="238" ht="15.75" customHeight="1">
      <c r="A238" s="279"/>
      <c r="B238" s="280"/>
      <c r="C238" s="280"/>
      <c r="D238" s="280"/>
      <c r="E238" s="281"/>
      <c r="F238" s="281"/>
      <c r="G238" s="280"/>
      <c r="H238" s="282"/>
      <c r="I238" s="283"/>
      <c r="J238" s="280"/>
      <c r="K238" s="103"/>
      <c r="L238" s="146"/>
      <c r="M238" s="103"/>
      <c r="N238" s="103"/>
      <c r="O238" s="103">
        <f t="shared" si="3"/>
        <v>0</v>
      </c>
      <c r="P238" s="104">
        <f t="shared" si="4"/>
        <v>0</v>
      </c>
      <c r="Q238" s="147"/>
      <c r="R238" s="103"/>
      <c r="S238" s="103">
        <f t="shared" si="6"/>
        <v>0</v>
      </c>
      <c r="U238" s="107" t="str">
        <f t="shared" si="7"/>
        <v>0</v>
      </c>
    </row>
    <row r="239" ht="15.75" customHeight="1">
      <c r="A239" s="279"/>
      <c r="B239" s="280"/>
      <c r="C239" s="280"/>
      <c r="D239" s="280"/>
      <c r="E239" s="281"/>
      <c r="F239" s="281"/>
      <c r="G239" s="280"/>
      <c r="H239" s="282"/>
      <c r="I239" s="283"/>
      <c r="J239" s="280"/>
      <c r="K239" s="103"/>
      <c r="L239" s="146"/>
      <c r="M239" s="103"/>
      <c r="N239" s="103"/>
      <c r="O239" s="103">
        <f t="shared" si="3"/>
        <v>0</v>
      </c>
      <c r="P239" s="104">
        <f t="shared" si="4"/>
        <v>0</v>
      </c>
      <c r="Q239" s="147"/>
      <c r="R239" s="103"/>
      <c r="S239" s="103">
        <f t="shared" si="6"/>
        <v>0</v>
      </c>
      <c r="U239" s="107" t="str">
        <f t="shared" si="7"/>
        <v>0</v>
      </c>
    </row>
    <row r="240" ht="15.75" customHeight="1">
      <c r="A240" s="279"/>
      <c r="B240" s="280"/>
      <c r="C240" s="280"/>
      <c r="D240" s="280"/>
      <c r="E240" s="281"/>
      <c r="F240" s="281"/>
      <c r="G240" s="280"/>
      <c r="H240" s="282"/>
      <c r="I240" s="283"/>
      <c r="J240" s="280"/>
      <c r="K240" s="103"/>
      <c r="L240" s="146"/>
      <c r="M240" s="103"/>
      <c r="N240" s="103"/>
      <c r="O240" s="103">
        <f t="shared" si="3"/>
        <v>0</v>
      </c>
      <c r="P240" s="104">
        <f t="shared" si="4"/>
        <v>0</v>
      </c>
      <c r="Q240" s="147"/>
      <c r="R240" s="103"/>
      <c r="S240" s="103">
        <f t="shared" si="6"/>
        <v>0</v>
      </c>
      <c r="U240" s="107" t="str">
        <f t="shared" si="7"/>
        <v>0</v>
      </c>
    </row>
    <row r="241" ht="15.75" customHeight="1">
      <c r="A241" s="279"/>
      <c r="B241" s="280"/>
      <c r="C241" s="280"/>
      <c r="D241" s="280"/>
      <c r="E241" s="281"/>
      <c r="F241" s="281"/>
      <c r="G241" s="280"/>
      <c r="H241" s="282"/>
      <c r="I241" s="283"/>
      <c r="J241" s="280"/>
      <c r="K241" s="103"/>
      <c r="L241" s="146"/>
      <c r="M241" s="103"/>
      <c r="N241" s="103"/>
      <c r="O241" s="103">
        <f t="shared" si="3"/>
        <v>0</v>
      </c>
      <c r="P241" s="104">
        <f t="shared" si="4"/>
        <v>0</v>
      </c>
      <c r="Q241" s="147"/>
      <c r="R241" s="103"/>
      <c r="S241" s="103">
        <f t="shared" si="6"/>
        <v>0</v>
      </c>
      <c r="U241" s="107" t="str">
        <f t="shared" si="7"/>
        <v>0</v>
      </c>
    </row>
    <row r="242" ht="15.75" customHeight="1">
      <c r="A242" s="279"/>
      <c r="B242" s="280"/>
      <c r="C242" s="280"/>
      <c r="D242" s="280"/>
      <c r="E242" s="281"/>
      <c r="F242" s="281"/>
      <c r="G242" s="280"/>
      <c r="H242" s="282"/>
      <c r="I242" s="283"/>
      <c r="J242" s="280"/>
      <c r="K242" s="103"/>
      <c r="L242" s="146"/>
      <c r="M242" s="103"/>
      <c r="N242" s="103"/>
      <c r="O242" s="103">
        <f t="shared" si="3"/>
        <v>0</v>
      </c>
      <c r="P242" s="104">
        <f t="shared" si="4"/>
        <v>0</v>
      </c>
      <c r="Q242" s="147"/>
      <c r="R242" s="103"/>
      <c r="S242" s="103">
        <f t="shared" si="6"/>
        <v>0</v>
      </c>
      <c r="U242" s="107" t="str">
        <f t="shared" si="7"/>
        <v>0</v>
      </c>
    </row>
    <row r="243" ht="15.75" customHeight="1">
      <c r="A243" s="279"/>
      <c r="B243" s="280"/>
      <c r="C243" s="280"/>
      <c r="D243" s="280"/>
      <c r="E243" s="281"/>
      <c r="F243" s="281"/>
      <c r="G243" s="280"/>
      <c r="H243" s="282"/>
      <c r="I243" s="283"/>
      <c r="J243" s="280"/>
      <c r="K243" s="103"/>
      <c r="L243" s="146"/>
      <c r="M243" s="103"/>
      <c r="N243" s="103"/>
      <c r="O243" s="103">
        <f t="shared" si="3"/>
        <v>0</v>
      </c>
      <c r="P243" s="104">
        <f t="shared" si="4"/>
        <v>0</v>
      </c>
      <c r="Q243" s="147"/>
      <c r="R243" s="103"/>
      <c r="S243" s="103">
        <f t="shared" si="6"/>
        <v>0</v>
      </c>
      <c r="U243" s="107" t="str">
        <f t="shared" si="7"/>
        <v>0</v>
      </c>
    </row>
    <row r="244" ht="15.75" customHeight="1">
      <c r="A244" s="279"/>
      <c r="B244" s="280"/>
      <c r="C244" s="280"/>
      <c r="D244" s="280"/>
      <c r="E244" s="281"/>
      <c r="F244" s="281"/>
      <c r="G244" s="280"/>
      <c r="H244" s="282"/>
      <c r="I244" s="283"/>
      <c r="J244" s="280"/>
      <c r="K244" s="103"/>
      <c r="L244" s="146"/>
      <c r="M244" s="103"/>
      <c r="N244" s="103"/>
      <c r="O244" s="103">
        <f t="shared" si="3"/>
        <v>0</v>
      </c>
      <c r="P244" s="104">
        <f t="shared" si="4"/>
        <v>0</v>
      </c>
      <c r="Q244" s="147"/>
      <c r="R244" s="103"/>
      <c r="S244" s="103">
        <f t="shared" si="6"/>
        <v>0</v>
      </c>
      <c r="U244" s="107" t="str">
        <f t="shared" si="7"/>
        <v>0</v>
      </c>
    </row>
    <row r="245" ht="15.75" customHeight="1">
      <c r="A245" s="279"/>
      <c r="B245" s="280"/>
      <c r="C245" s="280"/>
      <c r="D245" s="280"/>
      <c r="E245" s="281"/>
      <c r="F245" s="281"/>
      <c r="G245" s="280"/>
      <c r="H245" s="282"/>
      <c r="I245" s="283"/>
      <c r="J245" s="280"/>
      <c r="K245" s="103"/>
      <c r="L245" s="146"/>
      <c r="M245" s="103"/>
      <c r="N245" s="103"/>
      <c r="O245" s="103">
        <f t="shared" si="3"/>
        <v>0</v>
      </c>
      <c r="P245" s="104">
        <f t="shared" si="4"/>
        <v>0</v>
      </c>
      <c r="Q245" s="147"/>
      <c r="R245" s="103"/>
      <c r="S245" s="103">
        <f t="shared" si="6"/>
        <v>0</v>
      </c>
      <c r="U245" s="107" t="str">
        <f t="shared" si="7"/>
        <v>0</v>
      </c>
    </row>
    <row r="246" ht="15.75" customHeight="1">
      <c r="A246" s="279"/>
      <c r="B246" s="280"/>
      <c r="C246" s="280"/>
      <c r="D246" s="280"/>
      <c r="E246" s="281"/>
      <c r="F246" s="281"/>
      <c r="G246" s="280"/>
      <c r="H246" s="282"/>
      <c r="I246" s="283"/>
      <c r="J246" s="280"/>
      <c r="K246" s="103"/>
      <c r="L246" s="146"/>
      <c r="M246" s="103"/>
      <c r="N246" s="103"/>
      <c r="O246" s="103">
        <f t="shared" si="3"/>
        <v>0</v>
      </c>
      <c r="P246" s="104">
        <f t="shared" si="4"/>
        <v>0</v>
      </c>
      <c r="Q246" s="147"/>
      <c r="R246" s="103"/>
      <c r="S246" s="103">
        <f t="shared" si="6"/>
        <v>0</v>
      </c>
      <c r="U246" s="107" t="str">
        <f t="shared" si="7"/>
        <v>0</v>
      </c>
    </row>
    <row r="247" ht="15.75" customHeight="1">
      <c r="A247" s="279"/>
      <c r="B247" s="280"/>
      <c r="C247" s="280"/>
      <c r="D247" s="280"/>
      <c r="E247" s="281"/>
      <c r="F247" s="281"/>
      <c r="G247" s="280"/>
      <c r="H247" s="282"/>
      <c r="I247" s="283"/>
      <c r="J247" s="280"/>
      <c r="K247" s="103"/>
      <c r="L247" s="146"/>
      <c r="M247" s="103"/>
      <c r="N247" s="103"/>
      <c r="O247" s="103">
        <f t="shared" si="3"/>
        <v>0</v>
      </c>
      <c r="P247" s="104">
        <f t="shared" si="4"/>
        <v>0</v>
      </c>
      <c r="Q247" s="147"/>
      <c r="R247" s="103"/>
      <c r="S247" s="103">
        <f t="shared" si="6"/>
        <v>0</v>
      </c>
      <c r="U247" s="107" t="str">
        <f t="shared" si="7"/>
        <v>0</v>
      </c>
    </row>
    <row r="248" ht="15.75" customHeight="1">
      <c r="A248" s="279"/>
      <c r="B248" s="280"/>
      <c r="C248" s="280"/>
      <c r="D248" s="280"/>
      <c r="E248" s="281"/>
      <c r="F248" s="281"/>
      <c r="G248" s="280"/>
      <c r="H248" s="282"/>
      <c r="I248" s="283"/>
      <c r="J248" s="280"/>
      <c r="K248" s="103"/>
      <c r="L248" s="146"/>
      <c r="M248" s="103"/>
      <c r="N248" s="103"/>
      <c r="O248" s="103">
        <f t="shared" si="3"/>
        <v>0</v>
      </c>
      <c r="P248" s="104">
        <f t="shared" si="4"/>
        <v>0</v>
      </c>
      <c r="Q248" s="147"/>
      <c r="R248" s="103"/>
      <c r="S248" s="103">
        <f t="shared" si="6"/>
        <v>0</v>
      </c>
      <c r="U248" s="107" t="str">
        <f t="shared" si="7"/>
        <v>0</v>
      </c>
    </row>
    <row r="249" ht="15.75" customHeight="1">
      <c r="A249" s="279"/>
      <c r="B249" s="280"/>
      <c r="C249" s="280"/>
      <c r="D249" s="280"/>
      <c r="E249" s="281"/>
      <c r="F249" s="281"/>
      <c r="G249" s="280"/>
      <c r="H249" s="282"/>
      <c r="I249" s="283"/>
      <c r="J249" s="280"/>
      <c r="K249" s="103"/>
      <c r="L249" s="146"/>
      <c r="M249" s="103"/>
      <c r="N249" s="103"/>
      <c r="O249" s="103">
        <f t="shared" si="3"/>
        <v>0</v>
      </c>
      <c r="P249" s="104">
        <f t="shared" si="4"/>
        <v>0</v>
      </c>
      <c r="Q249" s="147"/>
      <c r="R249" s="103"/>
      <c r="S249" s="103">
        <f t="shared" si="6"/>
        <v>0</v>
      </c>
      <c r="U249" s="107" t="str">
        <f t="shared" si="7"/>
        <v>0</v>
      </c>
    </row>
    <row r="250" ht="15.75" customHeight="1">
      <c r="A250" s="279"/>
      <c r="B250" s="280"/>
      <c r="C250" s="280"/>
      <c r="D250" s="280"/>
      <c r="E250" s="281"/>
      <c r="F250" s="281"/>
      <c r="G250" s="280"/>
      <c r="H250" s="282"/>
      <c r="I250" s="283"/>
      <c r="J250" s="280"/>
      <c r="K250" s="103"/>
      <c r="L250" s="146"/>
      <c r="M250" s="103"/>
      <c r="N250" s="103"/>
      <c r="O250" s="103">
        <f t="shared" si="3"/>
        <v>0</v>
      </c>
      <c r="P250" s="104">
        <f t="shared" si="4"/>
        <v>0</v>
      </c>
      <c r="Q250" s="147"/>
      <c r="R250" s="103"/>
      <c r="S250" s="103">
        <f t="shared" si="6"/>
        <v>0</v>
      </c>
      <c r="U250" s="107" t="str">
        <f t="shared" si="7"/>
        <v>0</v>
      </c>
    </row>
    <row r="251" ht="15.75" customHeight="1">
      <c r="A251" s="279"/>
      <c r="B251" s="280"/>
      <c r="C251" s="280"/>
      <c r="D251" s="280"/>
      <c r="E251" s="281"/>
      <c r="F251" s="281"/>
      <c r="G251" s="280"/>
      <c r="H251" s="282"/>
      <c r="I251" s="283"/>
      <c r="J251" s="280"/>
      <c r="K251" s="103"/>
      <c r="L251" s="146"/>
      <c r="M251" s="103"/>
      <c r="N251" s="103"/>
      <c r="O251" s="103">
        <f t="shared" si="3"/>
        <v>0</v>
      </c>
      <c r="P251" s="104">
        <f t="shared" si="4"/>
        <v>0</v>
      </c>
      <c r="Q251" s="147"/>
      <c r="R251" s="103"/>
      <c r="S251" s="103">
        <f t="shared" si="6"/>
        <v>0</v>
      </c>
      <c r="U251" s="107" t="str">
        <f t="shared" si="7"/>
        <v>0</v>
      </c>
    </row>
    <row r="252" ht="15.75" customHeight="1">
      <c r="A252" s="279"/>
      <c r="B252" s="280"/>
      <c r="C252" s="280"/>
      <c r="D252" s="280"/>
      <c r="E252" s="281"/>
      <c r="F252" s="281"/>
      <c r="G252" s="280"/>
      <c r="H252" s="282"/>
      <c r="I252" s="283"/>
      <c r="J252" s="280"/>
      <c r="K252" s="103"/>
      <c r="L252" s="146"/>
      <c r="M252" s="103"/>
      <c r="N252" s="103"/>
      <c r="O252" s="103">
        <f t="shared" si="3"/>
        <v>0</v>
      </c>
      <c r="P252" s="104">
        <f t="shared" si="4"/>
        <v>0</v>
      </c>
      <c r="Q252" s="147"/>
      <c r="R252" s="103"/>
      <c r="S252" s="103">
        <f t="shared" si="6"/>
        <v>0</v>
      </c>
      <c r="U252" s="107" t="str">
        <f t="shared" si="7"/>
        <v>0</v>
      </c>
    </row>
    <row r="253" ht="15.75" customHeight="1">
      <c r="A253" s="279"/>
      <c r="B253" s="280"/>
      <c r="C253" s="280"/>
      <c r="D253" s="280"/>
      <c r="E253" s="281"/>
      <c r="F253" s="281"/>
      <c r="G253" s="280"/>
      <c r="H253" s="282"/>
      <c r="I253" s="283"/>
      <c r="J253" s="280"/>
      <c r="K253" s="103"/>
      <c r="L253" s="146"/>
      <c r="M253" s="103"/>
      <c r="N253" s="103"/>
      <c r="O253" s="103">
        <f t="shared" si="3"/>
        <v>0</v>
      </c>
      <c r="P253" s="104">
        <f t="shared" si="4"/>
        <v>0</v>
      </c>
      <c r="Q253" s="147"/>
      <c r="R253" s="103"/>
      <c r="S253" s="103">
        <f t="shared" si="6"/>
        <v>0</v>
      </c>
      <c r="U253" s="107" t="str">
        <f t="shared" si="7"/>
        <v>0</v>
      </c>
    </row>
    <row r="254" ht="15.75" customHeight="1">
      <c r="A254" s="279"/>
      <c r="B254" s="280"/>
      <c r="C254" s="280"/>
      <c r="D254" s="280"/>
      <c r="E254" s="281"/>
      <c r="F254" s="281"/>
      <c r="G254" s="280"/>
      <c r="H254" s="282"/>
      <c r="I254" s="283"/>
      <c r="J254" s="280"/>
      <c r="K254" s="103"/>
      <c r="L254" s="146"/>
      <c r="M254" s="103"/>
      <c r="N254" s="103"/>
      <c r="O254" s="103">
        <f t="shared" si="3"/>
        <v>0</v>
      </c>
      <c r="P254" s="104">
        <f t="shared" si="4"/>
        <v>0</v>
      </c>
      <c r="Q254" s="147"/>
      <c r="R254" s="103"/>
      <c r="S254" s="103">
        <f t="shared" si="6"/>
        <v>0</v>
      </c>
      <c r="U254" s="107" t="str">
        <f t="shared" si="7"/>
        <v>0</v>
      </c>
    </row>
    <row r="255" ht="15.75" customHeight="1">
      <c r="A255" s="279"/>
      <c r="B255" s="280"/>
      <c r="C255" s="280"/>
      <c r="D255" s="280"/>
      <c r="E255" s="281"/>
      <c r="F255" s="281"/>
      <c r="G255" s="280"/>
      <c r="H255" s="282"/>
      <c r="I255" s="283"/>
      <c r="J255" s="280"/>
      <c r="K255" s="103"/>
      <c r="L255" s="146"/>
      <c r="M255" s="103"/>
      <c r="N255" s="103"/>
      <c r="O255" s="103">
        <f t="shared" si="3"/>
        <v>0</v>
      </c>
      <c r="P255" s="104">
        <f t="shared" si="4"/>
        <v>0</v>
      </c>
      <c r="Q255" s="147"/>
      <c r="R255" s="103"/>
      <c r="S255" s="103">
        <f t="shared" si="6"/>
        <v>0</v>
      </c>
      <c r="U255" s="107" t="str">
        <f t="shared" si="7"/>
        <v>0</v>
      </c>
    </row>
    <row r="256" ht="15.75" customHeight="1">
      <c r="A256" s="279"/>
      <c r="B256" s="280"/>
      <c r="C256" s="280"/>
      <c r="D256" s="280"/>
      <c r="E256" s="281"/>
      <c r="F256" s="281"/>
      <c r="G256" s="280"/>
      <c r="H256" s="282"/>
      <c r="I256" s="283"/>
      <c r="J256" s="280"/>
      <c r="K256" s="103"/>
      <c r="L256" s="146"/>
      <c r="M256" s="103"/>
      <c r="N256" s="103"/>
      <c r="O256" s="103">
        <f t="shared" si="3"/>
        <v>0</v>
      </c>
      <c r="P256" s="104">
        <f t="shared" si="4"/>
        <v>0</v>
      </c>
      <c r="Q256" s="147"/>
      <c r="R256" s="103"/>
      <c r="S256" s="103">
        <f t="shared" si="6"/>
        <v>0</v>
      </c>
      <c r="U256" s="107" t="str">
        <f t="shared" si="7"/>
        <v>0</v>
      </c>
    </row>
    <row r="257" ht="15.75" customHeight="1">
      <c r="A257" s="279"/>
      <c r="B257" s="280"/>
      <c r="C257" s="280"/>
      <c r="D257" s="280"/>
      <c r="E257" s="281"/>
      <c r="F257" s="281"/>
      <c r="G257" s="280"/>
      <c r="H257" s="282"/>
      <c r="I257" s="283"/>
      <c r="J257" s="280"/>
      <c r="K257" s="103"/>
      <c r="L257" s="146"/>
      <c r="M257" s="103"/>
      <c r="N257" s="103"/>
      <c r="O257" s="103">
        <f t="shared" si="3"/>
        <v>0</v>
      </c>
      <c r="P257" s="104">
        <f t="shared" si="4"/>
        <v>0</v>
      </c>
      <c r="Q257" s="147"/>
      <c r="R257" s="103"/>
      <c r="S257" s="103">
        <f t="shared" si="6"/>
        <v>0</v>
      </c>
      <c r="U257" s="107" t="str">
        <f t="shared" si="7"/>
        <v>0</v>
      </c>
    </row>
    <row r="258" ht="15.75" customHeight="1">
      <c r="A258" s="279"/>
      <c r="B258" s="280"/>
      <c r="C258" s="280"/>
      <c r="D258" s="280"/>
      <c r="E258" s="281"/>
      <c r="F258" s="281"/>
      <c r="G258" s="280"/>
      <c r="H258" s="282"/>
      <c r="I258" s="283"/>
      <c r="J258" s="280"/>
      <c r="K258" s="103"/>
      <c r="L258" s="146"/>
      <c r="M258" s="103"/>
      <c r="N258" s="103"/>
      <c r="O258" s="103">
        <f t="shared" si="3"/>
        <v>0</v>
      </c>
      <c r="P258" s="104">
        <f t="shared" si="4"/>
        <v>0</v>
      </c>
      <c r="Q258" s="147"/>
      <c r="R258" s="103"/>
      <c r="S258" s="103">
        <f t="shared" si="6"/>
        <v>0</v>
      </c>
      <c r="U258" s="107" t="str">
        <f t="shared" si="7"/>
        <v>0</v>
      </c>
    </row>
    <row r="259" ht="15.75" customHeight="1">
      <c r="A259" s="279"/>
      <c r="B259" s="280"/>
      <c r="C259" s="280"/>
      <c r="D259" s="280"/>
      <c r="E259" s="281"/>
      <c r="F259" s="281"/>
      <c r="G259" s="280"/>
      <c r="H259" s="282"/>
      <c r="I259" s="283"/>
      <c r="J259" s="280"/>
      <c r="K259" s="103"/>
      <c r="L259" s="146"/>
      <c r="M259" s="103"/>
      <c r="N259" s="103"/>
      <c r="O259" s="103">
        <f t="shared" si="3"/>
        <v>0</v>
      </c>
      <c r="P259" s="104">
        <f t="shared" si="4"/>
        <v>0</v>
      </c>
      <c r="Q259" s="147"/>
      <c r="R259" s="103"/>
      <c r="S259" s="103">
        <f t="shared" si="6"/>
        <v>0</v>
      </c>
      <c r="U259" s="107" t="str">
        <f t="shared" si="7"/>
        <v>0</v>
      </c>
    </row>
    <row r="260" ht="15.75" customHeight="1">
      <c r="A260" s="279"/>
      <c r="B260" s="280"/>
      <c r="C260" s="280"/>
      <c r="D260" s="280"/>
      <c r="E260" s="281"/>
      <c r="F260" s="281"/>
      <c r="G260" s="280"/>
      <c r="H260" s="282"/>
      <c r="I260" s="283"/>
      <c r="J260" s="280"/>
      <c r="K260" s="103"/>
      <c r="L260" s="146"/>
      <c r="M260" s="103"/>
      <c r="N260" s="103"/>
      <c r="O260" s="103">
        <f t="shared" si="3"/>
        <v>0</v>
      </c>
      <c r="P260" s="104">
        <f t="shared" si="4"/>
        <v>0</v>
      </c>
      <c r="Q260" s="147"/>
      <c r="R260" s="103"/>
      <c r="S260" s="103">
        <f t="shared" si="6"/>
        <v>0</v>
      </c>
      <c r="U260" s="107" t="str">
        <f t="shared" si="7"/>
        <v>0</v>
      </c>
    </row>
    <row r="261" ht="15.75" customHeight="1">
      <c r="A261" s="279"/>
      <c r="B261" s="280"/>
      <c r="C261" s="280"/>
      <c r="D261" s="280"/>
      <c r="E261" s="281"/>
      <c r="F261" s="281"/>
      <c r="G261" s="280"/>
      <c r="H261" s="282"/>
      <c r="I261" s="283"/>
      <c r="J261" s="280"/>
      <c r="K261" s="103"/>
      <c r="L261" s="146"/>
      <c r="M261" s="103"/>
      <c r="N261" s="103"/>
      <c r="O261" s="103">
        <f t="shared" si="3"/>
        <v>0</v>
      </c>
      <c r="P261" s="104">
        <f t="shared" si="4"/>
        <v>0</v>
      </c>
      <c r="Q261" s="147"/>
      <c r="R261" s="103"/>
      <c r="S261" s="103">
        <f t="shared" si="6"/>
        <v>0</v>
      </c>
      <c r="U261" s="107" t="str">
        <f t="shared" si="7"/>
        <v>0</v>
      </c>
    </row>
    <row r="262" ht="15.75" customHeight="1">
      <c r="A262" s="279"/>
      <c r="B262" s="280"/>
      <c r="C262" s="280"/>
      <c r="D262" s="280"/>
      <c r="E262" s="281"/>
      <c r="F262" s="281"/>
      <c r="G262" s="280"/>
      <c r="H262" s="282"/>
      <c r="I262" s="283"/>
      <c r="J262" s="280"/>
      <c r="K262" s="103"/>
      <c r="L262" s="146"/>
      <c r="M262" s="103"/>
      <c r="N262" s="103"/>
      <c r="O262" s="103">
        <f t="shared" si="3"/>
        <v>0</v>
      </c>
      <c r="P262" s="104">
        <f t="shared" si="4"/>
        <v>0</v>
      </c>
      <c r="Q262" s="147"/>
      <c r="R262" s="103"/>
      <c r="S262" s="103">
        <f t="shared" si="6"/>
        <v>0</v>
      </c>
      <c r="U262" s="107" t="str">
        <f t="shared" si="7"/>
        <v>0</v>
      </c>
    </row>
    <row r="263" ht="15.75" customHeight="1">
      <c r="A263" s="279"/>
      <c r="B263" s="280"/>
      <c r="C263" s="280"/>
      <c r="D263" s="280"/>
      <c r="E263" s="281"/>
      <c r="F263" s="281"/>
      <c r="G263" s="280"/>
      <c r="H263" s="282"/>
      <c r="I263" s="283"/>
      <c r="J263" s="280"/>
      <c r="K263" s="103"/>
      <c r="L263" s="146"/>
      <c r="M263" s="103"/>
      <c r="N263" s="103"/>
      <c r="O263" s="103">
        <f t="shared" si="3"/>
        <v>0</v>
      </c>
      <c r="P263" s="104">
        <f t="shared" si="4"/>
        <v>0</v>
      </c>
      <c r="Q263" s="147"/>
      <c r="R263" s="103"/>
      <c r="S263" s="103">
        <f t="shared" si="6"/>
        <v>0</v>
      </c>
      <c r="U263" s="107" t="str">
        <f t="shared" si="7"/>
        <v>0</v>
      </c>
    </row>
    <row r="264" ht="15.75" customHeight="1">
      <c r="A264" s="279"/>
      <c r="B264" s="280"/>
      <c r="C264" s="280"/>
      <c r="D264" s="280"/>
      <c r="E264" s="281"/>
      <c r="F264" s="281"/>
      <c r="G264" s="280"/>
      <c r="H264" s="282"/>
      <c r="I264" s="283"/>
      <c r="J264" s="280"/>
      <c r="K264" s="103"/>
      <c r="L264" s="146"/>
      <c r="M264" s="103"/>
      <c r="N264" s="103"/>
      <c r="O264" s="103">
        <f t="shared" si="3"/>
        <v>0</v>
      </c>
      <c r="P264" s="104">
        <f t="shared" si="4"/>
        <v>0</v>
      </c>
      <c r="Q264" s="147"/>
      <c r="R264" s="103"/>
      <c r="S264" s="103">
        <f t="shared" si="6"/>
        <v>0</v>
      </c>
      <c r="U264" s="107" t="str">
        <f t="shared" si="7"/>
        <v>0</v>
      </c>
    </row>
    <row r="265" ht="15.75" customHeight="1">
      <c r="A265" s="279"/>
      <c r="B265" s="280"/>
      <c r="C265" s="280"/>
      <c r="D265" s="280"/>
      <c r="E265" s="281"/>
      <c r="F265" s="281"/>
      <c r="G265" s="280"/>
      <c r="H265" s="282"/>
      <c r="I265" s="283"/>
      <c r="J265" s="280"/>
      <c r="K265" s="103"/>
      <c r="L265" s="146"/>
      <c r="M265" s="103"/>
      <c r="N265" s="103"/>
      <c r="O265" s="103">
        <f t="shared" si="3"/>
        <v>0</v>
      </c>
      <c r="P265" s="104">
        <f t="shared" si="4"/>
        <v>0</v>
      </c>
      <c r="Q265" s="147"/>
      <c r="R265" s="103"/>
      <c r="S265" s="103">
        <f t="shared" si="6"/>
        <v>0</v>
      </c>
      <c r="U265" s="107" t="str">
        <f t="shared" si="7"/>
        <v>0</v>
      </c>
    </row>
    <row r="266" ht="15.75" customHeight="1">
      <c r="A266" s="279"/>
      <c r="B266" s="280"/>
      <c r="C266" s="280"/>
      <c r="D266" s="280"/>
      <c r="E266" s="281"/>
      <c r="F266" s="281"/>
      <c r="G266" s="280"/>
      <c r="H266" s="282"/>
      <c r="I266" s="283"/>
      <c r="J266" s="280"/>
      <c r="K266" s="103"/>
      <c r="L266" s="146"/>
      <c r="M266" s="103"/>
      <c r="N266" s="103"/>
      <c r="O266" s="103">
        <f t="shared" si="3"/>
        <v>0</v>
      </c>
      <c r="P266" s="104">
        <f t="shared" si="4"/>
        <v>0</v>
      </c>
      <c r="Q266" s="147"/>
      <c r="R266" s="103"/>
      <c r="S266" s="103">
        <f t="shared" si="6"/>
        <v>0</v>
      </c>
      <c r="U266" s="107" t="str">
        <f t="shared" si="7"/>
        <v>0</v>
      </c>
    </row>
    <row r="267" ht="15.75" customHeight="1">
      <c r="A267" s="279"/>
      <c r="B267" s="280"/>
      <c r="C267" s="280"/>
      <c r="D267" s="280"/>
      <c r="E267" s="281"/>
      <c r="F267" s="281"/>
      <c r="G267" s="280"/>
      <c r="H267" s="282"/>
      <c r="I267" s="283"/>
      <c r="J267" s="280"/>
      <c r="K267" s="103"/>
      <c r="L267" s="146"/>
      <c r="M267" s="103"/>
      <c r="N267" s="103"/>
      <c r="O267" s="103">
        <f t="shared" si="3"/>
        <v>0</v>
      </c>
      <c r="P267" s="104">
        <f t="shared" si="4"/>
        <v>0</v>
      </c>
      <c r="Q267" s="147"/>
      <c r="R267" s="103"/>
      <c r="S267" s="103">
        <f t="shared" si="6"/>
        <v>0</v>
      </c>
      <c r="U267" s="107" t="str">
        <f t="shared" si="7"/>
        <v>0</v>
      </c>
    </row>
    <row r="268" ht="15.75" customHeight="1">
      <c r="A268" s="279"/>
      <c r="B268" s="280"/>
      <c r="C268" s="280"/>
      <c r="D268" s="280"/>
      <c r="E268" s="281"/>
      <c r="F268" s="281"/>
      <c r="G268" s="280"/>
      <c r="H268" s="282"/>
      <c r="I268" s="283"/>
      <c r="J268" s="280"/>
      <c r="K268" s="103"/>
      <c r="L268" s="146"/>
      <c r="M268" s="103"/>
      <c r="N268" s="103"/>
      <c r="O268" s="103">
        <f t="shared" si="3"/>
        <v>0</v>
      </c>
      <c r="P268" s="104">
        <f t="shared" si="4"/>
        <v>0</v>
      </c>
      <c r="Q268" s="147"/>
      <c r="R268" s="103"/>
      <c r="S268" s="103">
        <f t="shared" si="6"/>
        <v>0</v>
      </c>
      <c r="U268" s="107" t="str">
        <f t="shared" si="7"/>
        <v>0</v>
      </c>
    </row>
    <row r="269" ht="15.75" customHeight="1">
      <c r="A269" s="279"/>
      <c r="B269" s="280"/>
      <c r="C269" s="280"/>
      <c r="D269" s="280"/>
      <c r="E269" s="281"/>
      <c r="F269" s="281"/>
      <c r="G269" s="280"/>
      <c r="H269" s="282"/>
      <c r="I269" s="283"/>
      <c r="J269" s="280"/>
      <c r="K269" s="103"/>
      <c r="L269" s="146"/>
      <c r="M269" s="103"/>
      <c r="N269" s="103"/>
      <c r="O269" s="103">
        <f t="shared" si="3"/>
        <v>0</v>
      </c>
      <c r="P269" s="104">
        <f t="shared" si="4"/>
        <v>0</v>
      </c>
      <c r="Q269" s="147"/>
      <c r="R269" s="103"/>
      <c r="S269" s="103">
        <f t="shared" si="6"/>
        <v>0</v>
      </c>
      <c r="U269" s="107" t="str">
        <f t="shared" si="7"/>
        <v>0</v>
      </c>
    </row>
    <row r="270" ht="15.75" customHeight="1">
      <c r="A270" s="279"/>
      <c r="B270" s="280"/>
      <c r="C270" s="280"/>
      <c r="D270" s="280"/>
      <c r="E270" s="281"/>
      <c r="F270" s="281"/>
      <c r="G270" s="280"/>
      <c r="H270" s="282"/>
      <c r="I270" s="283"/>
      <c r="J270" s="280"/>
      <c r="K270" s="103"/>
      <c r="L270" s="146"/>
      <c r="M270" s="103"/>
      <c r="N270" s="103"/>
      <c r="O270" s="103">
        <f t="shared" si="3"/>
        <v>0</v>
      </c>
      <c r="P270" s="104">
        <f t="shared" si="4"/>
        <v>0</v>
      </c>
      <c r="Q270" s="147"/>
      <c r="R270" s="103"/>
      <c r="S270" s="103">
        <f t="shared" si="6"/>
        <v>0</v>
      </c>
      <c r="U270" s="107" t="str">
        <f t="shared" si="7"/>
        <v>0</v>
      </c>
    </row>
    <row r="271" ht="15.75" customHeight="1">
      <c r="A271" s="279"/>
      <c r="B271" s="280"/>
      <c r="C271" s="280"/>
      <c r="D271" s="280"/>
      <c r="E271" s="281"/>
      <c r="F271" s="281"/>
      <c r="G271" s="280"/>
      <c r="H271" s="282"/>
      <c r="I271" s="283"/>
      <c r="J271" s="280"/>
      <c r="K271" s="103"/>
      <c r="L271" s="146"/>
      <c r="M271" s="103"/>
      <c r="N271" s="103"/>
      <c r="O271" s="103">
        <f t="shared" si="3"/>
        <v>0</v>
      </c>
      <c r="P271" s="104">
        <f t="shared" si="4"/>
        <v>0</v>
      </c>
      <c r="Q271" s="147"/>
      <c r="R271" s="103"/>
      <c r="S271" s="103">
        <f t="shared" si="6"/>
        <v>0</v>
      </c>
      <c r="U271" s="107" t="str">
        <f t="shared" si="7"/>
        <v>0</v>
      </c>
    </row>
    <row r="272" ht="15.75" customHeight="1">
      <c r="A272" s="279"/>
      <c r="B272" s="280"/>
      <c r="C272" s="280"/>
      <c r="D272" s="280"/>
      <c r="E272" s="281"/>
      <c r="F272" s="281"/>
      <c r="G272" s="280"/>
      <c r="H272" s="282"/>
      <c r="I272" s="283"/>
      <c r="J272" s="280"/>
      <c r="K272" s="103"/>
      <c r="L272" s="146"/>
      <c r="M272" s="103"/>
      <c r="N272" s="103"/>
      <c r="O272" s="103">
        <f t="shared" si="3"/>
        <v>0</v>
      </c>
      <c r="P272" s="104">
        <f t="shared" si="4"/>
        <v>0</v>
      </c>
      <c r="Q272" s="147"/>
      <c r="R272" s="103"/>
      <c r="S272" s="103">
        <f t="shared" si="6"/>
        <v>0</v>
      </c>
      <c r="U272" s="107" t="str">
        <f t="shared" si="7"/>
        <v>0</v>
      </c>
    </row>
    <row r="273" ht="15.75" customHeight="1">
      <c r="A273" s="279"/>
      <c r="B273" s="280"/>
      <c r="C273" s="280"/>
      <c r="D273" s="280"/>
      <c r="E273" s="281"/>
      <c r="F273" s="281"/>
      <c r="G273" s="280"/>
      <c r="H273" s="282"/>
      <c r="I273" s="283"/>
      <c r="J273" s="280"/>
      <c r="K273" s="103"/>
      <c r="L273" s="146"/>
      <c r="M273" s="103"/>
      <c r="N273" s="103"/>
      <c r="O273" s="103">
        <f t="shared" si="3"/>
        <v>0</v>
      </c>
      <c r="P273" s="104">
        <f t="shared" si="4"/>
        <v>0</v>
      </c>
      <c r="Q273" s="147"/>
      <c r="R273" s="103"/>
      <c r="S273" s="103">
        <f t="shared" si="6"/>
        <v>0</v>
      </c>
      <c r="U273" s="107" t="str">
        <f t="shared" si="7"/>
        <v>0</v>
      </c>
    </row>
    <row r="274" ht="15.75" customHeight="1">
      <c r="A274" s="279"/>
      <c r="B274" s="280"/>
      <c r="C274" s="280"/>
      <c r="D274" s="280"/>
      <c r="E274" s="281"/>
      <c r="F274" s="281"/>
      <c r="G274" s="280"/>
      <c r="H274" s="282"/>
      <c r="I274" s="283"/>
      <c r="J274" s="280"/>
      <c r="K274" s="103"/>
      <c r="L274" s="146"/>
      <c r="M274" s="103"/>
      <c r="N274" s="103"/>
      <c r="O274" s="103">
        <f t="shared" si="3"/>
        <v>0</v>
      </c>
      <c r="P274" s="104">
        <f t="shared" si="4"/>
        <v>0</v>
      </c>
      <c r="Q274" s="147"/>
      <c r="R274" s="103"/>
      <c r="S274" s="103">
        <f t="shared" si="6"/>
        <v>0</v>
      </c>
      <c r="U274" s="107" t="str">
        <f t="shared" si="7"/>
        <v>0</v>
      </c>
    </row>
    <row r="275" ht="15.75" customHeight="1">
      <c r="A275" s="279"/>
      <c r="B275" s="280"/>
      <c r="C275" s="280"/>
      <c r="D275" s="280"/>
      <c r="E275" s="281"/>
      <c r="F275" s="281"/>
      <c r="G275" s="280"/>
      <c r="H275" s="282"/>
      <c r="I275" s="283"/>
      <c r="J275" s="280"/>
      <c r="K275" s="103"/>
      <c r="L275" s="146"/>
      <c r="M275" s="103"/>
      <c r="N275" s="103"/>
      <c r="O275" s="103">
        <f t="shared" si="3"/>
        <v>0</v>
      </c>
      <c r="P275" s="104">
        <f t="shared" si="4"/>
        <v>0</v>
      </c>
      <c r="Q275" s="147"/>
      <c r="R275" s="103"/>
      <c r="S275" s="103">
        <f t="shared" si="6"/>
        <v>0</v>
      </c>
      <c r="U275" s="107" t="str">
        <f t="shared" si="7"/>
        <v>0</v>
      </c>
    </row>
    <row r="276" ht="15.75" customHeight="1">
      <c r="A276" s="279"/>
      <c r="B276" s="280"/>
      <c r="C276" s="280"/>
      <c r="D276" s="280"/>
      <c r="E276" s="281"/>
      <c r="F276" s="281"/>
      <c r="G276" s="280"/>
      <c r="H276" s="282"/>
      <c r="I276" s="283"/>
      <c r="J276" s="280"/>
      <c r="K276" s="103"/>
      <c r="L276" s="146"/>
      <c r="M276" s="103"/>
      <c r="N276" s="103"/>
      <c r="O276" s="103">
        <f t="shared" si="3"/>
        <v>0</v>
      </c>
      <c r="P276" s="104">
        <f t="shared" si="4"/>
        <v>0</v>
      </c>
      <c r="Q276" s="147"/>
      <c r="R276" s="103"/>
      <c r="S276" s="103">
        <f t="shared" si="6"/>
        <v>0</v>
      </c>
      <c r="U276" s="107" t="str">
        <f t="shared" si="7"/>
        <v>0</v>
      </c>
    </row>
    <row r="277" ht="15.75" customHeight="1">
      <c r="A277" s="279"/>
      <c r="B277" s="280"/>
      <c r="C277" s="280"/>
      <c r="D277" s="280"/>
      <c r="E277" s="281"/>
      <c r="F277" s="281"/>
      <c r="G277" s="280"/>
      <c r="H277" s="282"/>
      <c r="I277" s="283"/>
      <c r="J277" s="280"/>
      <c r="K277" s="103"/>
      <c r="L277" s="146"/>
      <c r="M277" s="103"/>
      <c r="N277" s="103"/>
      <c r="O277" s="103">
        <f t="shared" si="3"/>
        <v>0</v>
      </c>
      <c r="P277" s="104">
        <f t="shared" si="4"/>
        <v>0</v>
      </c>
      <c r="Q277" s="147"/>
      <c r="R277" s="103"/>
      <c r="S277" s="103">
        <f t="shared" si="6"/>
        <v>0</v>
      </c>
      <c r="U277" s="107" t="str">
        <f t="shared" si="7"/>
        <v>0</v>
      </c>
    </row>
    <row r="278" ht="15.75" customHeight="1">
      <c r="A278" s="279"/>
      <c r="B278" s="280"/>
      <c r="C278" s="280"/>
      <c r="D278" s="280"/>
      <c r="E278" s="281"/>
      <c r="F278" s="281"/>
      <c r="G278" s="280"/>
      <c r="H278" s="282"/>
      <c r="I278" s="283"/>
      <c r="J278" s="280"/>
      <c r="K278" s="103"/>
      <c r="L278" s="146"/>
      <c r="M278" s="103"/>
      <c r="N278" s="103"/>
      <c r="O278" s="103">
        <f t="shared" si="3"/>
        <v>0</v>
      </c>
      <c r="P278" s="104">
        <f t="shared" si="4"/>
        <v>0</v>
      </c>
      <c r="Q278" s="147"/>
      <c r="R278" s="103"/>
      <c r="S278" s="103">
        <f t="shared" si="6"/>
        <v>0</v>
      </c>
      <c r="U278" s="107" t="str">
        <f t="shared" si="7"/>
        <v>0</v>
      </c>
    </row>
    <row r="279" ht="15.75" customHeight="1">
      <c r="A279" s="279"/>
      <c r="B279" s="280"/>
      <c r="C279" s="280"/>
      <c r="D279" s="280"/>
      <c r="E279" s="281"/>
      <c r="F279" s="281"/>
      <c r="G279" s="280"/>
      <c r="H279" s="282"/>
      <c r="I279" s="283"/>
      <c r="J279" s="280"/>
      <c r="K279" s="103"/>
      <c r="L279" s="146"/>
      <c r="M279" s="103"/>
      <c r="N279" s="103"/>
      <c r="O279" s="103">
        <f t="shared" si="3"/>
        <v>0</v>
      </c>
      <c r="P279" s="104">
        <f t="shared" si="4"/>
        <v>0</v>
      </c>
      <c r="Q279" s="147"/>
      <c r="R279" s="103"/>
      <c r="S279" s="103">
        <f t="shared" si="6"/>
        <v>0</v>
      </c>
      <c r="U279" s="107" t="str">
        <f t="shared" si="7"/>
        <v>0</v>
      </c>
    </row>
    <row r="280" ht="15.75" customHeight="1">
      <c r="A280" s="279"/>
      <c r="B280" s="280"/>
      <c r="C280" s="280"/>
      <c r="D280" s="280"/>
      <c r="E280" s="281"/>
      <c r="F280" s="281"/>
      <c r="G280" s="280"/>
      <c r="H280" s="282"/>
      <c r="I280" s="283"/>
      <c r="J280" s="280"/>
      <c r="K280" s="103"/>
      <c r="L280" s="146"/>
      <c r="M280" s="103"/>
      <c r="N280" s="103"/>
      <c r="O280" s="103">
        <f t="shared" si="3"/>
        <v>0</v>
      </c>
      <c r="P280" s="104">
        <f t="shared" si="4"/>
        <v>0</v>
      </c>
      <c r="Q280" s="147"/>
      <c r="R280" s="103"/>
      <c r="S280" s="103">
        <f t="shared" si="6"/>
        <v>0</v>
      </c>
      <c r="U280" s="107" t="str">
        <f t="shared" si="7"/>
        <v>0</v>
      </c>
    </row>
    <row r="281" ht="15.75" customHeight="1">
      <c r="A281" s="279"/>
      <c r="B281" s="280"/>
      <c r="C281" s="280"/>
      <c r="D281" s="280"/>
      <c r="E281" s="281"/>
      <c r="F281" s="281"/>
      <c r="G281" s="280"/>
      <c r="H281" s="282"/>
      <c r="I281" s="283"/>
      <c r="J281" s="280"/>
      <c r="K281" s="103"/>
      <c r="L281" s="146"/>
      <c r="M281" s="103"/>
      <c r="N281" s="103"/>
      <c r="O281" s="103">
        <f t="shared" si="3"/>
        <v>0</v>
      </c>
      <c r="P281" s="104">
        <f t="shared" si="4"/>
        <v>0</v>
      </c>
      <c r="Q281" s="147"/>
      <c r="R281" s="103"/>
      <c r="S281" s="103">
        <f t="shared" si="6"/>
        <v>0</v>
      </c>
      <c r="U281" s="107" t="str">
        <f t="shared" si="7"/>
        <v>0</v>
      </c>
    </row>
    <row r="282" ht="15.75" customHeight="1">
      <c r="A282" s="279"/>
      <c r="B282" s="280"/>
      <c r="C282" s="280"/>
      <c r="D282" s="280"/>
      <c r="E282" s="281"/>
      <c r="F282" s="281"/>
      <c r="G282" s="280"/>
      <c r="H282" s="282"/>
      <c r="I282" s="283"/>
      <c r="J282" s="280"/>
      <c r="K282" s="103"/>
      <c r="L282" s="146"/>
      <c r="M282" s="103"/>
      <c r="N282" s="103"/>
      <c r="O282" s="103">
        <f t="shared" si="3"/>
        <v>0</v>
      </c>
      <c r="P282" s="104">
        <f t="shared" si="4"/>
        <v>0</v>
      </c>
      <c r="Q282" s="147"/>
      <c r="R282" s="103"/>
      <c r="S282" s="103">
        <f t="shared" si="6"/>
        <v>0</v>
      </c>
      <c r="U282" s="107" t="str">
        <f t="shared" si="7"/>
        <v>0</v>
      </c>
    </row>
    <row r="283" ht="15.75" customHeight="1">
      <c r="A283" s="279"/>
      <c r="B283" s="280"/>
      <c r="C283" s="280"/>
      <c r="D283" s="280"/>
      <c r="E283" s="281"/>
      <c r="F283" s="281"/>
      <c r="G283" s="280"/>
      <c r="H283" s="282"/>
      <c r="I283" s="283"/>
      <c r="J283" s="280"/>
      <c r="K283" s="103"/>
      <c r="L283" s="146"/>
      <c r="M283" s="103"/>
      <c r="N283" s="103"/>
      <c r="O283" s="103">
        <f t="shared" si="3"/>
        <v>0</v>
      </c>
      <c r="P283" s="104">
        <f t="shared" si="4"/>
        <v>0</v>
      </c>
      <c r="Q283" s="147"/>
      <c r="R283" s="103"/>
      <c r="S283" s="103">
        <f t="shared" si="6"/>
        <v>0</v>
      </c>
      <c r="U283" s="107" t="str">
        <f t="shared" si="7"/>
        <v>0</v>
      </c>
    </row>
    <row r="284" ht="15.75" customHeight="1">
      <c r="A284" s="279"/>
      <c r="B284" s="280"/>
      <c r="C284" s="280"/>
      <c r="D284" s="280"/>
      <c r="E284" s="281"/>
      <c r="F284" s="281"/>
      <c r="G284" s="280"/>
      <c r="H284" s="282"/>
      <c r="I284" s="283"/>
      <c r="J284" s="280"/>
      <c r="K284" s="103"/>
      <c r="L284" s="146"/>
      <c r="M284" s="103"/>
      <c r="N284" s="103"/>
      <c r="O284" s="103">
        <f t="shared" si="3"/>
        <v>0</v>
      </c>
      <c r="P284" s="104">
        <f t="shared" si="4"/>
        <v>0</v>
      </c>
      <c r="Q284" s="147"/>
      <c r="R284" s="103"/>
      <c r="S284" s="103">
        <f t="shared" si="6"/>
        <v>0</v>
      </c>
      <c r="U284" s="107" t="str">
        <f t="shared" si="7"/>
        <v>0</v>
      </c>
    </row>
    <row r="285" ht="15.75" customHeight="1">
      <c r="A285" s="279"/>
      <c r="B285" s="280"/>
      <c r="C285" s="280"/>
      <c r="D285" s="280"/>
      <c r="E285" s="281"/>
      <c r="F285" s="281"/>
      <c r="G285" s="280"/>
      <c r="H285" s="282"/>
      <c r="I285" s="283"/>
      <c r="J285" s="280"/>
      <c r="K285" s="103"/>
      <c r="L285" s="146"/>
      <c r="M285" s="103"/>
      <c r="N285" s="103"/>
      <c r="O285" s="103">
        <f t="shared" si="3"/>
        <v>0</v>
      </c>
      <c r="P285" s="104">
        <f t="shared" si="4"/>
        <v>0</v>
      </c>
      <c r="Q285" s="147"/>
      <c r="R285" s="103"/>
      <c r="S285" s="103">
        <f t="shared" si="6"/>
        <v>0</v>
      </c>
      <c r="U285" s="107" t="str">
        <f t="shared" si="7"/>
        <v>0</v>
      </c>
    </row>
    <row r="286" ht="15.75" customHeight="1">
      <c r="A286" s="279"/>
      <c r="B286" s="280"/>
      <c r="C286" s="280"/>
      <c r="D286" s="280"/>
      <c r="E286" s="281"/>
      <c r="F286" s="281"/>
      <c r="G286" s="280"/>
      <c r="H286" s="282"/>
      <c r="I286" s="283"/>
      <c r="J286" s="280"/>
      <c r="K286" s="103"/>
      <c r="L286" s="146"/>
      <c r="M286" s="103"/>
      <c r="N286" s="103"/>
      <c r="O286" s="103">
        <f t="shared" si="3"/>
        <v>0</v>
      </c>
      <c r="P286" s="104">
        <f t="shared" si="4"/>
        <v>0</v>
      </c>
      <c r="Q286" s="147"/>
      <c r="R286" s="103"/>
      <c r="S286" s="103">
        <f t="shared" si="6"/>
        <v>0</v>
      </c>
      <c r="U286" s="107" t="str">
        <f t="shared" si="7"/>
        <v>0</v>
      </c>
    </row>
    <row r="287" ht="15.75" customHeight="1">
      <c r="A287" s="279"/>
      <c r="B287" s="280"/>
      <c r="C287" s="280"/>
      <c r="D287" s="280"/>
      <c r="E287" s="281"/>
      <c r="F287" s="281"/>
      <c r="G287" s="280"/>
      <c r="H287" s="282"/>
      <c r="I287" s="283"/>
      <c r="J287" s="280"/>
      <c r="K287" s="103"/>
      <c r="L287" s="146"/>
      <c r="M287" s="103"/>
      <c r="N287" s="103"/>
      <c r="O287" s="103">
        <f t="shared" si="3"/>
        <v>0</v>
      </c>
      <c r="P287" s="104">
        <f t="shared" si="4"/>
        <v>0</v>
      </c>
      <c r="Q287" s="147"/>
      <c r="R287" s="103"/>
      <c r="S287" s="103">
        <f t="shared" si="6"/>
        <v>0</v>
      </c>
      <c r="U287" s="107" t="str">
        <f t="shared" si="7"/>
        <v>0</v>
      </c>
    </row>
    <row r="288" ht="15.75" customHeight="1">
      <c r="A288" s="279"/>
      <c r="B288" s="280"/>
      <c r="C288" s="280"/>
      <c r="D288" s="280"/>
      <c r="E288" s="281"/>
      <c r="F288" s="281"/>
      <c r="G288" s="280"/>
      <c r="H288" s="282"/>
      <c r="I288" s="283"/>
      <c r="J288" s="280"/>
      <c r="K288" s="103"/>
      <c r="L288" s="146"/>
      <c r="M288" s="103"/>
      <c r="N288" s="103"/>
      <c r="O288" s="103">
        <f t="shared" si="3"/>
        <v>0</v>
      </c>
      <c r="P288" s="104">
        <f t="shared" si="4"/>
        <v>0</v>
      </c>
      <c r="Q288" s="147"/>
      <c r="R288" s="103"/>
      <c r="S288" s="103">
        <f t="shared" si="6"/>
        <v>0</v>
      </c>
      <c r="U288" s="107" t="str">
        <f t="shared" si="7"/>
        <v>0</v>
      </c>
    </row>
    <row r="289" ht="15.75" customHeight="1">
      <c r="A289" s="279"/>
      <c r="B289" s="280"/>
      <c r="C289" s="280"/>
      <c r="D289" s="280"/>
      <c r="E289" s="281"/>
      <c r="F289" s="281"/>
      <c r="G289" s="280"/>
      <c r="H289" s="282"/>
      <c r="I289" s="283"/>
      <c r="J289" s="280"/>
      <c r="K289" s="103"/>
      <c r="L289" s="146"/>
      <c r="M289" s="103"/>
      <c r="N289" s="103"/>
      <c r="O289" s="103">
        <f t="shared" si="3"/>
        <v>0</v>
      </c>
      <c r="P289" s="104">
        <f t="shared" si="4"/>
        <v>0</v>
      </c>
      <c r="Q289" s="147"/>
      <c r="R289" s="103"/>
      <c r="S289" s="103">
        <f t="shared" si="6"/>
        <v>0</v>
      </c>
      <c r="U289" s="107" t="str">
        <f t="shared" si="7"/>
        <v>0</v>
      </c>
    </row>
    <row r="290" ht="15.75" customHeight="1">
      <c r="A290" s="279"/>
      <c r="B290" s="280"/>
      <c r="C290" s="280"/>
      <c r="D290" s="280"/>
      <c r="E290" s="281"/>
      <c r="F290" s="281"/>
      <c r="G290" s="280"/>
      <c r="H290" s="282"/>
      <c r="I290" s="283"/>
      <c r="J290" s="280"/>
      <c r="K290" s="103"/>
      <c r="L290" s="146"/>
      <c r="M290" s="103"/>
      <c r="N290" s="103"/>
      <c r="O290" s="103">
        <f t="shared" si="3"/>
        <v>0</v>
      </c>
      <c r="P290" s="104">
        <f t="shared" si="4"/>
        <v>0</v>
      </c>
      <c r="Q290" s="147"/>
      <c r="R290" s="103"/>
      <c r="S290" s="103">
        <f t="shared" si="6"/>
        <v>0</v>
      </c>
      <c r="U290" s="107" t="str">
        <f t="shared" si="7"/>
        <v>0</v>
      </c>
    </row>
    <row r="291" ht="15.75" customHeight="1">
      <c r="A291" s="279"/>
      <c r="B291" s="280"/>
      <c r="C291" s="280"/>
      <c r="D291" s="280"/>
      <c r="E291" s="281"/>
      <c r="F291" s="281"/>
      <c r="G291" s="280"/>
      <c r="H291" s="282"/>
      <c r="I291" s="283"/>
      <c r="J291" s="280"/>
      <c r="K291" s="103"/>
      <c r="L291" s="146"/>
      <c r="M291" s="103"/>
      <c r="N291" s="103"/>
      <c r="O291" s="103">
        <f t="shared" si="3"/>
        <v>0</v>
      </c>
      <c r="P291" s="104">
        <f t="shared" si="4"/>
        <v>0</v>
      </c>
      <c r="Q291" s="147"/>
      <c r="R291" s="103"/>
      <c r="S291" s="103">
        <f t="shared" si="6"/>
        <v>0</v>
      </c>
      <c r="U291" s="107" t="str">
        <f t="shared" si="7"/>
        <v>0</v>
      </c>
    </row>
    <row r="292" ht="15.75" customHeight="1">
      <c r="A292" s="279"/>
      <c r="B292" s="280"/>
      <c r="C292" s="280"/>
      <c r="D292" s="280"/>
      <c r="E292" s="281"/>
      <c r="F292" s="281"/>
      <c r="G292" s="280"/>
      <c r="H292" s="282"/>
      <c r="I292" s="283"/>
      <c r="J292" s="280"/>
      <c r="K292" s="103"/>
      <c r="L292" s="146"/>
      <c r="M292" s="103"/>
      <c r="N292" s="103"/>
      <c r="O292" s="103">
        <f t="shared" si="3"/>
        <v>0</v>
      </c>
      <c r="P292" s="104">
        <f t="shared" si="4"/>
        <v>0</v>
      </c>
      <c r="Q292" s="147"/>
      <c r="R292" s="103"/>
      <c r="S292" s="103">
        <f t="shared" si="6"/>
        <v>0</v>
      </c>
      <c r="U292" s="107" t="str">
        <f t="shared" si="7"/>
        <v>0</v>
      </c>
    </row>
    <row r="293" ht="15.75" customHeight="1">
      <c r="A293" s="279"/>
      <c r="B293" s="280"/>
      <c r="C293" s="280"/>
      <c r="D293" s="280"/>
      <c r="E293" s="281"/>
      <c r="F293" s="281"/>
      <c r="G293" s="280"/>
      <c r="H293" s="282"/>
      <c r="I293" s="283"/>
      <c r="J293" s="280"/>
      <c r="K293" s="103"/>
      <c r="L293" s="146"/>
      <c r="M293" s="103"/>
      <c r="N293" s="103"/>
      <c r="O293" s="103">
        <f t="shared" si="3"/>
        <v>0</v>
      </c>
      <c r="P293" s="104">
        <f t="shared" si="4"/>
        <v>0</v>
      </c>
      <c r="Q293" s="147"/>
      <c r="R293" s="103"/>
      <c r="S293" s="103">
        <f t="shared" si="6"/>
        <v>0</v>
      </c>
      <c r="U293" s="107" t="str">
        <f t="shared" si="7"/>
        <v>0</v>
      </c>
    </row>
    <row r="294" ht="15.75" customHeight="1">
      <c r="A294" s="279"/>
      <c r="B294" s="280"/>
      <c r="C294" s="280"/>
      <c r="D294" s="280"/>
      <c r="E294" s="281"/>
      <c r="F294" s="281"/>
      <c r="G294" s="280"/>
      <c r="H294" s="282"/>
      <c r="I294" s="283"/>
      <c r="J294" s="280"/>
      <c r="K294" s="103"/>
      <c r="L294" s="146"/>
      <c r="M294" s="103"/>
      <c r="N294" s="103"/>
      <c r="O294" s="103">
        <f t="shared" si="3"/>
        <v>0</v>
      </c>
      <c r="P294" s="104">
        <f t="shared" si="4"/>
        <v>0</v>
      </c>
      <c r="Q294" s="147"/>
      <c r="R294" s="103"/>
      <c r="S294" s="103">
        <f t="shared" si="6"/>
        <v>0</v>
      </c>
      <c r="U294" s="107" t="str">
        <f t="shared" si="7"/>
        <v>0</v>
      </c>
    </row>
    <row r="295" ht="15.75" customHeight="1">
      <c r="A295" s="279"/>
      <c r="B295" s="280"/>
      <c r="C295" s="280"/>
      <c r="D295" s="280"/>
      <c r="E295" s="281"/>
      <c r="F295" s="281"/>
      <c r="G295" s="280"/>
      <c r="H295" s="282"/>
      <c r="I295" s="283"/>
      <c r="J295" s="280"/>
      <c r="K295" s="103"/>
      <c r="L295" s="146"/>
      <c r="M295" s="103"/>
      <c r="N295" s="103"/>
      <c r="O295" s="103">
        <f t="shared" si="3"/>
        <v>0</v>
      </c>
      <c r="P295" s="104">
        <f t="shared" si="4"/>
        <v>0</v>
      </c>
      <c r="Q295" s="147"/>
      <c r="R295" s="103"/>
      <c r="S295" s="103">
        <f t="shared" si="6"/>
        <v>0</v>
      </c>
      <c r="U295" s="107" t="str">
        <f t="shared" si="7"/>
        <v>0</v>
      </c>
    </row>
    <row r="296" ht="15.75" customHeight="1">
      <c r="A296" s="279"/>
      <c r="B296" s="280"/>
      <c r="C296" s="280"/>
      <c r="D296" s="280"/>
      <c r="E296" s="281"/>
      <c r="F296" s="281"/>
      <c r="G296" s="280"/>
      <c r="H296" s="282"/>
      <c r="I296" s="283"/>
      <c r="J296" s="280"/>
      <c r="K296" s="103"/>
      <c r="L296" s="146"/>
      <c r="M296" s="103"/>
      <c r="N296" s="103"/>
      <c r="O296" s="103">
        <f t="shared" si="3"/>
        <v>0</v>
      </c>
      <c r="P296" s="104">
        <f t="shared" si="4"/>
        <v>0</v>
      </c>
      <c r="Q296" s="147"/>
      <c r="R296" s="103"/>
      <c r="S296" s="103">
        <f t="shared" si="6"/>
        <v>0</v>
      </c>
      <c r="U296" s="107" t="str">
        <f t="shared" si="7"/>
        <v>0</v>
      </c>
    </row>
    <row r="297" ht="15.75" customHeight="1">
      <c r="A297" s="279"/>
      <c r="B297" s="280"/>
      <c r="C297" s="280"/>
      <c r="D297" s="280"/>
      <c r="E297" s="281"/>
      <c r="F297" s="281"/>
      <c r="G297" s="280"/>
      <c r="H297" s="282"/>
      <c r="I297" s="283"/>
      <c r="J297" s="280"/>
      <c r="K297" s="103"/>
      <c r="L297" s="146"/>
      <c r="M297" s="103"/>
      <c r="N297" s="103"/>
      <c r="O297" s="103">
        <f t="shared" si="3"/>
        <v>0</v>
      </c>
      <c r="P297" s="104">
        <f t="shared" si="4"/>
        <v>0</v>
      </c>
      <c r="Q297" s="147"/>
      <c r="R297" s="103"/>
      <c r="S297" s="103">
        <f t="shared" si="6"/>
        <v>0</v>
      </c>
      <c r="U297" s="107" t="str">
        <f t="shared" si="7"/>
        <v>0</v>
      </c>
    </row>
    <row r="298" ht="15.75" customHeight="1">
      <c r="A298" s="279"/>
      <c r="B298" s="280"/>
      <c r="C298" s="280"/>
      <c r="D298" s="280"/>
      <c r="E298" s="281"/>
      <c r="F298" s="281"/>
      <c r="G298" s="280"/>
      <c r="H298" s="282"/>
      <c r="I298" s="283"/>
      <c r="J298" s="280"/>
      <c r="K298" s="103"/>
      <c r="L298" s="146"/>
      <c r="M298" s="103"/>
      <c r="N298" s="103"/>
      <c r="O298" s="103">
        <f t="shared" si="3"/>
        <v>0</v>
      </c>
      <c r="P298" s="104">
        <f t="shared" si="4"/>
        <v>0</v>
      </c>
      <c r="Q298" s="147"/>
      <c r="R298" s="103"/>
      <c r="S298" s="103">
        <f t="shared" si="6"/>
        <v>0</v>
      </c>
      <c r="U298" s="107" t="str">
        <f t="shared" si="7"/>
        <v>0</v>
      </c>
    </row>
    <row r="299" ht="15.75" customHeight="1">
      <c r="A299" s="279"/>
      <c r="B299" s="280"/>
      <c r="C299" s="280"/>
      <c r="D299" s="280"/>
      <c r="E299" s="281"/>
      <c r="F299" s="281"/>
      <c r="G299" s="280"/>
      <c r="H299" s="282"/>
      <c r="I299" s="283"/>
      <c r="J299" s="280"/>
      <c r="K299" s="103"/>
      <c r="L299" s="146"/>
      <c r="M299" s="103"/>
      <c r="N299" s="103"/>
      <c r="O299" s="103">
        <f t="shared" si="3"/>
        <v>0</v>
      </c>
      <c r="P299" s="104">
        <f t="shared" si="4"/>
        <v>0</v>
      </c>
      <c r="Q299" s="147"/>
      <c r="R299" s="103"/>
      <c r="S299" s="103">
        <f t="shared" si="6"/>
        <v>0</v>
      </c>
      <c r="U299" s="107" t="str">
        <f t="shared" si="7"/>
        <v>0</v>
      </c>
    </row>
    <row r="300" ht="15.75" customHeight="1">
      <c r="A300" s="279"/>
      <c r="B300" s="280"/>
      <c r="C300" s="280"/>
      <c r="D300" s="280"/>
      <c r="E300" s="281"/>
      <c r="F300" s="281"/>
      <c r="G300" s="280"/>
      <c r="H300" s="282"/>
      <c r="I300" s="283"/>
      <c r="J300" s="280"/>
      <c r="K300" s="103"/>
      <c r="L300" s="146"/>
      <c r="M300" s="103"/>
      <c r="N300" s="103"/>
      <c r="O300" s="103">
        <f t="shared" si="3"/>
        <v>0</v>
      </c>
      <c r="P300" s="104">
        <f t="shared" si="4"/>
        <v>0</v>
      </c>
      <c r="Q300" s="147"/>
      <c r="R300" s="103"/>
      <c r="S300" s="103">
        <f t="shared" si="6"/>
        <v>0</v>
      </c>
      <c r="U300" s="107" t="str">
        <f t="shared" si="7"/>
        <v>0</v>
      </c>
    </row>
    <row r="301" ht="15.75" customHeight="1">
      <c r="A301" s="279"/>
      <c r="B301" s="280"/>
      <c r="C301" s="280"/>
      <c r="D301" s="280"/>
      <c r="E301" s="281"/>
      <c r="F301" s="281"/>
      <c r="G301" s="280"/>
      <c r="H301" s="282"/>
      <c r="I301" s="283"/>
      <c r="J301" s="280"/>
      <c r="K301" s="103"/>
      <c r="L301" s="146"/>
      <c r="M301" s="103"/>
      <c r="N301" s="103"/>
      <c r="O301" s="103">
        <f t="shared" si="3"/>
        <v>0</v>
      </c>
      <c r="P301" s="104">
        <f t="shared" si="4"/>
        <v>0</v>
      </c>
      <c r="Q301" s="147"/>
      <c r="R301" s="103"/>
      <c r="S301" s="103">
        <f t="shared" si="6"/>
        <v>0</v>
      </c>
      <c r="U301" s="107" t="str">
        <f t="shared" si="7"/>
        <v>0</v>
      </c>
    </row>
    <row r="302" ht="15.75" customHeight="1">
      <c r="A302" s="279"/>
      <c r="B302" s="280"/>
      <c r="C302" s="280"/>
      <c r="D302" s="280"/>
      <c r="E302" s="281"/>
      <c r="F302" s="281"/>
      <c r="G302" s="280"/>
      <c r="H302" s="282"/>
      <c r="I302" s="283"/>
      <c r="J302" s="280"/>
      <c r="K302" s="103"/>
      <c r="L302" s="146"/>
      <c r="M302" s="103"/>
      <c r="N302" s="103"/>
      <c r="O302" s="103">
        <f t="shared" si="3"/>
        <v>0</v>
      </c>
      <c r="P302" s="104">
        <f t="shared" si="4"/>
        <v>0</v>
      </c>
      <c r="Q302" s="147"/>
      <c r="R302" s="103"/>
      <c r="S302" s="103">
        <f t="shared" si="6"/>
        <v>0</v>
      </c>
      <c r="U302" s="107" t="str">
        <f t="shared" si="7"/>
        <v>0</v>
      </c>
    </row>
    <row r="303" ht="15.75" customHeight="1">
      <c r="A303" s="279"/>
      <c r="B303" s="280"/>
      <c r="C303" s="280"/>
      <c r="D303" s="280"/>
      <c r="E303" s="281"/>
      <c r="F303" s="281"/>
      <c r="G303" s="280"/>
      <c r="H303" s="282"/>
      <c r="I303" s="283"/>
      <c r="J303" s="280"/>
      <c r="K303" s="103"/>
      <c r="L303" s="146"/>
      <c r="M303" s="103"/>
      <c r="N303" s="103"/>
      <c r="O303" s="103">
        <f t="shared" si="3"/>
        <v>0</v>
      </c>
      <c r="P303" s="104">
        <f t="shared" si="4"/>
        <v>0</v>
      </c>
      <c r="Q303" s="147"/>
      <c r="R303" s="103"/>
      <c r="S303" s="103">
        <f t="shared" si="6"/>
        <v>0</v>
      </c>
      <c r="U303" s="107" t="str">
        <f t="shared" si="7"/>
        <v>0</v>
      </c>
    </row>
    <row r="304" ht="15.75" customHeight="1">
      <c r="A304" s="279"/>
      <c r="B304" s="280"/>
      <c r="C304" s="280"/>
      <c r="D304" s="280"/>
      <c r="E304" s="281"/>
      <c r="F304" s="281"/>
      <c r="G304" s="280"/>
      <c r="H304" s="282"/>
      <c r="I304" s="283"/>
      <c r="J304" s="280"/>
      <c r="K304" s="103"/>
      <c r="L304" s="146"/>
      <c r="M304" s="103"/>
      <c r="N304" s="103"/>
      <c r="O304" s="103">
        <f t="shared" si="3"/>
        <v>0</v>
      </c>
      <c r="P304" s="104">
        <f t="shared" si="4"/>
        <v>0</v>
      </c>
      <c r="Q304" s="147"/>
      <c r="R304" s="103"/>
      <c r="S304" s="103">
        <f t="shared" si="6"/>
        <v>0</v>
      </c>
      <c r="U304" s="107" t="str">
        <f t="shared" si="7"/>
        <v>0</v>
      </c>
    </row>
    <row r="305" ht="15.75" customHeight="1">
      <c r="A305" s="279"/>
      <c r="B305" s="280"/>
      <c r="C305" s="280"/>
      <c r="D305" s="280"/>
      <c r="E305" s="281"/>
      <c r="F305" s="281"/>
      <c r="G305" s="280"/>
      <c r="H305" s="282"/>
      <c r="I305" s="283"/>
      <c r="J305" s="280"/>
      <c r="K305" s="103"/>
      <c r="L305" s="146"/>
      <c r="M305" s="103"/>
      <c r="N305" s="103"/>
      <c r="O305" s="103">
        <f t="shared" si="3"/>
        <v>0</v>
      </c>
      <c r="P305" s="104">
        <f t="shared" si="4"/>
        <v>0</v>
      </c>
      <c r="Q305" s="147"/>
      <c r="R305" s="103"/>
      <c r="S305" s="103">
        <f t="shared" si="6"/>
        <v>0</v>
      </c>
      <c r="U305" s="107" t="str">
        <f t="shared" si="7"/>
        <v>0</v>
      </c>
    </row>
    <row r="306" ht="15.75" customHeight="1">
      <c r="A306" s="279"/>
      <c r="B306" s="280"/>
      <c r="C306" s="280"/>
      <c r="D306" s="280"/>
      <c r="E306" s="281"/>
      <c r="F306" s="281"/>
      <c r="G306" s="280"/>
      <c r="H306" s="282"/>
      <c r="I306" s="283"/>
      <c r="J306" s="280"/>
      <c r="K306" s="103"/>
      <c r="L306" s="146"/>
      <c r="M306" s="103"/>
      <c r="N306" s="103"/>
      <c r="O306" s="103">
        <f t="shared" si="3"/>
        <v>0</v>
      </c>
      <c r="P306" s="104">
        <f t="shared" si="4"/>
        <v>0</v>
      </c>
      <c r="Q306" s="147"/>
      <c r="R306" s="103"/>
      <c r="S306" s="103">
        <f t="shared" si="6"/>
        <v>0</v>
      </c>
      <c r="U306" s="107" t="str">
        <f t="shared" si="7"/>
        <v>0</v>
      </c>
    </row>
    <row r="307" ht="15.75" customHeight="1">
      <c r="A307" s="279"/>
      <c r="B307" s="280"/>
      <c r="C307" s="280"/>
      <c r="D307" s="280"/>
      <c r="E307" s="281"/>
      <c r="F307" s="281"/>
      <c r="G307" s="280"/>
      <c r="H307" s="282"/>
      <c r="I307" s="283"/>
      <c r="J307" s="280"/>
      <c r="K307" s="103"/>
      <c r="L307" s="146"/>
      <c r="M307" s="103"/>
      <c r="N307" s="103"/>
      <c r="O307" s="103">
        <f t="shared" si="3"/>
        <v>0</v>
      </c>
      <c r="P307" s="104">
        <f t="shared" si="4"/>
        <v>0</v>
      </c>
      <c r="Q307" s="147"/>
      <c r="R307" s="103"/>
      <c r="S307" s="103">
        <f t="shared" si="6"/>
        <v>0</v>
      </c>
      <c r="U307" s="107" t="str">
        <f t="shared" si="7"/>
        <v>0</v>
      </c>
    </row>
    <row r="308" ht="15.75" customHeight="1">
      <c r="A308" s="279"/>
      <c r="B308" s="280"/>
      <c r="C308" s="280"/>
      <c r="D308" s="280"/>
      <c r="E308" s="281"/>
      <c r="F308" s="281"/>
      <c r="G308" s="280"/>
      <c r="H308" s="282"/>
      <c r="I308" s="283"/>
      <c r="J308" s="280"/>
      <c r="K308" s="103"/>
      <c r="L308" s="146"/>
      <c r="M308" s="103"/>
      <c r="N308" s="103"/>
      <c r="O308" s="103">
        <f t="shared" si="3"/>
        <v>0</v>
      </c>
      <c r="P308" s="104">
        <f t="shared" si="4"/>
        <v>0</v>
      </c>
      <c r="Q308" s="147"/>
      <c r="R308" s="103"/>
      <c r="S308" s="103">
        <f t="shared" si="6"/>
        <v>0</v>
      </c>
      <c r="U308" s="107" t="str">
        <f t="shared" si="7"/>
        <v>0</v>
      </c>
    </row>
    <row r="309" ht="15.75" customHeight="1">
      <c r="A309" s="279"/>
      <c r="B309" s="280"/>
      <c r="C309" s="280"/>
      <c r="D309" s="280"/>
      <c r="E309" s="281"/>
      <c r="F309" s="281"/>
      <c r="G309" s="280"/>
      <c r="H309" s="282"/>
      <c r="I309" s="283"/>
      <c r="J309" s="280"/>
      <c r="K309" s="103"/>
      <c r="L309" s="146"/>
      <c r="M309" s="103"/>
      <c r="N309" s="103"/>
      <c r="O309" s="103">
        <f t="shared" si="3"/>
        <v>0</v>
      </c>
      <c r="P309" s="104">
        <f t="shared" si="4"/>
        <v>0</v>
      </c>
      <c r="Q309" s="147"/>
      <c r="R309" s="103"/>
      <c r="S309" s="103">
        <f t="shared" si="6"/>
        <v>0</v>
      </c>
      <c r="U309" s="107" t="str">
        <f t="shared" si="7"/>
        <v>0</v>
      </c>
    </row>
    <row r="310" ht="15.75" customHeight="1">
      <c r="A310" s="279"/>
      <c r="B310" s="280"/>
      <c r="C310" s="280"/>
      <c r="D310" s="280"/>
      <c r="E310" s="281"/>
      <c r="F310" s="281"/>
      <c r="G310" s="280"/>
      <c r="H310" s="282"/>
      <c r="I310" s="283"/>
      <c r="J310" s="280"/>
      <c r="K310" s="103"/>
      <c r="L310" s="146"/>
      <c r="M310" s="103"/>
      <c r="N310" s="103"/>
      <c r="O310" s="103">
        <f t="shared" si="3"/>
        <v>0</v>
      </c>
      <c r="P310" s="104">
        <f t="shared" si="4"/>
        <v>0</v>
      </c>
      <c r="Q310" s="147"/>
      <c r="R310" s="103"/>
      <c r="S310" s="103">
        <f t="shared" si="6"/>
        <v>0</v>
      </c>
      <c r="U310" s="107" t="str">
        <f t="shared" si="7"/>
        <v>0</v>
      </c>
    </row>
    <row r="311" ht="15.75" customHeight="1">
      <c r="A311" s="279"/>
      <c r="B311" s="280"/>
      <c r="C311" s="280"/>
      <c r="D311" s="280"/>
      <c r="E311" s="281"/>
      <c r="F311" s="281"/>
      <c r="G311" s="280"/>
      <c r="H311" s="282"/>
      <c r="I311" s="283"/>
      <c r="J311" s="280"/>
      <c r="K311" s="103"/>
      <c r="L311" s="146"/>
      <c r="M311" s="103"/>
      <c r="N311" s="103"/>
      <c r="O311" s="103">
        <f t="shared" si="3"/>
        <v>0</v>
      </c>
      <c r="P311" s="104">
        <f t="shared" si="4"/>
        <v>0</v>
      </c>
      <c r="Q311" s="147"/>
      <c r="R311" s="103"/>
      <c r="S311" s="103">
        <f t="shared" si="6"/>
        <v>0</v>
      </c>
      <c r="U311" s="107" t="str">
        <f t="shared" si="7"/>
        <v>0</v>
      </c>
    </row>
    <row r="312" ht="15.75" customHeight="1">
      <c r="A312" s="279"/>
      <c r="B312" s="280"/>
      <c r="C312" s="280"/>
      <c r="D312" s="280"/>
      <c r="E312" s="281"/>
      <c r="F312" s="281"/>
      <c r="G312" s="280"/>
      <c r="H312" s="282"/>
      <c r="I312" s="283"/>
      <c r="J312" s="280"/>
      <c r="K312" s="103"/>
      <c r="L312" s="146"/>
      <c r="M312" s="103"/>
      <c r="N312" s="103"/>
      <c r="O312" s="103">
        <f t="shared" si="3"/>
        <v>0</v>
      </c>
      <c r="P312" s="104">
        <f t="shared" si="4"/>
        <v>0</v>
      </c>
      <c r="Q312" s="147"/>
      <c r="R312" s="103"/>
      <c r="S312" s="103">
        <f t="shared" si="6"/>
        <v>0</v>
      </c>
      <c r="U312" s="107" t="str">
        <f t="shared" si="7"/>
        <v>0</v>
      </c>
    </row>
    <row r="313" ht="15.75" customHeight="1">
      <c r="A313" s="279"/>
      <c r="B313" s="280"/>
      <c r="C313" s="280"/>
      <c r="D313" s="280"/>
      <c r="E313" s="281"/>
      <c r="F313" s="281"/>
      <c r="G313" s="280"/>
      <c r="H313" s="282"/>
      <c r="I313" s="283"/>
      <c r="J313" s="280"/>
      <c r="K313" s="103"/>
      <c r="L313" s="146"/>
      <c r="M313" s="103"/>
      <c r="N313" s="103"/>
      <c r="O313" s="103">
        <f t="shared" si="3"/>
        <v>0</v>
      </c>
      <c r="P313" s="104">
        <f t="shared" si="4"/>
        <v>0</v>
      </c>
      <c r="Q313" s="147"/>
      <c r="R313" s="103"/>
      <c r="S313" s="103">
        <f t="shared" si="6"/>
        <v>0</v>
      </c>
      <c r="U313" s="107" t="str">
        <f t="shared" si="7"/>
        <v>0</v>
      </c>
    </row>
    <row r="314" ht="15.75" customHeight="1">
      <c r="A314" s="279"/>
      <c r="B314" s="280"/>
      <c r="C314" s="280"/>
      <c r="D314" s="280"/>
      <c r="E314" s="281"/>
      <c r="F314" s="281"/>
      <c r="G314" s="280"/>
      <c r="H314" s="282"/>
      <c r="I314" s="283"/>
      <c r="J314" s="280"/>
      <c r="K314" s="103"/>
      <c r="L314" s="146"/>
      <c r="M314" s="103"/>
      <c r="N314" s="103"/>
      <c r="O314" s="103">
        <f t="shared" si="3"/>
        <v>0</v>
      </c>
      <c r="P314" s="104">
        <f t="shared" si="4"/>
        <v>0</v>
      </c>
      <c r="Q314" s="147"/>
      <c r="R314" s="103"/>
      <c r="S314" s="103">
        <f t="shared" si="6"/>
        <v>0</v>
      </c>
      <c r="U314" s="107" t="str">
        <f t="shared" si="7"/>
        <v>0</v>
      </c>
    </row>
    <row r="315" ht="15.75" customHeight="1">
      <c r="A315" s="279"/>
      <c r="B315" s="280"/>
      <c r="C315" s="280"/>
      <c r="D315" s="280"/>
      <c r="E315" s="281"/>
      <c r="F315" s="281"/>
      <c r="G315" s="280"/>
      <c r="H315" s="282"/>
      <c r="I315" s="283"/>
      <c r="J315" s="280"/>
      <c r="K315" s="103"/>
      <c r="L315" s="146"/>
      <c r="M315" s="103"/>
      <c r="N315" s="103"/>
      <c r="O315" s="103">
        <f t="shared" si="3"/>
        <v>0</v>
      </c>
      <c r="P315" s="104">
        <f t="shared" si="4"/>
        <v>0</v>
      </c>
      <c r="Q315" s="147"/>
      <c r="R315" s="103"/>
      <c r="S315" s="103">
        <f t="shared" si="6"/>
        <v>0</v>
      </c>
      <c r="U315" s="107" t="str">
        <f t="shared" si="7"/>
        <v>0</v>
      </c>
    </row>
    <row r="316" ht="15.75" customHeight="1">
      <c r="A316" s="279"/>
      <c r="B316" s="280"/>
      <c r="C316" s="280"/>
      <c r="D316" s="280"/>
      <c r="E316" s="281"/>
      <c r="F316" s="281"/>
      <c r="G316" s="280"/>
      <c r="H316" s="282"/>
      <c r="I316" s="283"/>
      <c r="J316" s="280"/>
      <c r="K316" s="103"/>
      <c r="L316" s="146"/>
      <c r="M316" s="103"/>
      <c r="N316" s="103"/>
      <c r="O316" s="103">
        <f t="shared" si="3"/>
        <v>0</v>
      </c>
      <c r="P316" s="104">
        <f t="shared" si="4"/>
        <v>0</v>
      </c>
      <c r="Q316" s="147"/>
      <c r="R316" s="103"/>
      <c r="S316" s="103">
        <f t="shared" si="6"/>
        <v>0</v>
      </c>
      <c r="U316" s="107" t="str">
        <f t="shared" si="7"/>
        <v>0</v>
      </c>
    </row>
    <row r="317" ht="15.75" customHeight="1">
      <c r="A317" s="279"/>
      <c r="B317" s="280"/>
      <c r="C317" s="280"/>
      <c r="D317" s="280"/>
      <c r="E317" s="281"/>
      <c r="F317" s="281"/>
      <c r="G317" s="280"/>
      <c r="H317" s="282"/>
      <c r="I317" s="283"/>
      <c r="J317" s="280"/>
      <c r="K317" s="103"/>
      <c r="L317" s="146"/>
      <c r="M317" s="103"/>
      <c r="N317" s="103"/>
      <c r="O317" s="103">
        <f t="shared" si="3"/>
        <v>0</v>
      </c>
      <c r="P317" s="104">
        <f t="shared" si="4"/>
        <v>0</v>
      </c>
      <c r="Q317" s="147"/>
      <c r="R317" s="103"/>
      <c r="S317" s="103">
        <f t="shared" si="6"/>
        <v>0</v>
      </c>
      <c r="U317" s="107" t="str">
        <f t="shared" si="7"/>
        <v>0</v>
      </c>
    </row>
    <row r="318" ht="15.75" customHeight="1">
      <c r="A318" s="279"/>
      <c r="B318" s="280"/>
      <c r="C318" s="280"/>
      <c r="D318" s="280"/>
      <c r="E318" s="281"/>
      <c r="F318" s="281"/>
      <c r="G318" s="280"/>
      <c r="H318" s="282"/>
      <c r="I318" s="283"/>
      <c r="J318" s="280"/>
      <c r="K318" s="103"/>
      <c r="L318" s="146"/>
      <c r="M318" s="103"/>
      <c r="N318" s="103"/>
      <c r="O318" s="103">
        <f t="shared" si="3"/>
        <v>0</v>
      </c>
      <c r="P318" s="104">
        <f t="shared" si="4"/>
        <v>0</v>
      </c>
      <c r="Q318" s="147"/>
      <c r="R318" s="103"/>
      <c r="S318" s="103">
        <f t="shared" si="6"/>
        <v>0</v>
      </c>
      <c r="U318" s="107" t="str">
        <f t="shared" si="7"/>
        <v>0</v>
      </c>
    </row>
    <row r="319" ht="15.75" customHeight="1">
      <c r="A319" s="279"/>
      <c r="B319" s="280"/>
      <c r="C319" s="280"/>
      <c r="D319" s="280"/>
      <c r="E319" s="281"/>
      <c r="F319" s="281"/>
      <c r="G319" s="280"/>
      <c r="H319" s="282"/>
      <c r="I319" s="283"/>
      <c r="J319" s="280"/>
      <c r="K319" s="103"/>
      <c r="L319" s="146"/>
      <c r="M319" s="103"/>
      <c r="N319" s="103"/>
      <c r="O319" s="103">
        <f t="shared" si="3"/>
        <v>0</v>
      </c>
      <c r="P319" s="104">
        <f t="shared" si="4"/>
        <v>0</v>
      </c>
      <c r="Q319" s="147"/>
      <c r="R319" s="103"/>
      <c r="S319" s="103">
        <f t="shared" si="6"/>
        <v>0</v>
      </c>
      <c r="U319" s="107" t="str">
        <f t="shared" si="7"/>
        <v>0</v>
      </c>
    </row>
    <row r="320" ht="15.75" customHeight="1">
      <c r="A320" s="279"/>
      <c r="B320" s="280"/>
      <c r="C320" s="280"/>
      <c r="D320" s="280"/>
      <c r="E320" s="281"/>
      <c r="F320" s="281"/>
      <c r="G320" s="280"/>
      <c r="H320" s="282"/>
      <c r="I320" s="283"/>
      <c r="J320" s="280"/>
      <c r="K320" s="103"/>
      <c r="L320" s="146"/>
      <c r="M320" s="103"/>
      <c r="N320" s="103"/>
      <c r="O320" s="103">
        <f t="shared" si="3"/>
        <v>0</v>
      </c>
      <c r="P320" s="104">
        <f t="shared" si="4"/>
        <v>0</v>
      </c>
      <c r="Q320" s="147"/>
      <c r="R320" s="103"/>
      <c r="S320" s="103">
        <f t="shared" si="6"/>
        <v>0</v>
      </c>
      <c r="U320" s="107" t="str">
        <f t="shared" si="7"/>
        <v>0</v>
      </c>
    </row>
    <row r="321" ht="15.75" customHeight="1">
      <c r="A321" s="279"/>
      <c r="B321" s="280"/>
      <c r="C321" s="280"/>
      <c r="D321" s="280"/>
      <c r="E321" s="281"/>
      <c r="F321" s="281"/>
      <c r="G321" s="280"/>
      <c r="H321" s="282"/>
      <c r="I321" s="283"/>
      <c r="J321" s="280"/>
      <c r="K321" s="103"/>
      <c r="L321" s="146"/>
      <c r="M321" s="103"/>
      <c r="N321" s="103"/>
      <c r="O321" s="103">
        <f t="shared" si="3"/>
        <v>0</v>
      </c>
      <c r="P321" s="104">
        <f t="shared" si="4"/>
        <v>0</v>
      </c>
      <c r="Q321" s="147"/>
      <c r="R321" s="103"/>
      <c r="S321" s="103">
        <f t="shared" si="6"/>
        <v>0</v>
      </c>
      <c r="U321" s="107" t="str">
        <f t="shared" si="7"/>
        <v>0</v>
      </c>
    </row>
    <row r="322" ht="15.75" customHeight="1">
      <c r="A322" s="279"/>
      <c r="B322" s="280"/>
      <c r="C322" s="280"/>
      <c r="D322" s="280"/>
      <c r="E322" s="281"/>
      <c r="F322" s="281"/>
      <c r="G322" s="280"/>
      <c r="H322" s="282"/>
      <c r="I322" s="283"/>
      <c r="J322" s="280"/>
      <c r="K322" s="103"/>
      <c r="L322" s="146"/>
      <c r="M322" s="103"/>
      <c r="N322" s="103"/>
      <c r="O322" s="103">
        <f t="shared" si="3"/>
        <v>0</v>
      </c>
      <c r="P322" s="104">
        <f t="shared" si="4"/>
        <v>0</v>
      </c>
      <c r="Q322" s="147"/>
      <c r="R322" s="103"/>
      <c r="S322" s="103">
        <f t="shared" si="6"/>
        <v>0</v>
      </c>
      <c r="U322" s="107" t="str">
        <f t="shared" si="7"/>
        <v>0</v>
      </c>
    </row>
    <row r="323" ht="15.75" customHeight="1">
      <c r="A323" s="279"/>
      <c r="B323" s="280"/>
      <c r="C323" s="280"/>
      <c r="D323" s="280"/>
      <c r="E323" s="281"/>
      <c r="F323" s="281"/>
      <c r="G323" s="280"/>
      <c r="H323" s="282"/>
      <c r="I323" s="283"/>
      <c r="J323" s="280"/>
      <c r="K323" s="103"/>
      <c r="L323" s="146"/>
      <c r="M323" s="103"/>
      <c r="N323" s="103"/>
      <c r="O323" s="103">
        <f t="shared" si="3"/>
        <v>0</v>
      </c>
      <c r="P323" s="104">
        <f t="shared" si="4"/>
        <v>0</v>
      </c>
      <c r="Q323" s="147"/>
      <c r="R323" s="103"/>
      <c r="S323" s="103">
        <f t="shared" si="6"/>
        <v>0</v>
      </c>
      <c r="U323" s="107" t="str">
        <f t="shared" si="7"/>
        <v>0</v>
      </c>
    </row>
    <row r="324" ht="15.75" customHeight="1">
      <c r="A324" s="279"/>
      <c r="B324" s="280"/>
      <c r="C324" s="280"/>
      <c r="D324" s="280"/>
      <c r="E324" s="281"/>
      <c r="F324" s="281"/>
      <c r="G324" s="280"/>
      <c r="H324" s="282"/>
      <c r="I324" s="283"/>
      <c r="J324" s="280"/>
      <c r="K324" s="103"/>
      <c r="L324" s="146"/>
      <c r="M324" s="103"/>
      <c r="N324" s="103"/>
      <c r="O324" s="103">
        <f t="shared" si="3"/>
        <v>0</v>
      </c>
      <c r="P324" s="104">
        <f t="shared" si="4"/>
        <v>0</v>
      </c>
      <c r="Q324" s="147"/>
      <c r="R324" s="103"/>
      <c r="S324" s="103">
        <f t="shared" si="6"/>
        <v>0</v>
      </c>
      <c r="U324" s="107" t="str">
        <f t="shared" si="7"/>
        <v>0</v>
      </c>
    </row>
    <row r="325" ht="15.75" customHeight="1">
      <c r="A325" s="279"/>
      <c r="B325" s="280"/>
      <c r="C325" s="280"/>
      <c r="D325" s="280"/>
      <c r="E325" s="281"/>
      <c r="F325" s="281"/>
      <c r="G325" s="280"/>
      <c r="H325" s="282"/>
      <c r="I325" s="283"/>
      <c r="J325" s="280"/>
      <c r="K325" s="103"/>
      <c r="L325" s="146"/>
      <c r="M325" s="103"/>
      <c r="N325" s="103"/>
      <c r="O325" s="103">
        <f t="shared" si="3"/>
        <v>0</v>
      </c>
      <c r="P325" s="104">
        <f t="shared" si="4"/>
        <v>0</v>
      </c>
      <c r="Q325" s="147"/>
      <c r="R325" s="103"/>
      <c r="S325" s="103">
        <f t="shared" si="6"/>
        <v>0</v>
      </c>
      <c r="U325" s="107" t="str">
        <f t="shared" si="7"/>
        <v>0</v>
      </c>
    </row>
    <row r="326" ht="15.75" customHeight="1">
      <c r="A326" s="279"/>
      <c r="B326" s="280"/>
      <c r="C326" s="280"/>
      <c r="D326" s="280"/>
      <c r="E326" s="281"/>
      <c r="F326" s="281"/>
      <c r="G326" s="280"/>
      <c r="H326" s="282"/>
      <c r="I326" s="283"/>
      <c r="J326" s="280"/>
      <c r="K326" s="103"/>
      <c r="L326" s="146"/>
      <c r="M326" s="103"/>
      <c r="N326" s="103"/>
      <c r="O326" s="103">
        <f t="shared" si="3"/>
        <v>0</v>
      </c>
      <c r="P326" s="104">
        <f t="shared" si="4"/>
        <v>0</v>
      </c>
      <c r="Q326" s="147"/>
      <c r="R326" s="103"/>
      <c r="S326" s="103">
        <f t="shared" si="6"/>
        <v>0</v>
      </c>
      <c r="U326" s="107" t="str">
        <f t="shared" si="7"/>
        <v>0</v>
      </c>
    </row>
    <row r="327" ht="15.75" customHeight="1">
      <c r="A327" s="279"/>
      <c r="B327" s="280"/>
      <c r="C327" s="280"/>
      <c r="D327" s="280"/>
      <c r="E327" s="281"/>
      <c r="F327" s="281"/>
      <c r="G327" s="280"/>
      <c r="H327" s="282"/>
      <c r="I327" s="283"/>
      <c r="J327" s="280"/>
      <c r="K327" s="103"/>
      <c r="L327" s="146"/>
      <c r="M327" s="103"/>
      <c r="N327" s="103"/>
      <c r="O327" s="103">
        <f t="shared" si="3"/>
        <v>0</v>
      </c>
      <c r="P327" s="104">
        <f t="shared" si="4"/>
        <v>0</v>
      </c>
      <c r="Q327" s="147"/>
      <c r="R327" s="103"/>
      <c r="S327" s="103">
        <f t="shared" si="6"/>
        <v>0</v>
      </c>
      <c r="U327" s="107" t="str">
        <f t="shared" si="7"/>
        <v>0</v>
      </c>
    </row>
    <row r="328" ht="15.75" customHeight="1">
      <c r="A328" s="279"/>
      <c r="B328" s="280"/>
      <c r="C328" s="280"/>
      <c r="D328" s="280"/>
      <c r="E328" s="281"/>
      <c r="F328" s="281"/>
      <c r="G328" s="280"/>
      <c r="H328" s="282"/>
      <c r="I328" s="283"/>
      <c r="J328" s="280"/>
      <c r="K328" s="103"/>
      <c r="L328" s="146"/>
      <c r="M328" s="103"/>
      <c r="N328" s="103"/>
      <c r="O328" s="103">
        <f t="shared" si="3"/>
        <v>0</v>
      </c>
      <c r="P328" s="104">
        <f t="shared" si="4"/>
        <v>0</v>
      </c>
      <c r="Q328" s="147"/>
      <c r="R328" s="103"/>
      <c r="S328" s="103">
        <f t="shared" si="6"/>
        <v>0</v>
      </c>
      <c r="U328" s="107" t="str">
        <f t="shared" si="7"/>
        <v>0</v>
      </c>
    </row>
    <row r="329" ht="15.75" customHeight="1">
      <c r="A329" s="279"/>
      <c r="B329" s="280"/>
      <c r="C329" s="280"/>
      <c r="D329" s="280"/>
      <c r="E329" s="281"/>
      <c r="F329" s="281"/>
      <c r="G329" s="280"/>
      <c r="H329" s="282"/>
      <c r="I329" s="283"/>
      <c r="J329" s="280"/>
      <c r="K329" s="103"/>
      <c r="L329" s="146"/>
      <c r="M329" s="103"/>
      <c r="N329" s="103"/>
      <c r="O329" s="103">
        <f t="shared" si="3"/>
        <v>0</v>
      </c>
      <c r="P329" s="104">
        <f t="shared" si="4"/>
        <v>0</v>
      </c>
      <c r="Q329" s="147"/>
      <c r="R329" s="103"/>
      <c r="S329" s="103">
        <f t="shared" si="6"/>
        <v>0</v>
      </c>
      <c r="U329" s="107" t="str">
        <f t="shared" si="7"/>
        <v>0</v>
      </c>
    </row>
    <row r="330" ht="15.75" customHeight="1">
      <c r="A330" s="279"/>
      <c r="B330" s="280"/>
      <c r="C330" s="280"/>
      <c r="D330" s="280"/>
      <c r="E330" s="281"/>
      <c r="F330" s="281"/>
      <c r="G330" s="280"/>
      <c r="H330" s="282"/>
      <c r="I330" s="283"/>
      <c r="J330" s="280"/>
      <c r="K330" s="103"/>
      <c r="L330" s="146"/>
      <c r="M330" s="103"/>
      <c r="N330" s="103"/>
      <c r="O330" s="103">
        <f t="shared" si="3"/>
        <v>0</v>
      </c>
      <c r="P330" s="104">
        <f t="shared" si="4"/>
        <v>0</v>
      </c>
      <c r="Q330" s="147"/>
      <c r="R330" s="103"/>
      <c r="S330" s="103">
        <f t="shared" si="6"/>
        <v>0</v>
      </c>
      <c r="U330" s="107" t="str">
        <f t="shared" si="7"/>
        <v>0</v>
      </c>
    </row>
    <row r="331" ht="15.75" customHeight="1">
      <c r="A331" s="279"/>
      <c r="B331" s="280"/>
      <c r="C331" s="280"/>
      <c r="D331" s="280"/>
      <c r="E331" s="281"/>
      <c r="F331" s="281"/>
      <c r="G331" s="280"/>
      <c r="H331" s="282"/>
      <c r="I331" s="283"/>
      <c r="J331" s="280"/>
      <c r="K331" s="103"/>
      <c r="L331" s="146"/>
      <c r="M331" s="103"/>
      <c r="N331" s="103"/>
      <c r="O331" s="103">
        <f t="shared" si="3"/>
        <v>0</v>
      </c>
      <c r="P331" s="104">
        <f t="shared" si="4"/>
        <v>0</v>
      </c>
      <c r="Q331" s="147"/>
      <c r="R331" s="103"/>
      <c r="S331" s="103">
        <f t="shared" si="6"/>
        <v>0</v>
      </c>
      <c r="U331" s="107" t="str">
        <f t="shared" si="7"/>
        <v>0</v>
      </c>
    </row>
    <row r="332" ht="15.75" customHeight="1">
      <c r="A332" s="279"/>
      <c r="B332" s="280"/>
      <c r="C332" s="280"/>
      <c r="D332" s="280"/>
      <c r="E332" s="281"/>
      <c r="F332" s="281"/>
      <c r="G332" s="280"/>
      <c r="H332" s="282"/>
      <c r="I332" s="283"/>
      <c r="J332" s="280"/>
      <c r="K332" s="103"/>
      <c r="L332" s="146"/>
      <c r="M332" s="103"/>
      <c r="N332" s="103"/>
      <c r="O332" s="103">
        <f t="shared" si="3"/>
        <v>0</v>
      </c>
      <c r="P332" s="104">
        <f t="shared" si="4"/>
        <v>0</v>
      </c>
      <c r="Q332" s="147"/>
      <c r="R332" s="103"/>
      <c r="S332" s="103">
        <f t="shared" si="6"/>
        <v>0</v>
      </c>
      <c r="U332" s="107" t="str">
        <f t="shared" si="7"/>
        <v>0</v>
      </c>
    </row>
    <row r="333" ht="15.75" customHeight="1">
      <c r="A333" s="279"/>
      <c r="B333" s="280"/>
      <c r="C333" s="280"/>
      <c r="D333" s="280"/>
      <c r="E333" s="281"/>
      <c r="F333" s="281"/>
      <c r="G333" s="280"/>
      <c r="H333" s="282"/>
      <c r="I333" s="283"/>
      <c r="J333" s="280"/>
      <c r="K333" s="103"/>
      <c r="L333" s="146"/>
      <c r="M333" s="103"/>
      <c r="N333" s="103"/>
      <c r="O333" s="103">
        <f t="shared" si="3"/>
        <v>0</v>
      </c>
      <c r="P333" s="104">
        <f t="shared" si="4"/>
        <v>0</v>
      </c>
      <c r="Q333" s="147"/>
      <c r="R333" s="103"/>
      <c r="S333" s="103">
        <f t="shared" si="6"/>
        <v>0</v>
      </c>
      <c r="U333" s="107" t="str">
        <f t="shared" si="7"/>
        <v>0</v>
      </c>
    </row>
    <row r="334" ht="15.75" customHeight="1">
      <c r="A334" s="279"/>
      <c r="B334" s="280"/>
      <c r="C334" s="280"/>
      <c r="D334" s="280"/>
      <c r="E334" s="281"/>
      <c r="F334" s="281"/>
      <c r="G334" s="280"/>
      <c r="H334" s="282"/>
      <c r="I334" s="283"/>
      <c r="J334" s="280"/>
      <c r="K334" s="103"/>
      <c r="L334" s="146"/>
      <c r="M334" s="103"/>
      <c r="N334" s="103"/>
      <c r="O334" s="103">
        <f t="shared" si="3"/>
        <v>0</v>
      </c>
      <c r="P334" s="104">
        <f t="shared" si="4"/>
        <v>0</v>
      </c>
      <c r="Q334" s="147"/>
      <c r="R334" s="103"/>
      <c r="S334" s="103">
        <f t="shared" si="6"/>
        <v>0</v>
      </c>
      <c r="U334" s="107" t="str">
        <f t="shared" si="7"/>
        <v>0</v>
      </c>
    </row>
    <row r="335" ht="15.75" customHeight="1">
      <c r="A335" s="279"/>
      <c r="B335" s="280"/>
      <c r="C335" s="280"/>
      <c r="D335" s="280"/>
      <c r="E335" s="281"/>
      <c r="F335" s="281"/>
      <c r="G335" s="280"/>
      <c r="H335" s="282"/>
      <c r="I335" s="283"/>
      <c r="J335" s="280"/>
      <c r="K335" s="103"/>
      <c r="L335" s="146"/>
      <c r="M335" s="103"/>
      <c r="N335" s="103"/>
      <c r="O335" s="103">
        <f t="shared" si="3"/>
        <v>0</v>
      </c>
      <c r="P335" s="104">
        <f t="shared" si="4"/>
        <v>0</v>
      </c>
      <c r="Q335" s="147"/>
      <c r="R335" s="103"/>
      <c r="S335" s="103">
        <f t="shared" si="6"/>
        <v>0</v>
      </c>
      <c r="U335" s="107" t="str">
        <f t="shared" si="7"/>
        <v>0</v>
      </c>
    </row>
    <row r="336" ht="15.75" customHeight="1">
      <c r="A336" s="279"/>
      <c r="B336" s="280"/>
      <c r="C336" s="280"/>
      <c r="D336" s="280"/>
      <c r="E336" s="281"/>
      <c r="F336" s="281"/>
      <c r="G336" s="280"/>
      <c r="H336" s="282"/>
      <c r="I336" s="283"/>
      <c r="J336" s="280"/>
      <c r="K336" s="103"/>
      <c r="L336" s="146"/>
      <c r="M336" s="103"/>
      <c r="N336" s="103"/>
      <c r="O336" s="103">
        <f t="shared" si="3"/>
        <v>0</v>
      </c>
      <c r="P336" s="104">
        <f t="shared" si="4"/>
        <v>0</v>
      </c>
      <c r="Q336" s="147"/>
      <c r="R336" s="103"/>
      <c r="S336" s="103">
        <f t="shared" si="6"/>
        <v>0</v>
      </c>
      <c r="U336" s="107" t="str">
        <f t="shared" si="7"/>
        <v>0</v>
      </c>
    </row>
    <row r="337" ht="15.75" customHeight="1">
      <c r="A337" s="279"/>
      <c r="B337" s="280"/>
      <c r="C337" s="280"/>
      <c r="D337" s="280"/>
      <c r="E337" s="281"/>
      <c r="F337" s="281"/>
      <c r="G337" s="280"/>
      <c r="H337" s="282"/>
      <c r="I337" s="283"/>
      <c r="J337" s="280"/>
      <c r="K337" s="103"/>
      <c r="L337" s="146"/>
      <c r="M337" s="103"/>
      <c r="N337" s="103"/>
      <c r="O337" s="103">
        <f t="shared" si="3"/>
        <v>0</v>
      </c>
      <c r="P337" s="104">
        <f t="shared" si="4"/>
        <v>0</v>
      </c>
      <c r="Q337" s="147"/>
      <c r="R337" s="103"/>
      <c r="S337" s="103">
        <f t="shared" si="6"/>
        <v>0</v>
      </c>
      <c r="U337" s="107" t="str">
        <f t="shared" si="7"/>
        <v>0</v>
      </c>
    </row>
    <row r="338" ht="15.75" customHeight="1">
      <c r="A338" s="279"/>
      <c r="B338" s="280"/>
      <c r="C338" s="280"/>
      <c r="D338" s="280"/>
      <c r="E338" s="281"/>
      <c r="F338" s="281"/>
      <c r="G338" s="280"/>
      <c r="H338" s="282"/>
      <c r="I338" s="283"/>
      <c r="J338" s="280"/>
      <c r="K338" s="103"/>
      <c r="L338" s="146"/>
      <c r="M338" s="103"/>
      <c r="N338" s="103"/>
      <c r="O338" s="103">
        <f t="shared" si="3"/>
        <v>0</v>
      </c>
      <c r="P338" s="104">
        <f t="shared" si="4"/>
        <v>0</v>
      </c>
      <c r="Q338" s="147"/>
      <c r="R338" s="103"/>
      <c r="S338" s="103">
        <f t="shared" si="6"/>
        <v>0</v>
      </c>
      <c r="U338" s="107" t="str">
        <f t="shared" si="7"/>
        <v>0</v>
      </c>
    </row>
    <row r="339" ht="15.75" customHeight="1">
      <c r="A339" s="279"/>
      <c r="B339" s="280"/>
      <c r="C339" s="280"/>
      <c r="D339" s="280"/>
      <c r="E339" s="281"/>
      <c r="F339" s="281"/>
      <c r="G339" s="280"/>
      <c r="H339" s="282"/>
      <c r="I339" s="283"/>
      <c r="J339" s="280"/>
      <c r="K339" s="103"/>
      <c r="L339" s="146"/>
      <c r="M339" s="103"/>
      <c r="N339" s="103"/>
      <c r="O339" s="103">
        <f t="shared" si="3"/>
        <v>0</v>
      </c>
      <c r="P339" s="104">
        <f t="shared" si="4"/>
        <v>0</v>
      </c>
      <c r="Q339" s="147"/>
      <c r="R339" s="103"/>
      <c r="S339" s="103">
        <f t="shared" si="6"/>
        <v>0</v>
      </c>
      <c r="U339" s="107" t="str">
        <f t="shared" si="7"/>
        <v>0</v>
      </c>
    </row>
    <row r="340" ht="15.75" customHeight="1">
      <c r="A340" s="279"/>
      <c r="B340" s="280"/>
      <c r="C340" s="280"/>
      <c r="D340" s="280"/>
      <c r="E340" s="281"/>
      <c r="F340" s="281"/>
      <c r="G340" s="280"/>
      <c r="H340" s="282"/>
      <c r="I340" s="283"/>
      <c r="J340" s="280"/>
      <c r="K340" s="103"/>
      <c r="L340" s="146"/>
      <c r="M340" s="103"/>
      <c r="N340" s="103"/>
      <c r="O340" s="103">
        <f t="shared" si="3"/>
        <v>0</v>
      </c>
      <c r="P340" s="104">
        <f t="shared" si="4"/>
        <v>0</v>
      </c>
      <c r="Q340" s="147"/>
      <c r="R340" s="103"/>
      <c r="S340" s="103">
        <f t="shared" si="6"/>
        <v>0</v>
      </c>
      <c r="U340" s="107" t="str">
        <f t="shared" si="7"/>
        <v>0</v>
      </c>
    </row>
    <row r="341" ht="15.75" customHeight="1">
      <c r="A341" s="279"/>
      <c r="B341" s="280"/>
      <c r="C341" s="280"/>
      <c r="D341" s="280"/>
      <c r="E341" s="281"/>
      <c r="F341" s="281"/>
      <c r="G341" s="280"/>
      <c r="H341" s="282"/>
      <c r="I341" s="283"/>
      <c r="J341" s="280"/>
      <c r="K341" s="103"/>
      <c r="L341" s="146"/>
      <c r="M341" s="103"/>
      <c r="N341" s="103"/>
      <c r="O341" s="103">
        <f t="shared" si="3"/>
        <v>0</v>
      </c>
      <c r="P341" s="104">
        <f t="shared" si="4"/>
        <v>0</v>
      </c>
      <c r="Q341" s="147"/>
      <c r="R341" s="103"/>
      <c r="S341" s="103">
        <f t="shared" si="6"/>
        <v>0</v>
      </c>
      <c r="U341" s="107" t="str">
        <f t="shared" si="7"/>
        <v>0</v>
      </c>
    </row>
    <row r="342" ht="15.75" customHeight="1">
      <c r="A342" s="279"/>
      <c r="B342" s="280"/>
      <c r="C342" s="280"/>
      <c r="D342" s="280"/>
      <c r="E342" s="281"/>
      <c r="F342" s="281"/>
      <c r="G342" s="280"/>
      <c r="H342" s="282"/>
      <c r="I342" s="283"/>
      <c r="J342" s="280"/>
      <c r="K342" s="103"/>
      <c r="L342" s="146"/>
      <c r="M342" s="103"/>
      <c r="N342" s="103"/>
      <c r="O342" s="103">
        <f t="shared" si="3"/>
        <v>0</v>
      </c>
      <c r="P342" s="104">
        <f t="shared" si="4"/>
        <v>0</v>
      </c>
      <c r="Q342" s="147"/>
      <c r="R342" s="103"/>
      <c r="S342" s="103">
        <f t="shared" si="6"/>
        <v>0</v>
      </c>
      <c r="U342" s="107" t="str">
        <f t="shared" si="7"/>
        <v>0</v>
      </c>
    </row>
    <row r="343" ht="15.75" customHeight="1">
      <c r="A343" s="279"/>
      <c r="B343" s="280"/>
      <c r="C343" s="280"/>
      <c r="D343" s="280"/>
      <c r="E343" s="281"/>
      <c r="F343" s="281"/>
      <c r="G343" s="280"/>
      <c r="H343" s="282"/>
      <c r="I343" s="283"/>
      <c r="J343" s="280"/>
      <c r="K343" s="103"/>
      <c r="L343" s="146"/>
      <c r="M343" s="103"/>
      <c r="N343" s="103"/>
      <c r="O343" s="103">
        <f t="shared" si="3"/>
        <v>0</v>
      </c>
      <c r="P343" s="104">
        <f t="shared" si="4"/>
        <v>0</v>
      </c>
      <c r="Q343" s="147"/>
      <c r="R343" s="103"/>
      <c r="S343" s="103">
        <f t="shared" si="6"/>
        <v>0</v>
      </c>
      <c r="U343" s="107" t="str">
        <f t="shared" si="7"/>
        <v>0</v>
      </c>
    </row>
    <row r="344" ht="15.75" customHeight="1">
      <c r="A344" s="279"/>
      <c r="B344" s="280"/>
      <c r="C344" s="280"/>
      <c r="D344" s="280"/>
      <c r="E344" s="281"/>
      <c r="F344" s="281"/>
      <c r="G344" s="280"/>
      <c r="H344" s="282"/>
      <c r="I344" s="283"/>
      <c r="J344" s="280"/>
      <c r="K344" s="103"/>
      <c r="L344" s="146"/>
      <c r="M344" s="103"/>
      <c r="N344" s="103"/>
      <c r="O344" s="103">
        <f t="shared" si="3"/>
        <v>0</v>
      </c>
      <c r="P344" s="104">
        <f t="shared" si="4"/>
        <v>0</v>
      </c>
      <c r="Q344" s="147"/>
      <c r="R344" s="103"/>
      <c r="S344" s="103">
        <f t="shared" si="6"/>
        <v>0</v>
      </c>
      <c r="U344" s="107" t="str">
        <f t="shared" si="7"/>
        <v>0</v>
      </c>
    </row>
    <row r="345" ht="15.75" customHeight="1">
      <c r="A345" s="279"/>
      <c r="B345" s="280"/>
      <c r="C345" s="280"/>
      <c r="D345" s="280"/>
      <c r="E345" s="281"/>
      <c r="F345" s="281"/>
      <c r="G345" s="280"/>
      <c r="H345" s="282"/>
      <c r="I345" s="283"/>
      <c r="J345" s="280"/>
      <c r="K345" s="103"/>
      <c r="L345" s="146"/>
      <c r="M345" s="103"/>
      <c r="N345" s="103"/>
      <c r="O345" s="103">
        <f t="shared" si="3"/>
        <v>0</v>
      </c>
      <c r="P345" s="104">
        <f t="shared" si="4"/>
        <v>0</v>
      </c>
      <c r="Q345" s="147"/>
      <c r="R345" s="103"/>
      <c r="S345" s="103">
        <f t="shared" si="6"/>
        <v>0</v>
      </c>
      <c r="U345" s="107" t="str">
        <f t="shared" si="7"/>
        <v>0</v>
      </c>
    </row>
    <row r="346" ht="15.75" customHeight="1">
      <c r="A346" s="279"/>
      <c r="B346" s="280"/>
      <c r="C346" s="280"/>
      <c r="D346" s="280"/>
      <c r="E346" s="281"/>
      <c r="F346" s="281"/>
      <c r="G346" s="280"/>
      <c r="H346" s="282"/>
      <c r="I346" s="283"/>
      <c r="J346" s="280"/>
      <c r="K346" s="103"/>
      <c r="L346" s="146"/>
      <c r="M346" s="103"/>
      <c r="N346" s="103"/>
      <c r="O346" s="103">
        <f t="shared" si="3"/>
        <v>0</v>
      </c>
      <c r="P346" s="104">
        <f t="shared" si="4"/>
        <v>0</v>
      </c>
      <c r="Q346" s="147"/>
      <c r="R346" s="103"/>
      <c r="S346" s="103">
        <f t="shared" si="6"/>
        <v>0</v>
      </c>
      <c r="U346" s="107" t="str">
        <f t="shared" si="7"/>
        <v>0</v>
      </c>
    </row>
    <row r="347" ht="15.75" customHeight="1">
      <c r="A347" s="279"/>
      <c r="B347" s="280"/>
      <c r="C347" s="280"/>
      <c r="D347" s="280"/>
      <c r="E347" s="281"/>
      <c r="F347" s="281"/>
      <c r="G347" s="280"/>
      <c r="H347" s="282"/>
      <c r="I347" s="283"/>
      <c r="J347" s="280"/>
      <c r="K347" s="103"/>
      <c r="L347" s="146"/>
      <c r="M347" s="103"/>
      <c r="N347" s="103"/>
      <c r="O347" s="103">
        <f t="shared" si="3"/>
        <v>0</v>
      </c>
      <c r="P347" s="104">
        <f t="shared" si="4"/>
        <v>0</v>
      </c>
      <c r="Q347" s="147"/>
      <c r="R347" s="103"/>
      <c r="S347" s="103">
        <f t="shared" si="6"/>
        <v>0</v>
      </c>
      <c r="U347" s="107" t="str">
        <f t="shared" si="7"/>
        <v>0</v>
      </c>
    </row>
    <row r="348" ht="15.75" customHeight="1">
      <c r="A348" s="279"/>
      <c r="B348" s="280"/>
      <c r="C348" s="280"/>
      <c r="D348" s="280"/>
      <c r="E348" s="281"/>
      <c r="F348" s="281"/>
      <c r="G348" s="280"/>
      <c r="H348" s="282"/>
      <c r="I348" s="283"/>
      <c r="J348" s="280"/>
      <c r="K348" s="103"/>
      <c r="L348" s="146"/>
      <c r="M348" s="103"/>
      <c r="N348" s="103"/>
      <c r="O348" s="103">
        <f t="shared" si="3"/>
        <v>0</v>
      </c>
      <c r="P348" s="104">
        <f t="shared" si="4"/>
        <v>0</v>
      </c>
      <c r="Q348" s="147"/>
      <c r="R348" s="103"/>
      <c r="S348" s="103">
        <f t="shared" si="6"/>
        <v>0</v>
      </c>
      <c r="U348" s="107" t="str">
        <f t="shared" si="7"/>
        <v>0</v>
      </c>
    </row>
    <row r="349" ht="15.75" customHeight="1">
      <c r="A349" s="279"/>
      <c r="B349" s="280"/>
      <c r="C349" s="280"/>
      <c r="D349" s="280"/>
      <c r="E349" s="281"/>
      <c r="F349" s="281"/>
      <c r="G349" s="280"/>
      <c r="H349" s="282"/>
      <c r="I349" s="283"/>
      <c r="J349" s="280"/>
      <c r="K349" s="103"/>
      <c r="L349" s="146"/>
      <c r="M349" s="103"/>
      <c r="N349" s="103"/>
      <c r="O349" s="103">
        <f t="shared" si="3"/>
        <v>0</v>
      </c>
      <c r="P349" s="104">
        <f t="shared" si="4"/>
        <v>0</v>
      </c>
      <c r="Q349" s="147"/>
      <c r="R349" s="103"/>
      <c r="S349" s="103">
        <f t="shared" si="6"/>
        <v>0</v>
      </c>
      <c r="U349" s="107" t="str">
        <f t="shared" si="7"/>
        <v>0</v>
      </c>
    </row>
    <row r="350" ht="15.75" customHeight="1">
      <c r="A350" s="279"/>
      <c r="B350" s="280"/>
      <c r="C350" s="280"/>
      <c r="D350" s="280"/>
      <c r="E350" s="281"/>
      <c r="F350" s="281"/>
      <c r="G350" s="280"/>
      <c r="H350" s="282"/>
      <c r="I350" s="283"/>
      <c r="J350" s="280"/>
      <c r="K350" s="103"/>
      <c r="L350" s="146"/>
      <c r="M350" s="103"/>
      <c r="N350" s="103"/>
      <c r="O350" s="103">
        <f t="shared" si="3"/>
        <v>0</v>
      </c>
      <c r="P350" s="104">
        <f t="shared" si="4"/>
        <v>0</v>
      </c>
      <c r="Q350" s="147"/>
      <c r="R350" s="103"/>
      <c r="S350" s="103">
        <f t="shared" si="6"/>
        <v>0</v>
      </c>
      <c r="U350" s="107" t="str">
        <f t="shared" si="7"/>
        <v>0</v>
      </c>
    </row>
    <row r="351" ht="15.75" customHeight="1">
      <c r="A351" s="279"/>
      <c r="B351" s="280"/>
      <c r="C351" s="280"/>
      <c r="D351" s="280"/>
      <c r="E351" s="281"/>
      <c r="F351" s="281"/>
      <c r="G351" s="280"/>
      <c r="H351" s="282"/>
      <c r="I351" s="283"/>
      <c r="J351" s="280"/>
      <c r="K351" s="103"/>
      <c r="L351" s="146"/>
      <c r="M351" s="103"/>
      <c r="N351" s="103"/>
      <c r="O351" s="103">
        <f t="shared" si="3"/>
        <v>0</v>
      </c>
      <c r="P351" s="104">
        <f t="shared" si="4"/>
        <v>0</v>
      </c>
      <c r="Q351" s="147"/>
      <c r="R351" s="103"/>
      <c r="S351" s="103">
        <f t="shared" si="6"/>
        <v>0</v>
      </c>
      <c r="U351" s="107" t="str">
        <f t="shared" si="7"/>
        <v>0</v>
      </c>
    </row>
    <row r="352" ht="15.75" customHeight="1">
      <c r="A352" s="279"/>
      <c r="B352" s="280"/>
      <c r="C352" s="280"/>
      <c r="D352" s="280"/>
      <c r="E352" s="281"/>
      <c r="F352" s="281"/>
      <c r="G352" s="280"/>
      <c r="H352" s="282"/>
      <c r="I352" s="283"/>
      <c r="J352" s="280"/>
      <c r="K352" s="103"/>
      <c r="L352" s="146"/>
      <c r="M352" s="103"/>
      <c r="N352" s="103"/>
      <c r="O352" s="103">
        <f t="shared" si="3"/>
        <v>0</v>
      </c>
      <c r="P352" s="104">
        <f t="shared" si="4"/>
        <v>0</v>
      </c>
      <c r="Q352" s="147"/>
      <c r="R352" s="103"/>
      <c r="S352" s="103">
        <f t="shared" si="6"/>
        <v>0</v>
      </c>
      <c r="U352" s="107" t="str">
        <f t="shared" si="7"/>
        <v>0</v>
      </c>
    </row>
    <row r="353" ht="15.75" customHeight="1">
      <c r="A353" s="279"/>
      <c r="B353" s="280"/>
      <c r="C353" s="280"/>
      <c r="D353" s="280"/>
      <c r="E353" s="281"/>
      <c r="F353" s="281"/>
      <c r="G353" s="280"/>
      <c r="H353" s="282"/>
      <c r="I353" s="283"/>
      <c r="J353" s="280"/>
      <c r="K353" s="103"/>
      <c r="L353" s="146"/>
      <c r="M353" s="103"/>
      <c r="N353" s="103"/>
      <c r="O353" s="103">
        <f t="shared" si="3"/>
        <v>0</v>
      </c>
      <c r="P353" s="104">
        <f t="shared" si="4"/>
        <v>0</v>
      </c>
      <c r="Q353" s="147"/>
      <c r="R353" s="103"/>
      <c r="S353" s="103">
        <f t="shared" si="6"/>
        <v>0</v>
      </c>
      <c r="U353" s="107" t="str">
        <f t="shared" si="7"/>
        <v>0</v>
      </c>
    </row>
    <row r="354" ht="15.75" customHeight="1">
      <c r="A354" s="279"/>
      <c r="B354" s="280"/>
      <c r="C354" s="280"/>
      <c r="D354" s="280"/>
      <c r="E354" s="281"/>
      <c r="F354" s="281"/>
      <c r="G354" s="280"/>
      <c r="H354" s="282"/>
      <c r="I354" s="283"/>
      <c r="J354" s="280"/>
      <c r="K354" s="103"/>
      <c r="L354" s="146"/>
      <c r="M354" s="103"/>
      <c r="N354" s="103"/>
      <c r="O354" s="103">
        <f t="shared" si="3"/>
        <v>0</v>
      </c>
      <c r="P354" s="104">
        <f t="shared" si="4"/>
        <v>0</v>
      </c>
      <c r="Q354" s="147"/>
      <c r="R354" s="103"/>
      <c r="S354" s="103">
        <f t="shared" si="6"/>
        <v>0</v>
      </c>
      <c r="U354" s="107" t="str">
        <f t="shared" si="7"/>
        <v>0</v>
      </c>
    </row>
    <row r="355" ht="15.75" customHeight="1">
      <c r="A355" s="279"/>
      <c r="B355" s="280"/>
      <c r="C355" s="280"/>
      <c r="D355" s="280"/>
      <c r="E355" s="281"/>
      <c r="F355" s="281"/>
      <c r="G355" s="280"/>
      <c r="H355" s="282"/>
      <c r="I355" s="283"/>
      <c r="J355" s="280"/>
      <c r="K355" s="103"/>
      <c r="L355" s="146"/>
      <c r="M355" s="103"/>
      <c r="N355" s="103"/>
      <c r="O355" s="103">
        <f t="shared" si="3"/>
        <v>0</v>
      </c>
      <c r="P355" s="104">
        <f t="shared" si="4"/>
        <v>0</v>
      </c>
      <c r="Q355" s="147"/>
      <c r="R355" s="103"/>
      <c r="S355" s="103">
        <f t="shared" si="6"/>
        <v>0</v>
      </c>
      <c r="U355" s="107" t="str">
        <f t="shared" si="7"/>
        <v>0</v>
      </c>
    </row>
    <row r="356" ht="15.75" customHeight="1">
      <c r="A356" s="279"/>
      <c r="B356" s="280"/>
      <c r="C356" s="280"/>
      <c r="D356" s="280"/>
      <c r="E356" s="281"/>
      <c r="F356" s="281"/>
      <c r="G356" s="280"/>
      <c r="H356" s="282"/>
      <c r="I356" s="283"/>
      <c r="J356" s="280"/>
      <c r="K356" s="103"/>
      <c r="L356" s="146"/>
      <c r="M356" s="103"/>
      <c r="N356" s="103"/>
      <c r="O356" s="103">
        <f t="shared" si="3"/>
        <v>0</v>
      </c>
      <c r="P356" s="104">
        <f t="shared" si="4"/>
        <v>0</v>
      </c>
      <c r="Q356" s="147"/>
      <c r="R356" s="103"/>
      <c r="S356" s="103">
        <f t="shared" si="6"/>
        <v>0</v>
      </c>
      <c r="U356" s="107" t="str">
        <f t="shared" si="7"/>
        <v>0</v>
      </c>
    </row>
    <row r="357" ht="15.75" customHeight="1">
      <c r="A357" s="279"/>
      <c r="B357" s="280"/>
      <c r="C357" s="280"/>
      <c r="D357" s="280"/>
      <c r="E357" s="281"/>
      <c r="F357" s="281"/>
      <c r="G357" s="280"/>
      <c r="H357" s="282"/>
      <c r="I357" s="283"/>
      <c r="J357" s="280"/>
      <c r="K357" s="103"/>
      <c r="L357" s="146"/>
      <c r="M357" s="103"/>
      <c r="N357" s="103"/>
      <c r="O357" s="103">
        <f t="shared" si="3"/>
        <v>0</v>
      </c>
      <c r="P357" s="104">
        <f t="shared" si="4"/>
        <v>0</v>
      </c>
      <c r="Q357" s="147"/>
      <c r="R357" s="103"/>
      <c r="S357" s="103">
        <f t="shared" si="6"/>
        <v>0</v>
      </c>
      <c r="U357" s="107" t="str">
        <f t="shared" si="7"/>
        <v>0</v>
      </c>
    </row>
    <row r="358" ht="15.75" customHeight="1">
      <c r="A358" s="279"/>
      <c r="B358" s="280"/>
      <c r="C358" s="280"/>
      <c r="D358" s="280"/>
      <c r="E358" s="281"/>
      <c r="F358" s="281"/>
      <c r="G358" s="280"/>
      <c r="H358" s="282"/>
      <c r="I358" s="283"/>
      <c r="J358" s="280"/>
      <c r="K358" s="103"/>
      <c r="L358" s="146"/>
      <c r="M358" s="103"/>
      <c r="N358" s="103"/>
      <c r="O358" s="103">
        <f t="shared" si="3"/>
        <v>0</v>
      </c>
      <c r="P358" s="104">
        <f t="shared" si="4"/>
        <v>0</v>
      </c>
      <c r="Q358" s="147"/>
      <c r="R358" s="103"/>
      <c r="S358" s="103">
        <f t="shared" si="6"/>
        <v>0</v>
      </c>
      <c r="U358" s="107" t="str">
        <f t="shared" si="7"/>
        <v>0</v>
      </c>
    </row>
    <row r="359" ht="15.75" customHeight="1">
      <c r="A359" s="279"/>
      <c r="B359" s="280"/>
      <c r="C359" s="280"/>
      <c r="D359" s="280"/>
      <c r="E359" s="281"/>
      <c r="F359" s="281"/>
      <c r="G359" s="280"/>
      <c r="H359" s="282"/>
      <c r="I359" s="283"/>
      <c r="J359" s="280"/>
      <c r="K359" s="103"/>
      <c r="L359" s="146"/>
      <c r="M359" s="103"/>
      <c r="N359" s="103"/>
      <c r="O359" s="103">
        <f t="shared" si="3"/>
        <v>0</v>
      </c>
      <c r="P359" s="104">
        <f t="shared" si="4"/>
        <v>0</v>
      </c>
      <c r="Q359" s="147"/>
      <c r="R359" s="103"/>
      <c r="S359" s="103">
        <f t="shared" si="6"/>
        <v>0</v>
      </c>
      <c r="U359" s="107" t="str">
        <f t="shared" si="7"/>
        <v>0</v>
      </c>
    </row>
    <row r="360" ht="15.75" customHeight="1">
      <c r="A360" s="279"/>
      <c r="B360" s="280"/>
      <c r="C360" s="280"/>
      <c r="D360" s="280"/>
      <c r="E360" s="281"/>
      <c r="F360" s="281"/>
      <c r="G360" s="280"/>
      <c r="H360" s="282"/>
      <c r="I360" s="283"/>
      <c r="J360" s="280"/>
      <c r="K360" s="103"/>
      <c r="L360" s="146"/>
      <c r="M360" s="103"/>
      <c r="N360" s="103"/>
      <c r="O360" s="103">
        <f t="shared" si="3"/>
        <v>0</v>
      </c>
      <c r="P360" s="104">
        <f t="shared" si="4"/>
        <v>0</v>
      </c>
      <c r="Q360" s="147"/>
      <c r="R360" s="103"/>
      <c r="S360" s="103">
        <f t="shared" si="6"/>
        <v>0</v>
      </c>
      <c r="U360" s="107" t="str">
        <f t="shared" si="7"/>
        <v>0</v>
      </c>
    </row>
    <row r="361" ht="15.75" customHeight="1">
      <c r="A361" s="279"/>
      <c r="B361" s="280"/>
      <c r="C361" s="280"/>
      <c r="D361" s="280"/>
      <c r="E361" s="281"/>
      <c r="F361" s="281"/>
      <c r="G361" s="280"/>
      <c r="H361" s="282"/>
      <c r="I361" s="283"/>
      <c r="J361" s="280"/>
      <c r="K361" s="103"/>
      <c r="L361" s="146"/>
      <c r="M361" s="103"/>
      <c r="N361" s="103"/>
      <c r="O361" s="103">
        <f t="shared" si="3"/>
        <v>0</v>
      </c>
      <c r="P361" s="104">
        <f t="shared" si="4"/>
        <v>0</v>
      </c>
      <c r="Q361" s="147"/>
      <c r="R361" s="103"/>
      <c r="S361" s="103">
        <f t="shared" si="6"/>
        <v>0</v>
      </c>
      <c r="U361" s="107" t="str">
        <f t="shared" si="7"/>
        <v>0</v>
      </c>
    </row>
    <row r="362" ht="15.75" customHeight="1">
      <c r="A362" s="279"/>
      <c r="B362" s="280"/>
      <c r="C362" s="280"/>
      <c r="D362" s="280"/>
      <c r="E362" s="281"/>
      <c r="F362" s="281"/>
      <c r="G362" s="280"/>
      <c r="H362" s="282"/>
      <c r="I362" s="283"/>
      <c r="J362" s="280"/>
      <c r="K362" s="103"/>
      <c r="L362" s="146"/>
      <c r="M362" s="103"/>
      <c r="N362" s="103"/>
      <c r="O362" s="103">
        <f t="shared" si="3"/>
        <v>0</v>
      </c>
      <c r="P362" s="104">
        <f t="shared" si="4"/>
        <v>0</v>
      </c>
      <c r="Q362" s="147"/>
      <c r="R362" s="103"/>
      <c r="S362" s="103">
        <f t="shared" si="6"/>
        <v>0</v>
      </c>
      <c r="U362" s="107" t="str">
        <f t="shared" si="7"/>
        <v>0</v>
      </c>
    </row>
    <row r="363" ht="15.75" customHeight="1">
      <c r="A363" s="279"/>
      <c r="B363" s="280"/>
      <c r="C363" s="280"/>
      <c r="D363" s="280"/>
      <c r="E363" s="281"/>
      <c r="F363" s="281"/>
      <c r="G363" s="280"/>
      <c r="H363" s="282"/>
      <c r="I363" s="283"/>
      <c r="J363" s="280"/>
      <c r="K363" s="103"/>
      <c r="L363" s="146"/>
      <c r="M363" s="103"/>
      <c r="N363" s="103"/>
      <c r="O363" s="103">
        <f t="shared" si="3"/>
        <v>0</v>
      </c>
      <c r="P363" s="104">
        <f t="shared" si="4"/>
        <v>0</v>
      </c>
      <c r="Q363" s="147"/>
      <c r="R363" s="103"/>
      <c r="S363" s="103">
        <f t="shared" si="6"/>
        <v>0</v>
      </c>
      <c r="U363" s="107" t="str">
        <f t="shared" si="7"/>
        <v>0</v>
      </c>
    </row>
    <row r="364" ht="15.75" customHeight="1">
      <c r="A364" s="279"/>
      <c r="B364" s="280"/>
      <c r="C364" s="280"/>
      <c r="D364" s="280"/>
      <c r="E364" s="281"/>
      <c r="F364" s="281"/>
      <c r="G364" s="280"/>
      <c r="H364" s="282"/>
      <c r="I364" s="283"/>
      <c r="J364" s="280"/>
      <c r="K364" s="103"/>
      <c r="L364" s="146"/>
      <c r="M364" s="103"/>
      <c r="N364" s="103"/>
      <c r="O364" s="103">
        <f t="shared" si="3"/>
        <v>0</v>
      </c>
      <c r="P364" s="104">
        <f t="shared" si="4"/>
        <v>0</v>
      </c>
      <c r="Q364" s="147"/>
      <c r="R364" s="103"/>
      <c r="S364" s="103">
        <f t="shared" si="6"/>
        <v>0</v>
      </c>
      <c r="U364" s="107" t="str">
        <f t="shared" si="7"/>
        <v>0</v>
      </c>
    </row>
    <row r="365" ht="15.75" customHeight="1">
      <c r="A365" s="279"/>
      <c r="B365" s="280"/>
      <c r="C365" s="280"/>
      <c r="D365" s="280"/>
      <c r="E365" s="281"/>
      <c r="F365" s="281"/>
      <c r="G365" s="280"/>
      <c r="H365" s="282"/>
      <c r="I365" s="283"/>
      <c r="J365" s="280"/>
      <c r="K365" s="103"/>
      <c r="L365" s="146"/>
      <c r="M365" s="103"/>
      <c r="N365" s="103"/>
      <c r="O365" s="103">
        <f t="shared" si="3"/>
        <v>0</v>
      </c>
      <c r="P365" s="104">
        <f t="shared" si="4"/>
        <v>0</v>
      </c>
      <c r="Q365" s="147"/>
      <c r="R365" s="103"/>
      <c r="S365" s="103">
        <f t="shared" si="6"/>
        <v>0</v>
      </c>
      <c r="U365" s="107" t="str">
        <f t="shared" si="7"/>
        <v>0</v>
      </c>
    </row>
    <row r="366" ht="15.75" customHeight="1">
      <c r="A366" s="279"/>
      <c r="B366" s="280"/>
      <c r="C366" s="280"/>
      <c r="D366" s="280"/>
      <c r="E366" s="281"/>
      <c r="F366" s="281"/>
      <c r="G366" s="280"/>
      <c r="H366" s="282"/>
      <c r="I366" s="283"/>
      <c r="J366" s="280"/>
      <c r="K366" s="103"/>
      <c r="L366" s="146"/>
      <c r="M366" s="103"/>
      <c r="N366" s="103"/>
      <c r="O366" s="103">
        <f t="shared" si="3"/>
        <v>0</v>
      </c>
      <c r="P366" s="104">
        <f t="shared" si="4"/>
        <v>0</v>
      </c>
      <c r="Q366" s="147"/>
      <c r="R366" s="103"/>
      <c r="S366" s="103">
        <f t="shared" si="6"/>
        <v>0</v>
      </c>
      <c r="U366" s="107" t="str">
        <f t="shared" si="7"/>
        <v>0</v>
      </c>
    </row>
    <row r="367" ht="15.75" customHeight="1">
      <c r="A367" s="279"/>
      <c r="B367" s="280"/>
      <c r="C367" s="280"/>
      <c r="D367" s="280"/>
      <c r="E367" s="281"/>
      <c r="F367" s="281"/>
      <c r="G367" s="280"/>
      <c r="H367" s="282"/>
      <c r="I367" s="283"/>
      <c r="J367" s="280"/>
      <c r="K367" s="103"/>
      <c r="L367" s="146"/>
      <c r="M367" s="103"/>
      <c r="N367" s="103"/>
      <c r="O367" s="103">
        <f t="shared" si="3"/>
        <v>0</v>
      </c>
      <c r="P367" s="104">
        <f t="shared" si="4"/>
        <v>0</v>
      </c>
      <c r="Q367" s="147"/>
      <c r="R367" s="103"/>
      <c r="S367" s="103">
        <f t="shared" si="6"/>
        <v>0</v>
      </c>
      <c r="U367" s="107" t="str">
        <f t="shared" si="7"/>
        <v>0</v>
      </c>
    </row>
    <row r="368" ht="15.75" customHeight="1">
      <c r="A368" s="279"/>
      <c r="B368" s="280"/>
      <c r="C368" s="280"/>
      <c r="D368" s="280"/>
      <c r="E368" s="281"/>
      <c r="F368" s="281"/>
      <c r="G368" s="280"/>
      <c r="H368" s="282"/>
      <c r="I368" s="283"/>
      <c r="J368" s="280"/>
      <c r="K368" s="103"/>
      <c r="L368" s="146"/>
      <c r="M368" s="103"/>
      <c r="N368" s="103"/>
      <c r="O368" s="103">
        <f t="shared" si="3"/>
        <v>0</v>
      </c>
      <c r="P368" s="104">
        <f t="shared" si="4"/>
        <v>0</v>
      </c>
      <c r="Q368" s="147"/>
      <c r="R368" s="103"/>
      <c r="S368" s="103">
        <f t="shared" si="6"/>
        <v>0</v>
      </c>
      <c r="U368" s="107" t="str">
        <f t="shared" si="7"/>
        <v>0</v>
      </c>
    </row>
    <row r="369" ht="15.75" customHeight="1">
      <c r="A369" s="279"/>
      <c r="B369" s="280"/>
      <c r="C369" s="280"/>
      <c r="D369" s="280"/>
      <c r="E369" s="281"/>
      <c r="F369" s="281"/>
      <c r="G369" s="280"/>
      <c r="H369" s="282"/>
      <c r="I369" s="283"/>
      <c r="J369" s="280"/>
      <c r="K369" s="103"/>
      <c r="L369" s="146"/>
      <c r="M369" s="103"/>
      <c r="N369" s="103"/>
      <c r="O369" s="103">
        <f t="shared" si="3"/>
        <v>0</v>
      </c>
      <c r="P369" s="104">
        <f t="shared" si="4"/>
        <v>0</v>
      </c>
      <c r="Q369" s="147"/>
      <c r="R369" s="103"/>
      <c r="S369" s="103">
        <f t="shared" si="6"/>
        <v>0</v>
      </c>
      <c r="U369" s="107" t="str">
        <f t="shared" si="7"/>
        <v>0</v>
      </c>
    </row>
    <row r="370" ht="15.75" customHeight="1">
      <c r="A370" s="279"/>
      <c r="B370" s="280"/>
      <c r="C370" s="280"/>
      <c r="D370" s="280"/>
      <c r="E370" s="281"/>
      <c r="F370" s="281"/>
      <c r="G370" s="280"/>
      <c r="H370" s="282"/>
      <c r="I370" s="283"/>
      <c r="J370" s="280"/>
      <c r="K370" s="103"/>
      <c r="L370" s="146"/>
      <c r="M370" s="103"/>
      <c r="N370" s="103"/>
      <c r="O370" s="103">
        <f t="shared" si="3"/>
        <v>0</v>
      </c>
      <c r="P370" s="104">
        <f t="shared" si="4"/>
        <v>0</v>
      </c>
      <c r="Q370" s="147"/>
      <c r="R370" s="103"/>
      <c r="S370" s="103">
        <f t="shared" si="6"/>
        <v>0</v>
      </c>
      <c r="U370" s="107" t="str">
        <f t="shared" si="7"/>
        <v>0</v>
      </c>
    </row>
    <row r="371" ht="15.75" customHeight="1">
      <c r="A371" s="279"/>
      <c r="B371" s="280"/>
      <c r="C371" s="280"/>
      <c r="D371" s="280"/>
      <c r="E371" s="281"/>
      <c r="F371" s="281"/>
      <c r="G371" s="280"/>
      <c r="H371" s="282"/>
      <c r="I371" s="283"/>
      <c r="J371" s="280"/>
      <c r="K371" s="103"/>
      <c r="L371" s="146"/>
      <c r="M371" s="103"/>
      <c r="N371" s="103"/>
      <c r="O371" s="103">
        <f t="shared" si="3"/>
        <v>0</v>
      </c>
      <c r="P371" s="104">
        <f t="shared" si="4"/>
        <v>0</v>
      </c>
      <c r="Q371" s="147"/>
      <c r="R371" s="103"/>
      <c r="S371" s="103">
        <f t="shared" si="6"/>
        <v>0</v>
      </c>
      <c r="U371" s="107" t="str">
        <f t="shared" si="7"/>
        <v>0</v>
      </c>
    </row>
    <row r="372" ht="15.75" customHeight="1">
      <c r="A372" s="279"/>
      <c r="B372" s="280"/>
      <c r="C372" s="280"/>
      <c r="D372" s="280"/>
      <c r="E372" s="281"/>
      <c r="F372" s="281"/>
      <c r="G372" s="280"/>
      <c r="H372" s="282"/>
      <c r="I372" s="283"/>
      <c r="J372" s="280"/>
      <c r="K372" s="103"/>
      <c r="L372" s="146"/>
      <c r="M372" s="103"/>
      <c r="N372" s="103"/>
      <c r="O372" s="103">
        <f t="shared" si="3"/>
        <v>0</v>
      </c>
      <c r="P372" s="104">
        <f t="shared" si="4"/>
        <v>0</v>
      </c>
      <c r="Q372" s="147"/>
      <c r="R372" s="103"/>
      <c r="S372" s="103">
        <f t="shared" si="6"/>
        <v>0</v>
      </c>
      <c r="U372" s="107" t="str">
        <f t="shared" si="7"/>
        <v>0</v>
      </c>
    </row>
    <row r="373" ht="15.75" customHeight="1">
      <c r="A373" s="279"/>
      <c r="B373" s="280"/>
      <c r="C373" s="280"/>
      <c r="D373" s="280"/>
      <c r="E373" s="281"/>
      <c r="F373" s="281"/>
      <c r="G373" s="280"/>
      <c r="H373" s="282"/>
      <c r="I373" s="283"/>
      <c r="J373" s="280"/>
      <c r="K373" s="103"/>
      <c r="L373" s="146"/>
      <c r="M373" s="103"/>
      <c r="N373" s="103"/>
      <c r="O373" s="103">
        <f t="shared" si="3"/>
        <v>0</v>
      </c>
      <c r="P373" s="104">
        <f t="shared" si="4"/>
        <v>0</v>
      </c>
      <c r="Q373" s="147"/>
      <c r="R373" s="103"/>
      <c r="S373" s="103">
        <f t="shared" si="6"/>
        <v>0</v>
      </c>
      <c r="U373" s="107" t="str">
        <f t="shared" si="7"/>
        <v>0</v>
      </c>
    </row>
    <row r="374" ht="15.75" customHeight="1">
      <c r="A374" s="279"/>
      <c r="B374" s="280"/>
      <c r="C374" s="280"/>
      <c r="D374" s="280"/>
      <c r="E374" s="281"/>
      <c r="F374" s="281"/>
      <c r="G374" s="280"/>
      <c r="H374" s="282"/>
      <c r="I374" s="283"/>
      <c r="J374" s="280"/>
      <c r="K374" s="103"/>
      <c r="L374" s="146"/>
      <c r="M374" s="103"/>
      <c r="N374" s="103"/>
      <c r="O374" s="103">
        <f t="shared" si="3"/>
        <v>0</v>
      </c>
      <c r="P374" s="104">
        <f t="shared" si="4"/>
        <v>0</v>
      </c>
      <c r="Q374" s="147"/>
      <c r="R374" s="103"/>
      <c r="S374" s="103">
        <f t="shared" si="6"/>
        <v>0</v>
      </c>
      <c r="U374" s="107" t="str">
        <f t="shared" si="7"/>
        <v>0</v>
      </c>
    </row>
    <row r="375" ht="15.75" customHeight="1">
      <c r="A375" s="279"/>
      <c r="B375" s="280"/>
      <c r="C375" s="280"/>
      <c r="D375" s="280"/>
      <c r="E375" s="281"/>
      <c r="F375" s="281"/>
      <c r="G375" s="280"/>
      <c r="H375" s="282"/>
      <c r="I375" s="283"/>
      <c r="J375" s="280"/>
      <c r="K375" s="103"/>
      <c r="L375" s="146"/>
      <c r="M375" s="103"/>
      <c r="N375" s="103"/>
      <c r="O375" s="103">
        <f t="shared" si="3"/>
        <v>0</v>
      </c>
      <c r="P375" s="104">
        <f t="shared" si="4"/>
        <v>0</v>
      </c>
      <c r="Q375" s="147"/>
      <c r="R375" s="103"/>
      <c r="S375" s="103">
        <f t="shared" si="6"/>
        <v>0</v>
      </c>
      <c r="U375" s="107" t="str">
        <f t="shared" si="7"/>
        <v>0</v>
      </c>
    </row>
    <row r="376" ht="15.75" customHeight="1">
      <c r="A376" s="279"/>
      <c r="B376" s="280"/>
      <c r="C376" s="280"/>
      <c r="D376" s="280"/>
      <c r="E376" s="281"/>
      <c r="F376" s="281"/>
      <c r="G376" s="280"/>
      <c r="H376" s="282"/>
      <c r="I376" s="283"/>
      <c r="J376" s="280"/>
      <c r="K376" s="103"/>
      <c r="L376" s="146"/>
      <c r="M376" s="103"/>
      <c r="N376" s="103"/>
      <c r="O376" s="103">
        <f t="shared" si="3"/>
        <v>0</v>
      </c>
      <c r="P376" s="104">
        <f t="shared" si="4"/>
        <v>0</v>
      </c>
      <c r="Q376" s="147"/>
      <c r="R376" s="103"/>
      <c r="S376" s="103">
        <f t="shared" si="6"/>
        <v>0</v>
      </c>
      <c r="U376" s="107" t="str">
        <f t="shared" si="7"/>
        <v>0</v>
      </c>
    </row>
    <row r="377" ht="15.75" customHeight="1">
      <c r="A377" s="279"/>
      <c r="B377" s="280"/>
      <c r="C377" s="280"/>
      <c r="D377" s="280"/>
      <c r="E377" s="281"/>
      <c r="F377" s="281"/>
      <c r="G377" s="280"/>
      <c r="H377" s="282"/>
      <c r="I377" s="283"/>
      <c r="J377" s="280"/>
      <c r="K377" s="103"/>
      <c r="L377" s="146"/>
      <c r="M377" s="103"/>
      <c r="N377" s="103"/>
      <c r="O377" s="103">
        <f t="shared" si="3"/>
        <v>0</v>
      </c>
      <c r="P377" s="104">
        <f t="shared" si="4"/>
        <v>0</v>
      </c>
      <c r="Q377" s="147"/>
      <c r="R377" s="103"/>
      <c r="S377" s="103">
        <f t="shared" si="6"/>
        <v>0</v>
      </c>
      <c r="U377" s="107" t="str">
        <f t="shared" si="7"/>
        <v>0</v>
      </c>
    </row>
    <row r="378" ht="15.75" customHeight="1">
      <c r="A378" s="279"/>
      <c r="B378" s="280"/>
      <c r="C378" s="280"/>
      <c r="D378" s="280"/>
      <c r="E378" s="281"/>
      <c r="F378" s="281"/>
      <c r="G378" s="280"/>
      <c r="H378" s="282"/>
      <c r="I378" s="283"/>
      <c r="J378" s="280"/>
      <c r="K378" s="103"/>
      <c r="L378" s="146"/>
      <c r="M378" s="103"/>
      <c r="N378" s="103"/>
      <c r="O378" s="103">
        <f t="shared" si="3"/>
        <v>0</v>
      </c>
      <c r="P378" s="104">
        <f t="shared" si="4"/>
        <v>0</v>
      </c>
      <c r="Q378" s="147"/>
      <c r="R378" s="103"/>
      <c r="S378" s="103">
        <f t="shared" si="6"/>
        <v>0</v>
      </c>
      <c r="U378" s="107" t="str">
        <f t="shared" si="7"/>
        <v>0</v>
      </c>
    </row>
    <row r="379" ht="15.75" customHeight="1">
      <c r="A379" s="279"/>
      <c r="B379" s="280"/>
      <c r="C379" s="280"/>
      <c r="D379" s="280"/>
      <c r="E379" s="281"/>
      <c r="F379" s="281"/>
      <c r="G379" s="280"/>
      <c r="H379" s="282"/>
      <c r="I379" s="283"/>
      <c r="J379" s="280"/>
      <c r="K379" s="103"/>
      <c r="L379" s="146"/>
      <c r="M379" s="103"/>
      <c r="N379" s="103"/>
      <c r="O379" s="103">
        <f t="shared" si="3"/>
        <v>0</v>
      </c>
      <c r="P379" s="104">
        <f t="shared" si="4"/>
        <v>0</v>
      </c>
      <c r="Q379" s="147"/>
      <c r="R379" s="103"/>
      <c r="S379" s="103">
        <f t="shared" si="6"/>
        <v>0</v>
      </c>
      <c r="U379" s="107" t="str">
        <f t="shared" si="7"/>
        <v>0</v>
      </c>
    </row>
    <row r="380" ht="15.75" customHeight="1">
      <c r="A380" s="279"/>
      <c r="B380" s="280"/>
      <c r="C380" s="280"/>
      <c r="D380" s="280"/>
      <c r="E380" s="281"/>
      <c r="F380" s="281"/>
      <c r="G380" s="280"/>
      <c r="H380" s="282"/>
      <c r="I380" s="283"/>
      <c r="J380" s="280"/>
      <c r="K380" s="103"/>
      <c r="L380" s="146"/>
      <c r="M380" s="103"/>
      <c r="N380" s="103"/>
      <c r="O380" s="103">
        <f t="shared" si="3"/>
        <v>0</v>
      </c>
      <c r="P380" s="104">
        <f t="shared" si="4"/>
        <v>0</v>
      </c>
      <c r="Q380" s="147"/>
      <c r="R380" s="103"/>
      <c r="S380" s="103">
        <f t="shared" si="6"/>
        <v>0</v>
      </c>
      <c r="U380" s="107" t="str">
        <f t="shared" si="7"/>
        <v>0</v>
      </c>
    </row>
    <row r="381" ht="15.75" customHeight="1">
      <c r="A381" s="279"/>
      <c r="B381" s="280"/>
      <c r="C381" s="280"/>
      <c r="D381" s="280"/>
      <c r="E381" s="281"/>
      <c r="F381" s="281"/>
      <c r="G381" s="280"/>
      <c r="H381" s="282"/>
      <c r="I381" s="283"/>
      <c r="J381" s="280"/>
      <c r="K381" s="103"/>
      <c r="L381" s="146"/>
      <c r="M381" s="103"/>
      <c r="N381" s="103"/>
      <c r="O381" s="103">
        <f t="shared" si="3"/>
        <v>0</v>
      </c>
      <c r="P381" s="104">
        <f t="shared" si="4"/>
        <v>0</v>
      </c>
      <c r="Q381" s="147"/>
      <c r="R381" s="103"/>
      <c r="S381" s="103">
        <f t="shared" si="6"/>
        <v>0</v>
      </c>
      <c r="U381" s="107" t="str">
        <f t="shared" si="7"/>
        <v>0</v>
      </c>
    </row>
    <row r="382" ht="15.75" customHeight="1">
      <c r="A382" s="279"/>
      <c r="B382" s="280"/>
      <c r="C382" s="280"/>
      <c r="D382" s="280"/>
      <c r="E382" s="281"/>
      <c r="F382" s="281"/>
      <c r="G382" s="280"/>
      <c r="H382" s="282"/>
      <c r="I382" s="283"/>
      <c r="J382" s="280"/>
      <c r="K382" s="103"/>
      <c r="L382" s="146"/>
      <c r="M382" s="103"/>
      <c r="N382" s="103"/>
      <c r="O382" s="103">
        <f t="shared" si="3"/>
        <v>0</v>
      </c>
      <c r="P382" s="104">
        <f t="shared" si="4"/>
        <v>0</v>
      </c>
      <c r="Q382" s="147"/>
      <c r="R382" s="103"/>
      <c r="S382" s="103">
        <f t="shared" si="6"/>
        <v>0</v>
      </c>
      <c r="U382" s="107" t="str">
        <f t="shared" si="7"/>
        <v>0</v>
      </c>
    </row>
    <row r="383" ht="15.75" customHeight="1">
      <c r="A383" s="279"/>
      <c r="B383" s="280"/>
      <c r="C383" s="280"/>
      <c r="D383" s="280"/>
      <c r="E383" s="281"/>
      <c r="F383" s="281"/>
      <c r="G383" s="280"/>
      <c r="H383" s="282"/>
      <c r="I383" s="283"/>
      <c r="J383" s="280"/>
      <c r="K383" s="103"/>
      <c r="L383" s="146"/>
      <c r="M383" s="103"/>
      <c r="N383" s="103"/>
      <c r="O383" s="103">
        <f t="shared" si="3"/>
        <v>0</v>
      </c>
      <c r="P383" s="104">
        <f t="shared" si="4"/>
        <v>0</v>
      </c>
      <c r="Q383" s="147"/>
      <c r="R383" s="103"/>
      <c r="S383" s="103">
        <f t="shared" si="6"/>
        <v>0</v>
      </c>
      <c r="U383" s="107" t="str">
        <f t="shared" si="7"/>
        <v>0</v>
      </c>
    </row>
    <row r="384" ht="15.75" customHeight="1">
      <c r="A384" s="279"/>
      <c r="B384" s="280"/>
      <c r="C384" s="280"/>
      <c r="D384" s="280"/>
      <c r="E384" s="281"/>
      <c r="F384" s="281"/>
      <c r="G384" s="280"/>
      <c r="H384" s="282"/>
      <c r="I384" s="283"/>
      <c r="J384" s="280"/>
      <c r="K384" s="103"/>
      <c r="L384" s="146"/>
      <c r="M384" s="103"/>
      <c r="N384" s="103"/>
      <c r="O384" s="103">
        <f t="shared" si="3"/>
        <v>0</v>
      </c>
      <c r="P384" s="104">
        <f t="shared" si="4"/>
        <v>0</v>
      </c>
      <c r="Q384" s="147"/>
      <c r="R384" s="103"/>
      <c r="S384" s="103">
        <f t="shared" si="6"/>
        <v>0</v>
      </c>
      <c r="U384" s="107" t="str">
        <f t="shared" si="7"/>
        <v>0</v>
      </c>
    </row>
    <row r="385" ht="15.75" customHeight="1">
      <c r="A385" s="279"/>
      <c r="B385" s="280"/>
      <c r="C385" s="280"/>
      <c r="D385" s="280"/>
      <c r="E385" s="281"/>
      <c r="F385" s="281"/>
      <c r="G385" s="280"/>
      <c r="H385" s="282"/>
      <c r="I385" s="283"/>
      <c r="J385" s="280"/>
      <c r="K385" s="103"/>
      <c r="L385" s="146"/>
      <c r="M385" s="103"/>
      <c r="N385" s="103"/>
      <c r="O385" s="103">
        <f t="shared" si="3"/>
        <v>0</v>
      </c>
      <c r="P385" s="104">
        <f t="shared" si="4"/>
        <v>0</v>
      </c>
      <c r="Q385" s="147"/>
      <c r="R385" s="103"/>
      <c r="S385" s="103">
        <f t="shared" si="6"/>
        <v>0</v>
      </c>
      <c r="U385" s="107" t="str">
        <f t="shared" si="7"/>
        <v>0</v>
      </c>
    </row>
    <row r="386" ht="15.75" customHeight="1">
      <c r="A386" s="279"/>
      <c r="B386" s="280"/>
      <c r="C386" s="280"/>
      <c r="D386" s="280"/>
      <c r="E386" s="281"/>
      <c r="F386" s="281"/>
      <c r="G386" s="280"/>
      <c r="H386" s="282"/>
      <c r="I386" s="283"/>
      <c r="J386" s="280"/>
      <c r="K386" s="103"/>
      <c r="L386" s="146"/>
      <c r="M386" s="103"/>
      <c r="N386" s="103"/>
      <c r="O386" s="103">
        <f t="shared" si="3"/>
        <v>0</v>
      </c>
      <c r="P386" s="104">
        <f t="shared" si="4"/>
        <v>0</v>
      </c>
      <c r="Q386" s="147"/>
      <c r="R386" s="103"/>
      <c r="S386" s="103">
        <f t="shared" si="6"/>
        <v>0</v>
      </c>
      <c r="U386" s="107" t="str">
        <f t="shared" si="7"/>
        <v>0</v>
      </c>
    </row>
    <row r="387" ht="15.75" customHeight="1">
      <c r="A387" s="279"/>
      <c r="B387" s="280"/>
      <c r="C387" s="280"/>
      <c r="D387" s="280"/>
      <c r="E387" s="281"/>
      <c r="F387" s="281"/>
      <c r="G387" s="280"/>
      <c r="H387" s="282"/>
      <c r="I387" s="283"/>
      <c r="J387" s="280"/>
      <c r="K387" s="103"/>
      <c r="L387" s="146"/>
      <c r="M387" s="103"/>
      <c r="N387" s="103"/>
      <c r="O387" s="103">
        <f t="shared" si="3"/>
        <v>0</v>
      </c>
      <c r="P387" s="104">
        <f t="shared" si="4"/>
        <v>0</v>
      </c>
      <c r="Q387" s="147"/>
      <c r="R387" s="103"/>
      <c r="S387" s="103">
        <f t="shared" si="6"/>
        <v>0</v>
      </c>
      <c r="U387" s="107" t="str">
        <f t="shared" si="7"/>
        <v>0</v>
      </c>
    </row>
    <row r="388" ht="15.75" customHeight="1">
      <c r="A388" s="279"/>
      <c r="B388" s="280"/>
      <c r="C388" s="280"/>
      <c r="D388" s="280"/>
      <c r="E388" s="281"/>
      <c r="F388" s="281"/>
      <c r="G388" s="280"/>
      <c r="H388" s="282"/>
      <c r="I388" s="283"/>
      <c r="J388" s="280"/>
      <c r="K388" s="103"/>
      <c r="L388" s="146"/>
      <c r="M388" s="103"/>
      <c r="N388" s="103"/>
      <c r="O388" s="103">
        <f t="shared" si="3"/>
        <v>0</v>
      </c>
      <c r="P388" s="104">
        <f t="shared" si="4"/>
        <v>0</v>
      </c>
      <c r="Q388" s="147"/>
      <c r="R388" s="103"/>
      <c r="S388" s="103">
        <f t="shared" si="6"/>
        <v>0</v>
      </c>
      <c r="U388" s="107" t="str">
        <f t="shared" si="7"/>
        <v>0</v>
      </c>
    </row>
    <row r="389" ht="15.75" customHeight="1">
      <c r="A389" s="279"/>
      <c r="B389" s="280"/>
      <c r="C389" s="280"/>
      <c r="D389" s="280"/>
      <c r="E389" s="281"/>
      <c r="F389" s="281"/>
      <c r="G389" s="280"/>
      <c r="H389" s="282"/>
      <c r="I389" s="283"/>
      <c r="J389" s="280"/>
      <c r="K389" s="103"/>
      <c r="L389" s="146"/>
      <c r="M389" s="103"/>
      <c r="N389" s="103"/>
      <c r="O389" s="103">
        <f t="shared" si="3"/>
        <v>0</v>
      </c>
      <c r="P389" s="104">
        <f t="shared" si="4"/>
        <v>0</v>
      </c>
      <c r="Q389" s="147"/>
      <c r="R389" s="103"/>
      <c r="S389" s="103">
        <f t="shared" si="6"/>
        <v>0</v>
      </c>
      <c r="U389" s="107" t="str">
        <f t="shared" si="7"/>
        <v>0</v>
      </c>
    </row>
    <row r="390" ht="15.75" customHeight="1">
      <c r="A390" s="279"/>
      <c r="B390" s="280"/>
      <c r="C390" s="280"/>
      <c r="D390" s="280"/>
      <c r="E390" s="281"/>
      <c r="F390" s="281"/>
      <c r="G390" s="280"/>
      <c r="H390" s="282"/>
      <c r="I390" s="283"/>
      <c r="J390" s="280"/>
      <c r="K390" s="103"/>
      <c r="L390" s="146"/>
      <c r="M390" s="103"/>
      <c r="N390" s="103"/>
      <c r="O390" s="103">
        <f t="shared" si="3"/>
        <v>0</v>
      </c>
      <c r="P390" s="104">
        <f t="shared" si="4"/>
        <v>0</v>
      </c>
      <c r="Q390" s="147"/>
      <c r="R390" s="103"/>
      <c r="S390" s="103">
        <f t="shared" si="6"/>
        <v>0</v>
      </c>
      <c r="U390" s="107" t="str">
        <f t="shared" si="7"/>
        <v>0</v>
      </c>
    </row>
    <row r="391" ht="15.75" customHeight="1">
      <c r="A391" s="279"/>
      <c r="B391" s="280"/>
      <c r="C391" s="280"/>
      <c r="D391" s="280"/>
      <c r="E391" s="281"/>
      <c r="F391" s="281"/>
      <c r="G391" s="280"/>
      <c r="H391" s="282"/>
      <c r="I391" s="283"/>
      <c r="J391" s="280"/>
      <c r="K391" s="103"/>
      <c r="L391" s="146"/>
      <c r="M391" s="103"/>
      <c r="N391" s="103"/>
      <c r="O391" s="103">
        <f t="shared" si="3"/>
        <v>0</v>
      </c>
      <c r="P391" s="104">
        <f t="shared" si="4"/>
        <v>0</v>
      </c>
      <c r="Q391" s="147"/>
      <c r="R391" s="103"/>
      <c r="S391" s="103">
        <f t="shared" si="6"/>
        <v>0</v>
      </c>
      <c r="U391" s="107" t="str">
        <f t="shared" si="7"/>
        <v>0</v>
      </c>
    </row>
    <row r="392" ht="15.75" customHeight="1">
      <c r="A392" s="279"/>
      <c r="B392" s="280"/>
      <c r="C392" s="280"/>
      <c r="D392" s="280"/>
      <c r="E392" s="281"/>
      <c r="F392" s="281"/>
      <c r="G392" s="280"/>
      <c r="H392" s="282"/>
      <c r="I392" s="283"/>
      <c r="J392" s="280"/>
      <c r="K392" s="103"/>
      <c r="L392" s="146"/>
      <c r="M392" s="103"/>
      <c r="N392" s="103"/>
      <c r="O392" s="103">
        <f t="shared" si="3"/>
        <v>0</v>
      </c>
      <c r="P392" s="104">
        <f t="shared" si="4"/>
        <v>0</v>
      </c>
      <c r="Q392" s="147"/>
      <c r="R392" s="103"/>
      <c r="S392" s="103">
        <f t="shared" si="6"/>
        <v>0</v>
      </c>
      <c r="U392" s="107" t="str">
        <f t="shared" si="7"/>
        <v>0</v>
      </c>
    </row>
    <row r="393" ht="15.75" customHeight="1">
      <c r="A393" s="279"/>
      <c r="B393" s="280"/>
      <c r="C393" s="280"/>
      <c r="D393" s="280"/>
      <c r="E393" s="281"/>
      <c r="F393" s="281"/>
      <c r="G393" s="280"/>
      <c r="H393" s="282"/>
      <c r="I393" s="283"/>
      <c r="J393" s="280"/>
      <c r="K393" s="103"/>
      <c r="L393" s="146"/>
      <c r="M393" s="103"/>
      <c r="N393" s="103"/>
      <c r="O393" s="103">
        <f t="shared" si="3"/>
        <v>0</v>
      </c>
      <c r="P393" s="104">
        <f t="shared" si="4"/>
        <v>0</v>
      </c>
      <c r="Q393" s="147"/>
      <c r="R393" s="103"/>
      <c r="S393" s="103">
        <f t="shared" si="6"/>
        <v>0</v>
      </c>
      <c r="U393" s="107" t="str">
        <f t="shared" si="7"/>
        <v>0</v>
      </c>
    </row>
    <row r="394" ht="15.75" customHeight="1">
      <c r="A394" s="279"/>
      <c r="B394" s="280"/>
      <c r="C394" s="280"/>
      <c r="D394" s="280"/>
      <c r="E394" s="281"/>
      <c r="F394" s="281"/>
      <c r="G394" s="280"/>
      <c r="H394" s="282"/>
      <c r="I394" s="283"/>
      <c r="J394" s="280"/>
      <c r="K394" s="103"/>
      <c r="L394" s="146"/>
      <c r="M394" s="103"/>
      <c r="N394" s="103"/>
      <c r="O394" s="103">
        <f t="shared" si="3"/>
        <v>0</v>
      </c>
      <c r="P394" s="104">
        <f t="shared" si="4"/>
        <v>0</v>
      </c>
      <c r="Q394" s="147"/>
      <c r="R394" s="103"/>
      <c r="S394" s="103">
        <f t="shared" si="6"/>
        <v>0</v>
      </c>
      <c r="U394" s="107" t="str">
        <f t="shared" si="7"/>
        <v>0</v>
      </c>
    </row>
    <row r="395" ht="15.75" customHeight="1">
      <c r="A395" s="279"/>
      <c r="B395" s="280"/>
      <c r="C395" s="280"/>
      <c r="D395" s="280"/>
      <c r="E395" s="281"/>
      <c r="F395" s="281"/>
      <c r="G395" s="280"/>
      <c r="H395" s="282"/>
      <c r="I395" s="283"/>
      <c r="J395" s="280"/>
      <c r="K395" s="103"/>
      <c r="L395" s="146"/>
      <c r="M395" s="103"/>
      <c r="N395" s="103"/>
      <c r="O395" s="103">
        <f t="shared" si="3"/>
        <v>0</v>
      </c>
      <c r="P395" s="104">
        <f t="shared" si="4"/>
        <v>0</v>
      </c>
      <c r="Q395" s="147"/>
      <c r="R395" s="103"/>
      <c r="S395" s="103">
        <f t="shared" si="6"/>
        <v>0</v>
      </c>
      <c r="U395" s="107" t="str">
        <f t="shared" si="7"/>
        <v>0</v>
      </c>
    </row>
    <row r="396" ht="15.75" customHeight="1">
      <c r="A396" s="279"/>
      <c r="B396" s="280"/>
      <c r="C396" s="280"/>
      <c r="D396" s="280"/>
      <c r="E396" s="281"/>
      <c r="F396" s="281"/>
      <c r="G396" s="280"/>
      <c r="H396" s="282"/>
      <c r="I396" s="283"/>
      <c r="J396" s="280"/>
      <c r="K396" s="103"/>
      <c r="L396" s="146"/>
      <c r="M396" s="103"/>
      <c r="N396" s="103"/>
      <c r="O396" s="103">
        <f t="shared" si="3"/>
        <v>0</v>
      </c>
      <c r="P396" s="104">
        <f t="shared" si="4"/>
        <v>0</v>
      </c>
      <c r="Q396" s="147"/>
      <c r="R396" s="103"/>
      <c r="S396" s="103">
        <f t="shared" si="6"/>
        <v>0</v>
      </c>
      <c r="U396" s="107" t="str">
        <f t="shared" si="7"/>
        <v>0</v>
      </c>
    </row>
    <row r="397" ht="15.75" customHeight="1">
      <c r="A397" s="279"/>
      <c r="B397" s="280"/>
      <c r="C397" s="280"/>
      <c r="D397" s="280"/>
      <c r="E397" s="281"/>
      <c r="F397" s="281"/>
      <c r="G397" s="280"/>
      <c r="H397" s="282"/>
      <c r="I397" s="283"/>
      <c r="J397" s="280"/>
      <c r="K397" s="103"/>
      <c r="L397" s="146"/>
      <c r="M397" s="103"/>
      <c r="N397" s="103"/>
      <c r="O397" s="103">
        <f t="shared" si="3"/>
        <v>0</v>
      </c>
      <c r="P397" s="104">
        <f t="shared" si="4"/>
        <v>0</v>
      </c>
      <c r="Q397" s="147"/>
      <c r="R397" s="103"/>
      <c r="S397" s="103">
        <f t="shared" si="6"/>
        <v>0</v>
      </c>
      <c r="U397" s="107" t="str">
        <f t="shared" si="7"/>
        <v>0</v>
      </c>
    </row>
    <row r="398" ht="15.75" customHeight="1">
      <c r="A398" s="279"/>
      <c r="B398" s="280"/>
      <c r="C398" s="280"/>
      <c r="D398" s="280"/>
      <c r="E398" s="281"/>
      <c r="F398" s="281"/>
      <c r="G398" s="280"/>
      <c r="H398" s="282"/>
      <c r="I398" s="283"/>
      <c r="J398" s="280"/>
      <c r="K398" s="103"/>
      <c r="L398" s="146"/>
      <c r="M398" s="103"/>
      <c r="N398" s="103"/>
      <c r="O398" s="103">
        <f t="shared" si="3"/>
        <v>0</v>
      </c>
      <c r="P398" s="104">
        <f t="shared" si="4"/>
        <v>0</v>
      </c>
      <c r="Q398" s="147"/>
      <c r="R398" s="103"/>
      <c r="S398" s="103">
        <f t="shared" si="6"/>
        <v>0</v>
      </c>
      <c r="U398" s="107" t="str">
        <f t="shared" si="7"/>
        <v>0</v>
      </c>
    </row>
    <row r="399" ht="15.75" customHeight="1">
      <c r="A399" s="279"/>
      <c r="B399" s="280"/>
      <c r="C399" s="280"/>
      <c r="D399" s="280"/>
      <c r="E399" s="281"/>
      <c r="F399" s="281"/>
      <c r="G399" s="280"/>
      <c r="H399" s="282"/>
      <c r="I399" s="283"/>
      <c r="J399" s="280"/>
      <c r="K399" s="103"/>
      <c r="L399" s="146"/>
      <c r="M399" s="103"/>
      <c r="N399" s="103"/>
      <c r="O399" s="103">
        <f t="shared" si="3"/>
        <v>0</v>
      </c>
      <c r="P399" s="104">
        <f t="shared" si="4"/>
        <v>0</v>
      </c>
      <c r="Q399" s="147"/>
      <c r="R399" s="103"/>
      <c r="S399" s="103">
        <f t="shared" si="6"/>
        <v>0</v>
      </c>
      <c r="U399" s="107" t="str">
        <f t="shared" si="7"/>
        <v>0</v>
      </c>
    </row>
    <row r="400" ht="15.75" customHeight="1">
      <c r="A400" s="279"/>
      <c r="B400" s="280"/>
      <c r="C400" s="280"/>
      <c r="D400" s="280"/>
      <c r="E400" s="281"/>
      <c r="F400" s="281"/>
      <c r="G400" s="280"/>
      <c r="H400" s="282"/>
      <c r="I400" s="283"/>
      <c r="J400" s="280"/>
      <c r="K400" s="103"/>
      <c r="L400" s="146"/>
      <c r="M400" s="103"/>
      <c r="N400" s="103"/>
      <c r="O400" s="103">
        <f t="shared" si="3"/>
        <v>0</v>
      </c>
      <c r="P400" s="104">
        <f t="shared" si="4"/>
        <v>0</v>
      </c>
      <c r="Q400" s="147"/>
      <c r="R400" s="103"/>
      <c r="S400" s="103">
        <f t="shared" si="6"/>
        <v>0</v>
      </c>
      <c r="U400" s="107" t="str">
        <f t="shared" si="7"/>
        <v>0</v>
      </c>
    </row>
    <row r="401" ht="15.75" customHeight="1">
      <c r="A401" s="279"/>
      <c r="B401" s="280"/>
      <c r="C401" s="280"/>
      <c r="D401" s="280"/>
      <c r="E401" s="281"/>
      <c r="F401" s="281"/>
      <c r="G401" s="280"/>
      <c r="H401" s="282"/>
      <c r="I401" s="283"/>
      <c r="J401" s="280"/>
      <c r="K401" s="103"/>
      <c r="L401" s="146"/>
      <c r="M401" s="103"/>
      <c r="N401" s="103"/>
      <c r="O401" s="103">
        <f t="shared" si="3"/>
        <v>0</v>
      </c>
      <c r="P401" s="104">
        <f t="shared" si="4"/>
        <v>0</v>
      </c>
      <c r="Q401" s="147"/>
      <c r="R401" s="103"/>
      <c r="S401" s="103">
        <f t="shared" si="6"/>
        <v>0</v>
      </c>
      <c r="U401" s="107" t="str">
        <f t="shared" si="7"/>
        <v>0</v>
      </c>
    </row>
    <row r="402" ht="15.75" customHeight="1">
      <c r="A402" s="279"/>
      <c r="B402" s="280"/>
      <c r="C402" s="280"/>
      <c r="D402" s="280"/>
      <c r="E402" s="281"/>
      <c r="F402" s="281"/>
      <c r="G402" s="280"/>
      <c r="H402" s="282"/>
      <c r="I402" s="283"/>
      <c r="J402" s="280"/>
      <c r="K402" s="103"/>
      <c r="L402" s="146"/>
      <c r="M402" s="103"/>
      <c r="N402" s="103"/>
      <c r="O402" s="103">
        <f t="shared" si="3"/>
        <v>0</v>
      </c>
      <c r="P402" s="104">
        <f t="shared" si="4"/>
        <v>0</v>
      </c>
      <c r="Q402" s="147"/>
      <c r="R402" s="103"/>
      <c r="S402" s="103">
        <f t="shared" si="6"/>
        <v>0</v>
      </c>
      <c r="U402" s="107" t="str">
        <f t="shared" si="7"/>
        <v>0</v>
      </c>
    </row>
    <row r="403" ht="15.75" customHeight="1">
      <c r="A403" s="279"/>
      <c r="B403" s="280"/>
      <c r="C403" s="280"/>
      <c r="D403" s="280"/>
      <c r="E403" s="281"/>
      <c r="F403" s="281"/>
      <c r="G403" s="280"/>
      <c r="H403" s="282"/>
      <c r="I403" s="283"/>
      <c r="J403" s="280"/>
      <c r="K403" s="103"/>
      <c r="L403" s="146"/>
      <c r="M403" s="103"/>
      <c r="N403" s="103"/>
      <c r="O403" s="103">
        <f t="shared" si="3"/>
        <v>0</v>
      </c>
      <c r="P403" s="104">
        <f t="shared" si="4"/>
        <v>0</v>
      </c>
      <c r="Q403" s="147"/>
      <c r="R403" s="103"/>
      <c r="S403" s="103">
        <f t="shared" si="6"/>
        <v>0</v>
      </c>
      <c r="U403" s="107" t="str">
        <f t="shared" si="7"/>
        <v>0</v>
      </c>
    </row>
    <row r="404" ht="15.75" customHeight="1">
      <c r="A404" s="279"/>
      <c r="B404" s="280"/>
      <c r="C404" s="280"/>
      <c r="D404" s="280"/>
      <c r="E404" s="281"/>
      <c r="F404" s="281"/>
      <c r="G404" s="280"/>
      <c r="H404" s="282"/>
      <c r="I404" s="283"/>
      <c r="J404" s="280"/>
      <c r="K404" s="103"/>
      <c r="L404" s="146"/>
      <c r="M404" s="103"/>
      <c r="N404" s="103"/>
      <c r="O404" s="103">
        <f t="shared" si="3"/>
        <v>0</v>
      </c>
      <c r="P404" s="104">
        <f t="shared" si="4"/>
        <v>0</v>
      </c>
      <c r="Q404" s="147"/>
      <c r="R404" s="103"/>
      <c r="S404" s="103">
        <f t="shared" si="6"/>
        <v>0</v>
      </c>
      <c r="U404" s="107" t="str">
        <f t="shared" si="7"/>
        <v>0</v>
      </c>
    </row>
    <row r="405" ht="15.75" customHeight="1">
      <c r="A405" s="279"/>
      <c r="B405" s="280"/>
      <c r="C405" s="280"/>
      <c r="D405" s="280"/>
      <c r="E405" s="281"/>
      <c r="F405" s="281"/>
      <c r="G405" s="280"/>
      <c r="H405" s="282"/>
      <c r="I405" s="283"/>
      <c r="J405" s="280"/>
      <c r="K405" s="103"/>
      <c r="L405" s="146"/>
      <c r="M405" s="103"/>
      <c r="N405" s="103"/>
      <c r="O405" s="103">
        <f t="shared" si="3"/>
        <v>0</v>
      </c>
      <c r="P405" s="104">
        <f t="shared" si="4"/>
        <v>0</v>
      </c>
      <c r="Q405" s="147"/>
      <c r="R405" s="103"/>
      <c r="S405" s="103">
        <f t="shared" si="6"/>
        <v>0</v>
      </c>
      <c r="U405" s="107" t="str">
        <f t="shared" si="7"/>
        <v>0</v>
      </c>
    </row>
    <row r="406" ht="15.75" customHeight="1">
      <c r="A406" s="279"/>
      <c r="B406" s="280"/>
      <c r="C406" s="280"/>
      <c r="D406" s="280"/>
      <c r="E406" s="281"/>
      <c r="F406" s="281"/>
      <c r="G406" s="280"/>
      <c r="H406" s="282"/>
      <c r="I406" s="283"/>
      <c r="J406" s="280"/>
      <c r="K406" s="103"/>
      <c r="L406" s="146"/>
      <c r="M406" s="103"/>
      <c r="N406" s="103"/>
      <c r="O406" s="103">
        <f t="shared" si="3"/>
        <v>0</v>
      </c>
      <c r="P406" s="104">
        <f t="shared" si="4"/>
        <v>0</v>
      </c>
      <c r="Q406" s="147"/>
      <c r="R406" s="103"/>
      <c r="S406" s="103">
        <f t="shared" si="6"/>
        <v>0</v>
      </c>
      <c r="U406" s="107" t="str">
        <f t="shared" si="7"/>
        <v>0</v>
      </c>
    </row>
    <row r="407" ht="15.75" customHeight="1">
      <c r="A407" s="279"/>
      <c r="B407" s="280"/>
      <c r="C407" s="280"/>
      <c r="D407" s="280"/>
      <c r="E407" s="281"/>
      <c r="F407" s="281"/>
      <c r="G407" s="280"/>
      <c r="H407" s="282"/>
      <c r="I407" s="283"/>
      <c r="J407" s="280"/>
      <c r="K407" s="103"/>
      <c r="L407" s="146"/>
      <c r="M407" s="103"/>
      <c r="N407" s="103"/>
      <c r="O407" s="103">
        <f t="shared" si="3"/>
        <v>0</v>
      </c>
      <c r="P407" s="104">
        <f t="shared" si="4"/>
        <v>0</v>
      </c>
      <c r="Q407" s="147"/>
      <c r="R407" s="103"/>
      <c r="S407" s="103">
        <f t="shared" si="6"/>
        <v>0</v>
      </c>
      <c r="U407" s="107" t="str">
        <f t="shared" si="7"/>
        <v>0</v>
      </c>
    </row>
    <row r="408" ht="15.75" customHeight="1">
      <c r="A408" s="279"/>
      <c r="B408" s="280"/>
      <c r="C408" s="280"/>
      <c r="D408" s="280"/>
      <c r="E408" s="281"/>
      <c r="F408" s="281"/>
      <c r="G408" s="280"/>
      <c r="H408" s="282"/>
      <c r="I408" s="283"/>
      <c r="J408" s="280"/>
      <c r="K408" s="103"/>
      <c r="L408" s="146"/>
      <c r="M408" s="103"/>
      <c r="N408" s="103"/>
      <c r="O408" s="103">
        <f t="shared" si="3"/>
        <v>0</v>
      </c>
      <c r="P408" s="104">
        <f t="shared" si="4"/>
        <v>0</v>
      </c>
      <c r="Q408" s="147"/>
      <c r="R408" s="103"/>
      <c r="S408" s="103">
        <f t="shared" si="6"/>
        <v>0</v>
      </c>
      <c r="U408" s="107" t="str">
        <f t="shared" si="7"/>
        <v>0</v>
      </c>
    </row>
    <row r="409" ht="15.75" customHeight="1">
      <c r="A409" s="279"/>
      <c r="B409" s="280"/>
      <c r="C409" s="280"/>
      <c r="D409" s="280"/>
      <c r="E409" s="281"/>
      <c r="F409" s="281"/>
      <c r="G409" s="280"/>
      <c r="H409" s="282"/>
      <c r="I409" s="283"/>
      <c r="J409" s="280"/>
      <c r="K409" s="103"/>
      <c r="L409" s="146"/>
      <c r="M409" s="103"/>
      <c r="N409" s="103"/>
      <c r="O409" s="103">
        <f t="shared" si="3"/>
        <v>0</v>
      </c>
      <c r="P409" s="104">
        <f t="shared" si="4"/>
        <v>0</v>
      </c>
      <c r="Q409" s="147"/>
      <c r="R409" s="103"/>
      <c r="S409" s="103">
        <f t="shared" si="6"/>
        <v>0</v>
      </c>
      <c r="U409" s="107" t="str">
        <f t="shared" si="7"/>
        <v>0</v>
      </c>
    </row>
    <row r="410" ht="15.75" customHeight="1">
      <c r="A410" s="279"/>
      <c r="B410" s="280"/>
      <c r="C410" s="280"/>
      <c r="D410" s="280"/>
      <c r="E410" s="281"/>
      <c r="F410" s="281"/>
      <c r="G410" s="280"/>
      <c r="H410" s="282"/>
      <c r="I410" s="283"/>
      <c r="J410" s="280"/>
      <c r="K410" s="103"/>
      <c r="L410" s="146"/>
      <c r="M410" s="103"/>
      <c r="N410" s="103"/>
      <c r="O410" s="103">
        <f t="shared" si="3"/>
        <v>0</v>
      </c>
      <c r="P410" s="104">
        <f t="shared" si="4"/>
        <v>0</v>
      </c>
      <c r="Q410" s="147"/>
      <c r="R410" s="103"/>
      <c r="S410" s="103">
        <f t="shared" si="6"/>
        <v>0</v>
      </c>
      <c r="U410" s="107" t="str">
        <f t="shared" si="7"/>
        <v>0</v>
      </c>
    </row>
    <row r="411" ht="15.75" customHeight="1">
      <c r="A411" s="279"/>
      <c r="B411" s="280"/>
      <c r="C411" s="280"/>
      <c r="D411" s="280"/>
      <c r="E411" s="281"/>
      <c r="F411" s="281"/>
      <c r="G411" s="280"/>
      <c r="H411" s="282"/>
      <c r="I411" s="283"/>
      <c r="J411" s="280"/>
      <c r="K411" s="103"/>
      <c r="L411" s="146"/>
      <c r="M411" s="103"/>
      <c r="N411" s="103"/>
      <c r="O411" s="103">
        <f t="shared" si="3"/>
        <v>0</v>
      </c>
      <c r="P411" s="104">
        <f t="shared" si="4"/>
        <v>0</v>
      </c>
      <c r="Q411" s="147"/>
      <c r="R411" s="103"/>
      <c r="S411" s="103">
        <f t="shared" si="6"/>
        <v>0</v>
      </c>
      <c r="U411" s="107" t="str">
        <f t="shared" si="7"/>
        <v>0</v>
      </c>
    </row>
    <row r="412" ht="15.75" customHeight="1">
      <c r="A412" s="279"/>
      <c r="B412" s="280"/>
      <c r="C412" s="280"/>
      <c r="D412" s="280"/>
      <c r="E412" s="281"/>
      <c r="F412" s="281"/>
      <c r="G412" s="280"/>
      <c r="H412" s="282"/>
      <c r="I412" s="283"/>
      <c r="J412" s="280"/>
      <c r="K412" s="103"/>
      <c r="L412" s="146"/>
      <c r="M412" s="103"/>
      <c r="N412" s="103"/>
      <c r="O412" s="103">
        <f t="shared" si="3"/>
        <v>0</v>
      </c>
      <c r="P412" s="104">
        <f t="shared" si="4"/>
        <v>0</v>
      </c>
      <c r="Q412" s="147"/>
      <c r="R412" s="103"/>
      <c r="S412" s="103">
        <f t="shared" si="6"/>
        <v>0</v>
      </c>
      <c r="U412" s="107" t="str">
        <f t="shared" si="7"/>
        <v>0</v>
      </c>
    </row>
    <row r="413" ht="15.75" customHeight="1">
      <c r="A413" s="279"/>
      <c r="B413" s="280"/>
      <c r="C413" s="280"/>
      <c r="D413" s="280"/>
      <c r="E413" s="281"/>
      <c r="F413" s="281"/>
      <c r="G413" s="280"/>
      <c r="H413" s="282"/>
      <c r="I413" s="283"/>
      <c r="J413" s="280"/>
      <c r="K413" s="103"/>
      <c r="L413" s="146"/>
      <c r="M413" s="103"/>
      <c r="N413" s="103"/>
      <c r="O413" s="103">
        <f t="shared" si="3"/>
        <v>0</v>
      </c>
      <c r="P413" s="104">
        <f t="shared" si="4"/>
        <v>0</v>
      </c>
      <c r="Q413" s="147"/>
      <c r="R413" s="103"/>
      <c r="S413" s="103">
        <f t="shared" si="6"/>
        <v>0</v>
      </c>
      <c r="U413" s="107" t="str">
        <f t="shared" si="7"/>
        <v>0</v>
      </c>
    </row>
    <row r="414" ht="15.75" customHeight="1">
      <c r="A414" s="279"/>
      <c r="B414" s="280"/>
      <c r="C414" s="280"/>
      <c r="D414" s="280"/>
      <c r="E414" s="281"/>
      <c r="F414" s="281"/>
      <c r="G414" s="280"/>
      <c r="H414" s="282"/>
      <c r="I414" s="283"/>
      <c r="J414" s="280"/>
      <c r="K414" s="103"/>
      <c r="L414" s="146"/>
      <c r="M414" s="103"/>
      <c r="N414" s="103"/>
      <c r="O414" s="103">
        <f t="shared" si="3"/>
        <v>0</v>
      </c>
      <c r="P414" s="104">
        <f t="shared" si="4"/>
        <v>0</v>
      </c>
      <c r="Q414" s="147"/>
      <c r="R414" s="103"/>
      <c r="S414" s="103">
        <f t="shared" si="6"/>
        <v>0</v>
      </c>
      <c r="U414" s="107" t="str">
        <f t="shared" si="7"/>
        <v>0</v>
      </c>
    </row>
    <row r="415" ht="15.75" customHeight="1">
      <c r="A415" s="279"/>
      <c r="B415" s="280"/>
      <c r="C415" s="280"/>
      <c r="D415" s="280"/>
      <c r="E415" s="281"/>
      <c r="F415" s="281"/>
      <c r="G415" s="280"/>
      <c r="H415" s="282"/>
      <c r="I415" s="283"/>
      <c r="J415" s="280"/>
      <c r="K415" s="103"/>
      <c r="L415" s="146"/>
      <c r="M415" s="103"/>
      <c r="N415" s="103"/>
      <c r="O415" s="103">
        <f t="shared" si="3"/>
        <v>0</v>
      </c>
      <c r="P415" s="104">
        <f t="shared" si="4"/>
        <v>0</v>
      </c>
      <c r="Q415" s="147"/>
      <c r="R415" s="103"/>
      <c r="S415" s="103">
        <f t="shared" si="6"/>
        <v>0</v>
      </c>
      <c r="U415" s="107" t="str">
        <f t="shared" si="7"/>
        <v>0</v>
      </c>
    </row>
    <row r="416" ht="15.75" customHeight="1">
      <c r="A416" s="279"/>
      <c r="B416" s="280"/>
      <c r="C416" s="280"/>
      <c r="D416" s="280"/>
      <c r="E416" s="281"/>
      <c r="F416" s="281"/>
      <c r="G416" s="280"/>
      <c r="H416" s="282"/>
      <c r="I416" s="283"/>
      <c r="J416" s="280"/>
      <c r="K416" s="103"/>
      <c r="L416" s="146"/>
      <c r="M416" s="103"/>
      <c r="N416" s="103"/>
      <c r="O416" s="103">
        <f t="shared" si="3"/>
        <v>0</v>
      </c>
      <c r="P416" s="104">
        <f t="shared" si="4"/>
        <v>0</v>
      </c>
      <c r="Q416" s="147"/>
      <c r="R416" s="103"/>
      <c r="S416" s="103">
        <f t="shared" si="6"/>
        <v>0</v>
      </c>
      <c r="U416" s="107" t="str">
        <f t="shared" si="7"/>
        <v>0</v>
      </c>
    </row>
    <row r="417" ht="15.75" customHeight="1">
      <c r="A417" s="279"/>
      <c r="B417" s="280"/>
      <c r="C417" s="280"/>
      <c r="D417" s="280"/>
      <c r="E417" s="281"/>
      <c r="F417" s="281"/>
      <c r="G417" s="280"/>
      <c r="H417" s="282"/>
      <c r="I417" s="283"/>
      <c r="J417" s="280"/>
      <c r="K417" s="103"/>
      <c r="L417" s="146"/>
      <c r="M417" s="103"/>
      <c r="N417" s="103"/>
      <c r="O417" s="103">
        <f t="shared" si="3"/>
        <v>0</v>
      </c>
      <c r="P417" s="104">
        <f t="shared" si="4"/>
        <v>0</v>
      </c>
      <c r="Q417" s="147"/>
      <c r="R417" s="103"/>
      <c r="S417" s="103">
        <f t="shared" si="6"/>
        <v>0</v>
      </c>
      <c r="U417" s="107" t="str">
        <f t="shared" si="7"/>
        <v>0</v>
      </c>
    </row>
    <row r="418" ht="15.75" customHeight="1">
      <c r="A418" s="279"/>
      <c r="B418" s="280"/>
      <c r="C418" s="280"/>
      <c r="D418" s="280"/>
      <c r="E418" s="281"/>
      <c r="F418" s="281"/>
      <c r="G418" s="280"/>
      <c r="H418" s="282"/>
      <c r="I418" s="283"/>
      <c r="J418" s="280"/>
      <c r="K418" s="103"/>
      <c r="L418" s="146"/>
      <c r="M418" s="103"/>
      <c r="N418" s="103"/>
      <c r="O418" s="103">
        <f t="shared" si="3"/>
        <v>0</v>
      </c>
      <c r="P418" s="104">
        <f t="shared" si="4"/>
        <v>0</v>
      </c>
      <c r="Q418" s="147"/>
      <c r="R418" s="103"/>
      <c r="S418" s="103">
        <f t="shared" si="6"/>
        <v>0</v>
      </c>
      <c r="U418" s="107" t="str">
        <f t="shared" si="7"/>
        <v>0</v>
      </c>
    </row>
    <row r="419" ht="15.75" customHeight="1">
      <c r="A419" s="279"/>
      <c r="B419" s="280"/>
      <c r="C419" s="280"/>
      <c r="D419" s="280"/>
      <c r="E419" s="281"/>
      <c r="F419" s="281"/>
      <c r="G419" s="280"/>
      <c r="H419" s="282"/>
      <c r="I419" s="283"/>
      <c r="J419" s="280"/>
      <c r="K419" s="103"/>
      <c r="L419" s="146"/>
      <c r="M419" s="103"/>
      <c r="N419" s="103"/>
      <c r="O419" s="103">
        <f t="shared" si="3"/>
        <v>0</v>
      </c>
      <c r="P419" s="104">
        <f t="shared" si="4"/>
        <v>0</v>
      </c>
      <c r="Q419" s="147"/>
      <c r="R419" s="103"/>
      <c r="S419" s="103">
        <f t="shared" si="6"/>
        <v>0</v>
      </c>
      <c r="U419" s="107" t="str">
        <f t="shared" si="7"/>
        <v>0</v>
      </c>
    </row>
    <row r="420" ht="15.75" customHeight="1">
      <c r="A420" s="279"/>
      <c r="B420" s="280"/>
      <c r="C420" s="280"/>
      <c r="D420" s="280"/>
      <c r="E420" s="281"/>
      <c r="F420" s="281"/>
      <c r="G420" s="280"/>
      <c r="H420" s="282"/>
      <c r="I420" s="283"/>
      <c r="J420" s="280"/>
      <c r="K420" s="103"/>
      <c r="L420" s="146"/>
      <c r="M420" s="103"/>
      <c r="N420" s="103"/>
      <c r="O420" s="103">
        <f t="shared" si="3"/>
        <v>0</v>
      </c>
      <c r="P420" s="104">
        <f t="shared" si="4"/>
        <v>0</v>
      </c>
      <c r="Q420" s="147"/>
      <c r="R420" s="103"/>
      <c r="S420" s="103">
        <f t="shared" si="6"/>
        <v>0</v>
      </c>
      <c r="U420" s="107" t="str">
        <f t="shared" si="7"/>
        <v>0</v>
      </c>
    </row>
    <row r="421" ht="15.75" customHeight="1">
      <c r="A421" s="279"/>
      <c r="B421" s="280"/>
      <c r="C421" s="280"/>
      <c r="D421" s="280"/>
      <c r="E421" s="281"/>
      <c r="F421" s="281"/>
      <c r="G421" s="280"/>
      <c r="H421" s="282"/>
      <c r="I421" s="283"/>
      <c r="J421" s="280"/>
      <c r="K421" s="103"/>
      <c r="L421" s="146"/>
      <c r="M421" s="103"/>
      <c r="N421" s="103"/>
      <c r="O421" s="103">
        <f t="shared" si="3"/>
        <v>0</v>
      </c>
      <c r="P421" s="104">
        <f t="shared" si="4"/>
        <v>0</v>
      </c>
      <c r="Q421" s="147"/>
      <c r="R421" s="103"/>
      <c r="S421" s="103">
        <f t="shared" si="6"/>
        <v>0</v>
      </c>
      <c r="U421" s="107" t="str">
        <f t="shared" si="7"/>
        <v>0</v>
      </c>
    </row>
    <row r="422" ht="15.75" customHeight="1">
      <c r="A422" s="279"/>
      <c r="B422" s="280"/>
      <c r="C422" s="280"/>
      <c r="D422" s="280"/>
      <c r="E422" s="281"/>
      <c r="F422" s="281"/>
      <c r="G422" s="280"/>
      <c r="H422" s="282"/>
      <c r="I422" s="283"/>
      <c r="J422" s="280"/>
      <c r="K422" s="103"/>
      <c r="L422" s="146"/>
      <c r="M422" s="103"/>
      <c r="N422" s="103"/>
      <c r="O422" s="103">
        <f t="shared" si="3"/>
        <v>0</v>
      </c>
      <c r="P422" s="104">
        <f t="shared" si="4"/>
        <v>0</v>
      </c>
      <c r="Q422" s="147"/>
      <c r="R422" s="103"/>
      <c r="S422" s="103">
        <f t="shared" si="6"/>
        <v>0</v>
      </c>
      <c r="U422" s="107" t="str">
        <f t="shared" si="7"/>
        <v>0</v>
      </c>
    </row>
    <row r="423" ht="15.75" customHeight="1">
      <c r="A423" s="279"/>
      <c r="B423" s="280"/>
      <c r="C423" s="280"/>
      <c r="D423" s="280"/>
      <c r="E423" s="281"/>
      <c r="F423" s="281"/>
      <c r="G423" s="280"/>
      <c r="H423" s="282"/>
      <c r="I423" s="283"/>
      <c r="J423" s="280"/>
      <c r="K423" s="103"/>
      <c r="L423" s="146"/>
      <c r="M423" s="103"/>
      <c r="N423" s="103"/>
      <c r="O423" s="103">
        <f t="shared" si="3"/>
        <v>0</v>
      </c>
      <c r="P423" s="104">
        <f t="shared" si="4"/>
        <v>0</v>
      </c>
      <c r="Q423" s="147"/>
      <c r="R423" s="103"/>
      <c r="S423" s="103">
        <f t="shared" si="6"/>
        <v>0</v>
      </c>
      <c r="U423" s="107" t="str">
        <f t="shared" si="7"/>
        <v>0</v>
      </c>
    </row>
    <row r="424" ht="15.75" customHeight="1">
      <c r="A424" s="279"/>
      <c r="B424" s="280"/>
      <c r="C424" s="280"/>
      <c r="D424" s="280"/>
      <c r="E424" s="281"/>
      <c r="F424" s="281"/>
      <c r="G424" s="280"/>
      <c r="H424" s="282"/>
      <c r="I424" s="283"/>
      <c r="J424" s="280"/>
      <c r="K424" s="103"/>
      <c r="L424" s="146"/>
      <c r="M424" s="103"/>
      <c r="N424" s="103"/>
      <c r="O424" s="103">
        <f t="shared" si="3"/>
        <v>0</v>
      </c>
      <c r="P424" s="104">
        <f t="shared" si="4"/>
        <v>0</v>
      </c>
      <c r="Q424" s="147"/>
      <c r="R424" s="103"/>
      <c r="S424" s="103">
        <f t="shared" si="6"/>
        <v>0</v>
      </c>
      <c r="U424" s="107" t="str">
        <f t="shared" si="7"/>
        <v>0</v>
      </c>
    </row>
    <row r="425" ht="15.75" customHeight="1">
      <c r="A425" s="279"/>
      <c r="B425" s="280"/>
      <c r="C425" s="280"/>
      <c r="D425" s="280"/>
      <c r="E425" s="281"/>
      <c r="F425" s="281"/>
      <c r="G425" s="280"/>
      <c r="H425" s="282"/>
      <c r="I425" s="283"/>
      <c r="J425" s="280"/>
      <c r="K425" s="103"/>
      <c r="L425" s="146"/>
      <c r="M425" s="103"/>
      <c r="N425" s="103"/>
      <c r="O425" s="103">
        <f t="shared" si="3"/>
        <v>0</v>
      </c>
      <c r="P425" s="104">
        <f t="shared" si="4"/>
        <v>0</v>
      </c>
      <c r="Q425" s="147"/>
      <c r="R425" s="103"/>
      <c r="S425" s="103">
        <f t="shared" si="6"/>
        <v>0</v>
      </c>
      <c r="U425" s="107" t="str">
        <f t="shared" si="7"/>
        <v>0</v>
      </c>
    </row>
    <row r="426" ht="15.75" customHeight="1">
      <c r="A426" s="279"/>
      <c r="B426" s="280"/>
      <c r="C426" s="280"/>
      <c r="D426" s="280"/>
      <c r="E426" s="281"/>
      <c r="F426" s="281"/>
      <c r="G426" s="280"/>
      <c r="H426" s="282"/>
      <c r="I426" s="283"/>
      <c r="J426" s="280"/>
      <c r="K426" s="103"/>
      <c r="L426" s="146"/>
      <c r="M426" s="103"/>
      <c r="N426" s="103"/>
      <c r="O426" s="103">
        <f t="shared" si="3"/>
        <v>0</v>
      </c>
      <c r="P426" s="104">
        <f t="shared" si="4"/>
        <v>0</v>
      </c>
      <c r="Q426" s="147"/>
      <c r="R426" s="103"/>
      <c r="S426" s="103">
        <f t="shared" si="6"/>
        <v>0</v>
      </c>
      <c r="U426" s="107" t="str">
        <f t="shared" si="7"/>
        <v>0</v>
      </c>
    </row>
    <row r="427" ht="15.75" customHeight="1">
      <c r="A427" s="279"/>
      <c r="B427" s="280"/>
      <c r="C427" s="280"/>
      <c r="D427" s="280"/>
      <c r="E427" s="281"/>
      <c r="F427" s="281"/>
      <c r="G427" s="280"/>
      <c r="H427" s="282"/>
      <c r="I427" s="283"/>
      <c r="J427" s="280"/>
      <c r="K427" s="103"/>
      <c r="L427" s="146"/>
      <c r="M427" s="103"/>
      <c r="N427" s="103"/>
      <c r="O427" s="103">
        <f t="shared" si="3"/>
        <v>0</v>
      </c>
      <c r="P427" s="104">
        <f t="shared" si="4"/>
        <v>0</v>
      </c>
      <c r="Q427" s="147"/>
      <c r="R427" s="103"/>
      <c r="S427" s="103">
        <f t="shared" si="6"/>
        <v>0</v>
      </c>
      <c r="U427" s="107" t="str">
        <f t="shared" si="7"/>
        <v>0</v>
      </c>
    </row>
    <row r="428" ht="15.75" customHeight="1">
      <c r="A428" s="279"/>
      <c r="B428" s="280"/>
      <c r="C428" s="280"/>
      <c r="D428" s="280"/>
      <c r="E428" s="281"/>
      <c r="F428" s="281"/>
      <c r="G428" s="280"/>
      <c r="H428" s="282"/>
      <c r="I428" s="283"/>
      <c r="J428" s="280"/>
      <c r="K428" s="103"/>
      <c r="L428" s="146"/>
      <c r="M428" s="103"/>
      <c r="N428" s="103"/>
      <c r="O428" s="103">
        <f t="shared" si="3"/>
        <v>0</v>
      </c>
      <c r="P428" s="104">
        <f t="shared" si="4"/>
        <v>0</v>
      </c>
      <c r="Q428" s="147"/>
      <c r="R428" s="103"/>
      <c r="S428" s="103">
        <f t="shared" si="6"/>
        <v>0</v>
      </c>
      <c r="U428" s="107" t="str">
        <f t="shared" si="7"/>
        <v>0</v>
      </c>
    </row>
    <row r="429" ht="15.75" customHeight="1">
      <c r="A429" s="279"/>
      <c r="B429" s="280"/>
      <c r="C429" s="280"/>
      <c r="D429" s="280"/>
      <c r="E429" s="281"/>
      <c r="F429" s="281"/>
      <c r="G429" s="280"/>
      <c r="H429" s="282"/>
      <c r="I429" s="283"/>
      <c r="J429" s="280"/>
      <c r="K429" s="103"/>
      <c r="L429" s="146"/>
      <c r="M429" s="103"/>
      <c r="N429" s="103"/>
      <c r="O429" s="103">
        <f t="shared" si="3"/>
        <v>0</v>
      </c>
      <c r="P429" s="104">
        <f t="shared" si="4"/>
        <v>0</v>
      </c>
      <c r="Q429" s="147"/>
      <c r="R429" s="103"/>
      <c r="S429" s="103">
        <f t="shared" si="6"/>
        <v>0</v>
      </c>
      <c r="U429" s="107" t="str">
        <f t="shared" si="7"/>
        <v>0</v>
      </c>
    </row>
    <row r="430" ht="15.75" customHeight="1">
      <c r="A430" s="279"/>
      <c r="B430" s="280"/>
      <c r="C430" s="280"/>
      <c r="D430" s="280"/>
      <c r="E430" s="281"/>
      <c r="F430" s="281"/>
      <c r="G430" s="280"/>
      <c r="H430" s="282"/>
      <c r="I430" s="283"/>
      <c r="J430" s="280"/>
      <c r="K430" s="103"/>
      <c r="L430" s="146"/>
      <c r="M430" s="103"/>
      <c r="N430" s="103"/>
      <c r="O430" s="103">
        <f t="shared" si="3"/>
        <v>0</v>
      </c>
      <c r="P430" s="104">
        <f t="shared" si="4"/>
        <v>0</v>
      </c>
      <c r="Q430" s="147"/>
      <c r="R430" s="103"/>
      <c r="S430" s="103">
        <f t="shared" si="6"/>
        <v>0</v>
      </c>
      <c r="U430" s="107" t="str">
        <f t="shared" si="7"/>
        <v>0</v>
      </c>
    </row>
    <row r="431" ht="15.75" customHeight="1">
      <c r="A431" s="279"/>
      <c r="B431" s="280"/>
      <c r="C431" s="280"/>
      <c r="D431" s="280"/>
      <c r="E431" s="281"/>
      <c r="F431" s="281"/>
      <c r="G431" s="280"/>
      <c r="H431" s="282"/>
      <c r="I431" s="283"/>
      <c r="J431" s="280"/>
      <c r="K431" s="103"/>
      <c r="L431" s="146"/>
      <c r="M431" s="103"/>
      <c r="N431" s="103"/>
      <c r="O431" s="103">
        <f t="shared" si="3"/>
        <v>0</v>
      </c>
      <c r="P431" s="104">
        <f t="shared" si="4"/>
        <v>0</v>
      </c>
      <c r="Q431" s="147"/>
      <c r="R431" s="103"/>
      <c r="S431" s="103">
        <f t="shared" si="6"/>
        <v>0</v>
      </c>
      <c r="U431" s="107" t="str">
        <f t="shared" si="7"/>
        <v>0</v>
      </c>
    </row>
    <row r="432" ht="15.75" customHeight="1">
      <c r="A432" s="279"/>
      <c r="B432" s="280"/>
      <c r="C432" s="280"/>
      <c r="D432" s="280"/>
      <c r="E432" s="281"/>
      <c r="F432" s="281"/>
      <c r="G432" s="280"/>
      <c r="H432" s="282"/>
      <c r="I432" s="283"/>
      <c r="J432" s="280"/>
      <c r="K432" s="103"/>
      <c r="L432" s="146"/>
      <c r="M432" s="103"/>
      <c r="N432" s="103"/>
      <c r="O432" s="103">
        <f t="shared" si="3"/>
        <v>0</v>
      </c>
      <c r="P432" s="104">
        <f t="shared" si="4"/>
        <v>0</v>
      </c>
      <c r="Q432" s="147"/>
      <c r="R432" s="103"/>
      <c r="S432" s="103">
        <f t="shared" si="6"/>
        <v>0</v>
      </c>
      <c r="U432" s="107" t="str">
        <f t="shared" si="7"/>
        <v>0</v>
      </c>
    </row>
    <row r="433" ht="15.75" customHeight="1">
      <c r="A433" s="279"/>
      <c r="B433" s="280"/>
      <c r="C433" s="280"/>
      <c r="D433" s="280"/>
      <c r="E433" s="281"/>
      <c r="F433" s="281"/>
      <c r="G433" s="280"/>
      <c r="H433" s="282"/>
      <c r="I433" s="283"/>
      <c r="J433" s="280"/>
      <c r="K433" s="103"/>
      <c r="L433" s="146"/>
      <c r="M433" s="103"/>
      <c r="N433" s="103"/>
      <c r="O433" s="103">
        <f t="shared" si="3"/>
        <v>0</v>
      </c>
      <c r="P433" s="104">
        <f t="shared" si="4"/>
        <v>0</v>
      </c>
      <c r="Q433" s="147"/>
      <c r="R433" s="103"/>
      <c r="S433" s="103">
        <f t="shared" si="6"/>
        <v>0</v>
      </c>
      <c r="U433" s="107" t="str">
        <f t="shared" si="7"/>
        <v>0</v>
      </c>
    </row>
    <row r="434" ht="15.75" customHeight="1">
      <c r="A434" s="279"/>
      <c r="B434" s="280"/>
      <c r="C434" s="280"/>
      <c r="D434" s="280"/>
      <c r="E434" s="281"/>
      <c r="F434" s="281"/>
      <c r="G434" s="280"/>
      <c r="H434" s="282"/>
      <c r="I434" s="283"/>
      <c r="J434" s="280"/>
      <c r="K434" s="103"/>
      <c r="L434" s="146"/>
      <c r="M434" s="103"/>
      <c r="N434" s="103"/>
      <c r="O434" s="103">
        <f t="shared" si="3"/>
        <v>0</v>
      </c>
      <c r="P434" s="104">
        <f t="shared" si="4"/>
        <v>0</v>
      </c>
      <c r="Q434" s="147"/>
      <c r="R434" s="103"/>
      <c r="S434" s="103">
        <f t="shared" si="6"/>
        <v>0</v>
      </c>
      <c r="U434" s="107" t="str">
        <f t="shared" si="7"/>
        <v>0</v>
      </c>
    </row>
    <row r="435" ht="15.75" customHeight="1">
      <c r="A435" s="279"/>
      <c r="B435" s="280"/>
      <c r="C435" s="280"/>
      <c r="D435" s="280"/>
      <c r="E435" s="281"/>
      <c r="F435" s="281"/>
      <c r="G435" s="280"/>
      <c r="H435" s="282"/>
      <c r="I435" s="283"/>
      <c r="J435" s="280"/>
      <c r="K435" s="103"/>
      <c r="L435" s="146"/>
      <c r="M435" s="103"/>
      <c r="N435" s="103"/>
      <c r="O435" s="103">
        <f t="shared" si="3"/>
        <v>0</v>
      </c>
      <c r="P435" s="104">
        <f t="shared" si="4"/>
        <v>0</v>
      </c>
      <c r="Q435" s="147"/>
      <c r="R435" s="103"/>
      <c r="S435" s="103">
        <f t="shared" si="6"/>
        <v>0</v>
      </c>
      <c r="U435" s="107" t="str">
        <f t="shared" si="7"/>
        <v>0</v>
      </c>
    </row>
    <row r="436" ht="15.75" customHeight="1">
      <c r="A436" s="279"/>
      <c r="B436" s="280"/>
      <c r="C436" s="280"/>
      <c r="D436" s="280"/>
      <c r="E436" s="281"/>
      <c r="F436" s="281"/>
      <c r="G436" s="280"/>
      <c r="H436" s="282"/>
      <c r="I436" s="283"/>
      <c r="J436" s="280"/>
      <c r="K436" s="103"/>
      <c r="L436" s="146"/>
      <c r="M436" s="103"/>
      <c r="N436" s="103"/>
      <c r="O436" s="103">
        <f t="shared" si="3"/>
        <v>0</v>
      </c>
      <c r="P436" s="104">
        <f t="shared" si="4"/>
        <v>0</v>
      </c>
      <c r="Q436" s="147"/>
      <c r="R436" s="103"/>
      <c r="S436" s="103">
        <f t="shared" si="6"/>
        <v>0</v>
      </c>
      <c r="U436" s="107" t="str">
        <f t="shared" si="7"/>
        <v>0</v>
      </c>
    </row>
    <row r="437" ht="15.75" customHeight="1">
      <c r="A437" s="279"/>
      <c r="B437" s="280"/>
      <c r="C437" s="280"/>
      <c r="D437" s="280"/>
      <c r="E437" s="281"/>
      <c r="F437" s="281"/>
      <c r="G437" s="280"/>
      <c r="H437" s="282"/>
      <c r="I437" s="283"/>
      <c r="J437" s="280"/>
      <c r="K437" s="103"/>
      <c r="L437" s="146"/>
      <c r="M437" s="103"/>
      <c r="N437" s="103"/>
      <c r="O437" s="103">
        <f t="shared" si="3"/>
        <v>0</v>
      </c>
      <c r="P437" s="104">
        <f t="shared" si="4"/>
        <v>0</v>
      </c>
      <c r="Q437" s="147"/>
      <c r="R437" s="103"/>
      <c r="S437" s="103">
        <f t="shared" si="6"/>
        <v>0</v>
      </c>
      <c r="U437" s="107" t="str">
        <f t="shared" si="7"/>
        <v>0</v>
      </c>
    </row>
    <row r="438" ht="15.75" customHeight="1">
      <c r="A438" s="279"/>
      <c r="B438" s="280"/>
      <c r="C438" s="280"/>
      <c r="D438" s="280"/>
      <c r="E438" s="281"/>
      <c r="F438" s="281"/>
      <c r="G438" s="280"/>
      <c r="H438" s="282"/>
      <c r="I438" s="283"/>
      <c r="J438" s="280"/>
      <c r="K438" s="103"/>
      <c r="L438" s="146"/>
      <c r="M438" s="103"/>
      <c r="N438" s="103"/>
      <c r="O438" s="103">
        <f t="shared" si="3"/>
        <v>0</v>
      </c>
      <c r="P438" s="104">
        <f t="shared" si="4"/>
        <v>0</v>
      </c>
      <c r="Q438" s="147"/>
      <c r="R438" s="103"/>
      <c r="S438" s="103">
        <f t="shared" si="6"/>
        <v>0</v>
      </c>
      <c r="U438" s="107" t="str">
        <f t="shared" si="7"/>
        <v>0</v>
      </c>
    </row>
    <row r="439" ht="15.75" customHeight="1">
      <c r="A439" s="279"/>
      <c r="B439" s="280"/>
      <c r="C439" s="280"/>
      <c r="D439" s="280"/>
      <c r="E439" s="281"/>
      <c r="F439" s="281"/>
      <c r="G439" s="280"/>
      <c r="H439" s="282"/>
      <c r="I439" s="283"/>
      <c r="J439" s="280"/>
      <c r="K439" s="103"/>
      <c r="L439" s="146"/>
      <c r="M439" s="103"/>
      <c r="N439" s="103"/>
      <c r="O439" s="103">
        <f t="shared" si="3"/>
        <v>0</v>
      </c>
      <c r="P439" s="104">
        <f t="shared" si="4"/>
        <v>0</v>
      </c>
      <c r="Q439" s="147"/>
      <c r="R439" s="103"/>
      <c r="S439" s="103">
        <f t="shared" si="6"/>
        <v>0</v>
      </c>
      <c r="U439" s="107" t="str">
        <f t="shared" si="7"/>
        <v>0</v>
      </c>
    </row>
    <row r="440" ht="15.75" customHeight="1">
      <c r="A440" s="279"/>
      <c r="B440" s="280"/>
      <c r="C440" s="280"/>
      <c r="D440" s="280"/>
      <c r="E440" s="281"/>
      <c r="F440" s="281"/>
      <c r="G440" s="280"/>
      <c r="H440" s="282"/>
      <c r="I440" s="283"/>
      <c r="J440" s="280"/>
      <c r="K440" s="103"/>
      <c r="L440" s="146"/>
      <c r="M440" s="103"/>
      <c r="N440" s="103"/>
      <c r="O440" s="103">
        <f t="shared" si="3"/>
        <v>0</v>
      </c>
      <c r="P440" s="104">
        <f t="shared" si="4"/>
        <v>0</v>
      </c>
      <c r="Q440" s="147"/>
      <c r="R440" s="103"/>
      <c r="S440" s="103">
        <f t="shared" si="6"/>
        <v>0</v>
      </c>
      <c r="U440" s="107" t="str">
        <f t="shared" si="7"/>
        <v>0</v>
      </c>
    </row>
    <row r="441" ht="15.75" customHeight="1">
      <c r="A441" s="279"/>
      <c r="B441" s="280"/>
      <c r="C441" s="280"/>
      <c r="D441" s="280"/>
      <c r="E441" s="281"/>
      <c r="F441" s="281"/>
      <c r="G441" s="280"/>
      <c r="H441" s="282"/>
      <c r="I441" s="283"/>
      <c r="J441" s="280"/>
      <c r="K441" s="103"/>
      <c r="L441" s="146"/>
      <c r="M441" s="103"/>
      <c r="N441" s="103"/>
      <c r="O441" s="103">
        <f t="shared" si="3"/>
        <v>0</v>
      </c>
      <c r="P441" s="104">
        <f t="shared" si="4"/>
        <v>0</v>
      </c>
      <c r="Q441" s="147"/>
      <c r="R441" s="103"/>
      <c r="S441" s="103">
        <f t="shared" si="6"/>
        <v>0</v>
      </c>
      <c r="U441" s="107" t="str">
        <f t="shared" si="7"/>
        <v>0</v>
      </c>
    </row>
    <row r="442" ht="15.75" customHeight="1">
      <c r="A442" s="279"/>
      <c r="B442" s="280"/>
      <c r="C442" s="280"/>
      <c r="D442" s="280"/>
      <c r="E442" s="281"/>
      <c r="F442" s="281"/>
      <c r="G442" s="280"/>
      <c r="H442" s="282"/>
      <c r="I442" s="283"/>
      <c r="J442" s="280"/>
      <c r="K442" s="103"/>
      <c r="L442" s="146"/>
      <c r="M442" s="103"/>
      <c r="N442" s="103"/>
      <c r="O442" s="103">
        <f t="shared" si="3"/>
        <v>0</v>
      </c>
      <c r="P442" s="104">
        <f t="shared" si="4"/>
        <v>0</v>
      </c>
      <c r="Q442" s="147"/>
      <c r="R442" s="103"/>
      <c r="S442" s="103">
        <f t="shared" si="6"/>
        <v>0</v>
      </c>
      <c r="U442" s="107" t="str">
        <f t="shared" si="7"/>
        <v>0</v>
      </c>
    </row>
    <row r="443" ht="15.75" customHeight="1">
      <c r="A443" s="279"/>
      <c r="B443" s="280"/>
      <c r="C443" s="280"/>
      <c r="D443" s="280"/>
      <c r="E443" s="281"/>
      <c r="F443" s="281"/>
      <c r="G443" s="280"/>
      <c r="H443" s="282"/>
      <c r="I443" s="283"/>
      <c r="J443" s="280"/>
      <c r="K443" s="103"/>
      <c r="L443" s="146"/>
      <c r="M443" s="103"/>
      <c r="N443" s="103"/>
      <c r="O443" s="103">
        <f t="shared" si="3"/>
        <v>0</v>
      </c>
      <c r="P443" s="104">
        <f t="shared" si="4"/>
        <v>0</v>
      </c>
      <c r="Q443" s="147"/>
      <c r="R443" s="103"/>
      <c r="S443" s="103">
        <f t="shared" si="6"/>
        <v>0</v>
      </c>
      <c r="U443" s="107" t="str">
        <f t="shared" si="7"/>
        <v>0</v>
      </c>
    </row>
    <row r="444" ht="15.75" customHeight="1">
      <c r="A444" s="279"/>
      <c r="B444" s="280"/>
      <c r="C444" s="280"/>
      <c r="D444" s="280"/>
      <c r="E444" s="281"/>
      <c r="F444" s="281"/>
      <c r="G444" s="280"/>
      <c r="H444" s="282"/>
      <c r="I444" s="283"/>
      <c r="J444" s="280"/>
      <c r="K444" s="103"/>
      <c r="L444" s="146"/>
      <c r="M444" s="103"/>
      <c r="N444" s="103"/>
      <c r="O444" s="103">
        <f t="shared" si="3"/>
        <v>0</v>
      </c>
      <c r="P444" s="104">
        <f t="shared" si="4"/>
        <v>0</v>
      </c>
      <c r="Q444" s="147"/>
      <c r="R444" s="103"/>
      <c r="S444" s="103">
        <f t="shared" si="6"/>
        <v>0</v>
      </c>
      <c r="U444" s="107" t="str">
        <f t="shared" si="7"/>
        <v>0</v>
      </c>
    </row>
    <row r="445" ht="15.75" customHeight="1">
      <c r="A445" s="279"/>
      <c r="B445" s="280"/>
      <c r="C445" s="280"/>
      <c r="D445" s="280"/>
      <c r="E445" s="281"/>
      <c r="F445" s="281"/>
      <c r="G445" s="280"/>
      <c r="H445" s="282"/>
      <c r="I445" s="283"/>
      <c r="J445" s="280"/>
      <c r="K445" s="103"/>
      <c r="L445" s="146"/>
      <c r="M445" s="103"/>
      <c r="N445" s="103"/>
      <c r="O445" s="103">
        <f t="shared" si="3"/>
        <v>0</v>
      </c>
      <c r="P445" s="104">
        <f t="shared" si="4"/>
        <v>0</v>
      </c>
      <c r="Q445" s="147"/>
      <c r="R445" s="103"/>
      <c r="S445" s="103">
        <f t="shared" si="6"/>
        <v>0</v>
      </c>
      <c r="U445" s="107" t="str">
        <f t="shared" si="7"/>
        <v>0</v>
      </c>
    </row>
    <row r="446" ht="15.75" customHeight="1">
      <c r="A446" s="279"/>
      <c r="B446" s="280"/>
      <c r="C446" s="280"/>
      <c r="D446" s="280"/>
      <c r="E446" s="281"/>
      <c r="F446" s="281"/>
      <c r="G446" s="280"/>
      <c r="H446" s="282"/>
      <c r="I446" s="283"/>
      <c r="J446" s="280"/>
      <c r="K446" s="103"/>
      <c r="L446" s="146"/>
      <c r="M446" s="103"/>
      <c r="N446" s="103"/>
      <c r="O446" s="103">
        <f t="shared" si="3"/>
        <v>0</v>
      </c>
      <c r="P446" s="104">
        <f t="shared" si="4"/>
        <v>0</v>
      </c>
      <c r="Q446" s="147"/>
      <c r="R446" s="103"/>
      <c r="S446" s="103">
        <f t="shared" si="6"/>
        <v>0</v>
      </c>
      <c r="U446" s="107" t="str">
        <f t="shared" si="7"/>
        <v>0</v>
      </c>
    </row>
    <row r="447" ht="15.75" customHeight="1">
      <c r="A447" s="279"/>
      <c r="B447" s="280"/>
      <c r="C447" s="280"/>
      <c r="D447" s="280"/>
      <c r="E447" s="281"/>
      <c r="F447" s="281"/>
      <c r="G447" s="280"/>
      <c r="H447" s="282"/>
      <c r="I447" s="283"/>
      <c r="J447" s="280"/>
      <c r="K447" s="103"/>
      <c r="L447" s="146"/>
      <c r="M447" s="103"/>
      <c r="N447" s="103"/>
      <c r="O447" s="103">
        <f t="shared" si="3"/>
        <v>0</v>
      </c>
      <c r="P447" s="104">
        <f t="shared" si="4"/>
        <v>0</v>
      </c>
      <c r="Q447" s="147"/>
      <c r="R447" s="103"/>
      <c r="S447" s="103">
        <f t="shared" si="6"/>
        <v>0</v>
      </c>
      <c r="U447" s="107" t="str">
        <f t="shared" si="7"/>
        <v>0</v>
      </c>
    </row>
    <row r="448" ht="15.75" customHeight="1">
      <c r="A448" s="279"/>
      <c r="B448" s="280"/>
      <c r="C448" s="280"/>
      <c r="D448" s="280"/>
      <c r="E448" s="281"/>
      <c r="F448" s="281"/>
      <c r="G448" s="280"/>
      <c r="H448" s="282"/>
      <c r="I448" s="283"/>
      <c r="J448" s="280"/>
      <c r="K448" s="103"/>
      <c r="L448" s="146"/>
      <c r="M448" s="103"/>
      <c r="N448" s="103"/>
      <c r="O448" s="103">
        <f t="shared" si="3"/>
        <v>0</v>
      </c>
      <c r="P448" s="104">
        <f t="shared" si="4"/>
        <v>0</v>
      </c>
      <c r="Q448" s="147"/>
      <c r="R448" s="103"/>
      <c r="S448" s="103">
        <f t="shared" si="6"/>
        <v>0</v>
      </c>
      <c r="U448" s="107" t="str">
        <f t="shared" si="7"/>
        <v>0</v>
      </c>
    </row>
    <row r="449" ht="15.75" customHeight="1">
      <c r="A449" s="279"/>
      <c r="B449" s="280"/>
      <c r="C449" s="280"/>
      <c r="D449" s="280"/>
      <c r="E449" s="281"/>
      <c r="F449" s="281"/>
      <c r="G449" s="280"/>
      <c r="H449" s="282"/>
      <c r="I449" s="283"/>
      <c r="J449" s="280"/>
      <c r="K449" s="103"/>
      <c r="L449" s="146"/>
      <c r="M449" s="103"/>
      <c r="N449" s="103"/>
      <c r="O449" s="103">
        <f t="shared" si="3"/>
        <v>0</v>
      </c>
      <c r="P449" s="104">
        <f t="shared" si="4"/>
        <v>0</v>
      </c>
      <c r="Q449" s="147"/>
      <c r="R449" s="103"/>
      <c r="S449" s="103">
        <f t="shared" si="6"/>
        <v>0</v>
      </c>
      <c r="U449" s="107" t="str">
        <f t="shared" si="7"/>
        <v>0</v>
      </c>
    </row>
    <row r="450" ht="15.75" customHeight="1">
      <c r="A450" s="279"/>
      <c r="B450" s="280"/>
      <c r="C450" s="280"/>
      <c r="D450" s="280"/>
      <c r="E450" s="281"/>
      <c r="F450" s="281"/>
      <c r="G450" s="280"/>
      <c r="H450" s="282"/>
      <c r="I450" s="283"/>
      <c r="J450" s="280"/>
      <c r="K450" s="103"/>
      <c r="L450" s="146"/>
      <c r="M450" s="103"/>
      <c r="N450" s="103"/>
      <c r="O450" s="103">
        <f t="shared" si="3"/>
        <v>0</v>
      </c>
      <c r="P450" s="104">
        <f t="shared" si="4"/>
        <v>0</v>
      </c>
      <c r="Q450" s="147"/>
      <c r="R450" s="103"/>
      <c r="S450" s="103">
        <f t="shared" si="6"/>
        <v>0</v>
      </c>
      <c r="U450" s="107" t="str">
        <f t="shared" si="7"/>
        <v>0</v>
      </c>
    </row>
    <row r="451" ht="15.75" customHeight="1">
      <c r="A451" s="279"/>
      <c r="B451" s="280"/>
      <c r="C451" s="280"/>
      <c r="D451" s="280"/>
      <c r="E451" s="281"/>
      <c r="F451" s="281"/>
      <c r="G451" s="280"/>
      <c r="H451" s="282"/>
      <c r="I451" s="283"/>
      <c r="J451" s="280"/>
      <c r="K451" s="103"/>
      <c r="L451" s="146"/>
      <c r="M451" s="103"/>
      <c r="N451" s="103"/>
      <c r="O451" s="103">
        <f t="shared" si="3"/>
        <v>0</v>
      </c>
      <c r="P451" s="104">
        <f t="shared" si="4"/>
        <v>0</v>
      </c>
      <c r="Q451" s="147"/>
      <c r="R451" s="103"/>
      <c r="S451" s="103">
        <f t="shared" si="6"/>
        <v>0</v>
      </c>
      <c r="U451" s="107" t="str">
        <f t="shared" si="7"/>
        <v>0</v>
      </c>
    </row>
    <row r="452" ht="15.75" customHeight="1">
      <c r="A452" s="279"/>
      <c r="B452" s="280"/>
      <c r="C452" s="280"/>
      <c r="D452" s="280"/>
      <c r="E452" s="281"/>
      <c r="F452" s="281"/>
      <c r="G452" s="280"/>
      <c r="H452" s="282"/>
      <c r="I452" s="283"/>
      <c r="J452" s="280"/>
      <c r="K452" s="103"/>
      <c r="L452" s="146"/>
      <c r="M452" s="103"/>
      <c r="N452" s="103"/>
      <c r="O452" s="103">
        <f t="shared" si="3"/>
        <v>0</v>
      </c>
      <c r="P452" s="104">
        <f t="shared" si="4"/>
        <v>0</v>
      </c>
      <c r="Q452" s="147"/>
      <c r="R452" s="103"/>
      <c r="S452" s="103">
        <f t="shared" si="6"/>
        <v>0</v>
      </c>
      <c r="U452" s="107" t="str">
        <f t="shared" si="7"/>
        <v>0</v>
      </c>
    </row>
    <row r="453" ht="15.75" customHeight="1">
      <c r="A453" s="279"/>
      <c r="B453" s="280"/>
      <c r="C453" s="280"/>
      <c r="D453" s="280"/>
      <c r="E453" s="281"/>
      <c r="F453" s="281"/>
      <c r="G453" s="280"/>
      <c r="H453" s="282"/>
      <c r="I453" s="283"/>
      <c r="J453" s="280"/>
      <c r="K453" s="103"/>
      <c r="L453" s="146"/>
      <c r="M453" s="103"/>
      <c r="N453" s="103"/>
      <c r="O453" s="103">
        <f t="shared" si="3"/>
        <v>0</v>
      </c>
      <c r="P453" s="104">
        <f t="shared" si="4"/>
        <v>0</v>
      </c>
      <c r="Q453" s="147"/>
      <c r="R453" s="103"/>
      <c r="S453" s="103">
        <f t="shared" si="6"/>
        <v>0</v>
      </c>
      <c r="U453" s="107" t="str">
        <f t="shared" si="7"/>
        <v>0</v>
      </c>
    </row>
    <row r="454" ht="15.75" customHeight="1">
      <c r="A454" s="279"/>
      <c r="B454" s="280"/>
      <c r="C454" s="280"/>
      <c r="D454" s="280"/>
      <c r="E454" s="281"/>
      <c r="F454" s="281"/>
      <c r="G454" s="280"/>
      <c r="H454" s="282"/>
      <c r="I454" s="283"/>
      <c r="J454" s="280"/>
      <c r="K454" s="103"/>
      <c r="L454" s="146"/>
      <c r="M454" s="103"/>
      <c r="N454" s="103"/>
      <c r="O454" s="103">
        <f t="shared" si="3"/>
        <v>0</v>
      </c>
      <c r="P454" s="104">
        <f t="shared" si="4"/>
        <v>0</v>
      </c>
      <c r="Q454" s="147"/>
      <c r="R454" s="103"/>
      <c r="S454" s="103">
        <f t="shared" si="6"/>
        <v>0</v>
      </c>
      <c r="U454" s="107" t="str">
        <f t="shared" si="7"/>
        <v>0</v>
      </c>
    </row>
    <row r="455" ht="15.75" customHeight="1">
      <c r="A455" s="279"/>
      <c r="B455" s="280"/>
      <c r="C455" s="280"/>
      <c r="D455" s="280"/>
      <c r="E455" s="281"/>
      <c r="F455" s="281"/>
      <c r="G455" s="280"/>
      <c r="H455" s="282"/>
      <c r="I455" s="283"/>
      <c r="J455" s="280"/>
      <c r="K455" s="103"/>
      <c r="L455" s="146"/>
      <c r="M455" s="103"/>
      <c r="N455" s="103"/>
      <c r="O455" s="103">
        <f t="shared" si="3"/>
        <v>0</v>
      </c>
      <c r="P455" s="104">
        <f t="shared" si="4"/>
        <v>0</v>
      </c>
      <c r="Q455" s="147"/>
      <c r="R455" s="103"/>
      <c r="S455" s="103">
        <f t="shared" si="6"/>
        <v>0</v>
      </c>
      <c r="U455" s="107" t="str">
        <f t="shared" si="7"/>
        <v>0</v>
      </c>
    </row>
    <row r="456" ht="15.75" customHeight="1">
      <c r="A456" s="279"/>
      <c r="B456" s="280"/>
      <c r="C456" s="280"/>
      <c r="D456" s="280"/>
      <c r="E456" s="281"/>
      <c r="F456" s="281"/>
      <c r="G456" s="280"/>
      <c r="H456" s="282"/>
      <c r="I456" s="283"/>
      <c r="J456" s="280"/>
      <c r="K456" s="103"/>
      <c r="L456" s="146"/>
      <c r="M456" s="103"/>
      <c r="N456" s="103"/>
      <c r="O456" s="103">
        <f t="shared" si="3"/>
        <v>0</v>
      </c>
      <c r="P456" s="104">
        <f t="shared" si="4"/>
        <v>0</v>
      </c>
      <c r="Q456" s="147"/>
      <c r="R456" s="103"/>
      <c r="S456" s="103">
        <f t="shared" si="6"/>
        <v>0</v>
      </c>
      <c r="U456" s="107" t="str">
        <f t="shared" si="7"/>
        <v>0</v>
      </c>
    </row>
    <row r="457" ht="15.75" customHeight="1">
      <c r="A457" s="279"/>
      <c r="B457" s="280"/>
      <c r="C457" s="280"/>
      <c r="D457" s="280"/>
      <c r="E457" s="281"/>
      <c r="F457" s="281"/>
      <c r="G457" s="280"/>
      <c r="H457" s="282"/>
      <c r="I457" s="283"/>
      <c r="J457" s="280"/>
      <c r="K457" s="103"/>
      <c r="L457" s="146"/>
      <c r="M457" s="103"/>
      <c r="N457" s="103"/>
      <c r="O457" s="103">
        <f t="shared" si="3"/>
        <v>0</v>
      </c>
      <c r="P457" s="104">
        <f t="shared" si="4"/>
        <v>0</v>
      </c>
      <c r="Q457" s="147"/>
      <c r="R457" s="103"/>
      <c r="S457" s="103">
        <f t="shared" si="6"/>
        <v>0</v>
      </c>
      <c r="U457" s="107" t="str">
        <f t="shared" si="7"/>
        <v>0</v>
      </c>
    </row>
    <row r="458" ht="15.75" customHeight="1">
      <c r="A458" s="279"/>
      <c r="B458" s="280"/>
      <c r="C458" s="280"/>
      <c r="D458" s="280"/>
      <c r="E458" s="281"/>
      <c r="F458" s="281"/>
      <c r="G458" s="280"/>
      <c r="H458" s="282"/>
      <c r="I458" s="283"/>
      <c r="J458" s="280"/>
      <c r="K458" s="103"/>
      <c r="L458" s="146"/>
      <c r="M458" s="103"/>
      <c r="N458" s="103"/>
      <c r="O458" s="103">
        <f t="shared" si="3"/>
        <v>0</v>
      </c>
      <c r="P458" s="104">
        <f t="shared" si="4"/>
        <v>0</v>
      </c>
      <c r="Q458" s="147"/>
      <c r="R458" s="103"/>
      <c r="S458" s="103">
        <f t="shared" si="6"/>
        <v>0</v>
      </c>
      <c r="U458" s="107" t="str">
        <f t="shared" si="7"/>
        <v>0</v>
      </c>
    </row>
    <row r="459" ht="15.75" customHeight="1">
      <c r="A459" s="279"/>
      <c r="B459" s="280"/>
      <c r="C459" s="280"/>
      <c r="D459" s="280"/>
      <c r="E459" s="281"/>
      <c r="F459" s="281"/>
      <c r="G459" s="280"/>
      <c r="H459" s="282"/>
      <c r="I459" s="283"/>
      <c r="J459" s="280"/>
      <c r="K459" s="103"/>
      <c r="L459" s="146"/>
      <c r="M459" s="103"/>
      <c r="N459" s="103"/>
      <c r="O459" s="103">
        <f t="shared" si="3"/>
        <v>0</v>
      </c>
      <c r="P459" s="104">
        <f t="shared" si="4"/>
        <v>0</v>
      </c>
      <c r="Q459" s="147"/>
      <c r="R459" s="103"/>
      <c r="S459" s="103">
        <f t="shared" si="6"/>
        <v>0</v>
      </c>
      <c r="U459" s="107" t="str">
        <f t="shared" si="7"/>
        <v>0</v>
      </c>
    </row>
    <row r="460" ht="15.75" customHeight="1">
      <c r="A460" s="279"/>
      <c r="B460" s="280"/>
      <c r="C460" s="280"/>
      <c r="D460" s="280"/>
      <c r="E460" s="281"/>
      <c r="F460" s="281"/>
      <c r="G460" s="280"/>
      <c r="H460" s="282"/>
      <c r="I460" s="283"/>
      <c r="J460" s="280"/>
      <c r="K460" s="103"/>
      <c r="L460" s="146"/>
      <c r="M460" s="103"/>
      <c r="N460" s="103"/>
      <c r="O460" s="103">
        <f t="shared" si="3"/>
        <v>0</v>
      </c>
      <c r="P460" s="104">
        <f t="shared" si="4"/>
        <v>0</v>
      </c>
      <c r="Q460" s="147"/>
      <c r="R460" s="103"/>
      <c r="S460" s="103">
        <f t="shared" si="6"/>
        <v>0</v>
      </c>
      <c r="U460" s="107" t="str">
        <f t="shared" si="7"/>
        <v>0</v>
      </c>
    </row>
    <row r="461" ht="15.75" customHeight="1">
      <c r="A461" s="279"/>
      <c r="B461" s="280"/>
      <c r="C461" s="280"/>
      <c r="D461" s="280"/>
      <c r="E461" s="281"/>
      <c r="F461" s="281"/>
      <c r="G461" s="280"/>
      <c r="H461" s="282"/>
      <c r="I461" s="283"/>
      <c r="J461" s="280"/>
      <c r="K461" s="103"/>
      <c r="L461" s="146"/>
      <c r="M461" s="103"/>
      <c r="N461" s="103"/>
      <c r="O461" s="103">
        <f t="shared" si="3"/>
        <v>0</v>
      </c>
      <c r="P461" s="104">
        <f t="shared" si="4"/>
        <v>0</v>
      </c>
      <c r="Q461" s="147"/>
      <c r="R461" s="103"/>
      <c r="S461" s="103">
        <f t="shared" si="6"/>
        <v>0</v>
      </c>
      <c r="U461" s="107" t="str">
        <f t="shared" si="7"/>
        <v>0</v>
      </c>
    </row>
    <row r="462" ht="15.75" customHeight="1">
      <c r="A462" s="279"/>
      <c r="B462" s="280"/>
      <c r="C462" s="280"/>
      <c r="D462" s="280"/>
      <c r="E462" s="281"/>
      <c r="F462" s="281"/>
      <c r="G462" s="280"/>
      <c r="H462" s="282"/>
      <c r="I462" s="283"/>
      <c r="J462" s="280"/>
      <c r="K462" s="103"/>
      <c r="L462" s="146"/>
      <c r="M462" s="103"/>
      <c r="N462" s="103"/>
      <c r="O462" s="103">
        <f t="shared" si="3"/>
        <v>0</v>
      </c>
      <c r="P462" s="104">
        <f t="shared" si="4"/>
        <v>0</v>
      </c>
      <c r="Q462" s="147"/>
      <c r="R462" s="103"/>
      <c r="S462" s="103">
        <f t="shared" si="6"/>
        <v>0</v>
      </c>
      <c r="U462" s="107" t="str">
        <f t="shared" si="7"/>
        <v>0</v>
      </c>
    </row>
    <row r="463" ht="15.75" customHeight="1">
      <c r="A463" s="279"/>
      <c r="B463" s="280"/>
      <c r="C463" s="280"/>
      <c r="D463" s="280"/>
      <c r="E463" s="281"/>
      <c r="F463" s="281"/>
      <c r="G463" s="280"/>
      <c r="H463" s="282"/>
      <c r="I463" s="283"/>
      <c r="J463" s="280"/>
      <c r="K463" s="103"/>
      <c r="L463" s="146"/>
      <c r="M463" s="103"/>
      <c r="N463" s="103"/>
      <c r="O463" s="103">
        <f t="shared" si="3"/>
        <v>0</v>
      </c>
      <c r="P463" s="104">
        <f t="shared" si="4"/>
        <v>0</v>
      </c>
      <c r="Q463" s="147"/>
      <c r="R463" s="103"/>
      <c r="S463" s="103">
        <f t="shared" si="6"/>
        <v>0</v>
      </c>
      <c r="U463" s="107" t="str">
        <f t="shared" si="7"/>
        <v>0</v>
      </c>
    </row>
    <row r="464" ht="15.75" customHeight="1">
      <c r="A464" s="279"/>
      <c r="B464" s="280"/>
      <c r="C464" s="280"/>
      <c r="D464" s="280"/>
      <c r="E464" s="281"/>
      <c r="F464" s="281"/>
      <c r="G464" s="280"/>
      <c r="H464" s="282"/>
      <c r="I464" s="283"/>
      <c r="J464" s="280"/>
      <c r="K464" s="103"/>
      <c r="L464" s="146"/>
      <c r="M464" s="103"/>
      <c r="N464" s="103"/>
      <c r="O464" s="103">
        <f t="shared" si="3"/>
        <v>0</v>
      </c>
      <c r="P464" s="104">
        <f t="shared" si="4"/>
        <v>0</v>
      </c>
      <c r="Q464" s="147"/>
      <c r="R464" s="103"/>
      <c r="S464" s="103">
        <f t="shared" si="6"/>
        <v>0</v>
      </c>
      <c r="U464" s="107" t="str">
        <f t="shared" si="7"/>
        <v>0</v>
      </c>
    </row>
    <row r="465" ht="15.75" customHeight="1">
      <c r="A465" s="279"/>
      <c r="B465" s="280"/>
      <c r="C465" s="280"/>
      <c r="D465" s="280"/>
      <c r="E465" s="281"/>
      <c r="F465" s="281"/>
      <c r="G465" s="280"/>
      <c r="H465" s="282"/>
      <c r="I465" s="283"/>
      <c r="J465" s="280"/>
      <c r="K465" s="103"/>
      <c r="L465" s="146"/>
      <c r="M465" s="103"/>
      <c r="N465" s="103"/>
      <c r="O465" s="103">
        <f t="shared" si="3"/>
        <v>0</v>
      </c>
      <c r="P465" s="104">
        <f t="shared" si="4"/>
        <v>0</v>
      </c>
      <c r="Q465" s="147"/>
      <c r="R465" s="103"/>
      <c r="S465" s="103">
        <f t="shared" si="6"/>
        <v>0</v>
      </c>
      <c r="U465" s="107" t="str">
        <f t="shared" si="7"/>
        <v>0</v>
      </c>
    </row>
    <row r="466" ht="15.75" customHeight="1">
      <c r="A466" s="279"/>
      <c r="B466" s="280"/>
      <c r="C466" s="280"/>
      <c r="D466" s="280"/>
      <c r="E466" s="281"/>
      <c r="F466" s="281"/>
      <c r="G466" s="280"/>
      <c r="H466" s="282"/>
      <c r="I466" s="283"/>
      <c r="J466" s="280"/>
      <c r="K466" s="103"/>
      <c r="L466" s="146"/>
      <c r="M466" s="103"/>
      <c r="N466" s="103"/>
      <c r="O466" s="103">
        <f t="shared" si="3"/>
        <v>0</v>
      </c>
      <c r="P466" s="104">
        <f t="shared" si="4"/>
        <v>0</v>
      </c>
      <c r="Q466" s="147"/>
      <c r="R466" s="103"/>
      <c r="S466" s="103">
        <f t="shared" si="6"/>
        <v>0</v>
      </c>
      <c r="U466" s="107" t="str">
        <f t="shared" si="7"/>
        <v>0</v>
      </c>
    </row>
    <row r="467" ht="15.75" customHeight="1">
      <c r="A467" s="279"/>
      <c r="B467" s="280"/>
      <c r="C467" s="280"/>
      <c r="D467" s="280"/>
      <c r="E467" s="281"/>
      <c r="F467" s="281"/>
      <c r="G467" s="280"/>
      <c r="H467" s="282"/>
      <c r="I467" s="283"/>
      <c r="J467" s="280"/>
      <c r="K467" s="103"/>
      <c r="L467" s="146"/>
      <c r="M467" s="103"/>
      <c r="N467" s="103"/>
      <c r="O467" s="103">
        <f t="shared" si="3"/>
        <v>0</v>
      </c>
      <c r="P467" s="104">
        <f t="shared" si="4"/>
        <v>0</v>
      </c>
      <c r="Q467" s="147"/>
      <c r="R467" s="103"/>
      <c r="S467" s="103">
        <f t="shared" si="6"/>
        <v>0</v>
      </c>
      <c r="U467" s="107" t="str">
        <f t="shared" si="7"/>
        <v>0</v>
      </c>
    </row>
    <row r="468" ht="15.75" customHeight="1">
      <c r="A468" s="279"/>
      <c r="B468" s="280"/>
      <c r="C468" s="280"/>
      <c r="D468" s="280"/>
      <c r="E468" s="281"/>
      <c r="F468" s="281"/>
      <c r="G468" s="280"/>
      <c r="H468" s="282"/>
      <c r="I468" s="283"/>
      <c r="J468" s="280"/>
      <c r="K468" s="103"/>
      <c r="L468" s="146"/>
      <c r="M468" s="103"/>
      <c r="N468" s="103"/>
      <c r="O468" s="103">
        <f t="shared" si="3"/>
        <v>0</v>
      </c>
      <c r="P468" s="104">
        <f t="shared" si="4"/>
        <v>0</v>
      </c>
      <c r="Q468" s="147"/>
      <c r="R468" s="103"/>
      <c r="S468" s="103">
        <f t="shared" si="6"/>
        <v>0</v>
      </c>
      <c r="U468" s="107" t="str">
        <f t="shared" si="7"/>
        <v>0</v>
      </c>
    </row>
    <row r="469" ht="15.75" customHeight="1">
      <c r="A469" s="279"/>
      <c r="B469" s="280"/>
      <c r="C469" s="280"/>
      <c r="D469" s="280"/>
      <c r="E469" s="281"/>
      <c r="F469" s="281"/>
      <c r="G469" s="280"/>
      <c r="H469" s="282"/>
      <c r="I469" s="283"/>
      <c r="J469" s="280"/>
      <c r="K469" s="103"/>
      <c r="L469" s="146"/>
      <c r="M469" s="103"/>
      <c r="N469" s="103"/>
      <c r="O469" s="103">
        <f t="shared" si="3"/>
        <v>0</v>
      </c>
      <c r="P469" s="104">
        <f t="shared" si="4"/>
        <v>0</v>
      </c>
      <c r="Q469" s="147"/>
      <c r="R469" s="103"/>
      <c r="S469" s="103">
        <f t="shared" si="6"/>
        <v>0</v>
      </c>
      <c r="U469" s="107" t="str">
        <f t="shared" si="7"/>
        <v>0</v>
      </c>
    </row>
    <row r="470" ht="15.75" customHeight="1">
      <c r="A470" s="279"/>
      <c r="B470" s="280"/>
      <c r="C470" s="280"/>
      <c r="D470" s="280"/>
      <c r="E470" s="281"/>
      <c r="F470" s="281"/>
      <c r="G470" s="280"/>
      <c r="H470" s="282"/>
      <c r="I470" s="283"/>
      <c r="J470" s="280"/>
      <c r="K470" s="103"/>
      <c r="L470" s="146"/>
      <c r="M470" s="103"/>
      <c r="N470" s="103"/>
      <c r="O470" s="103">
        <f t="shared" si="3"/>
        <v>0</v>
      </c>
      <c r="P470" s="104">
        <f t="shared" si="4"/>
        <v>0</v>
      </c>
      <c r="Q470" s="147"/>
      <c r="R470" s="103"/>
      <c r="S470" s="103">
        <f t="shared" si="6"/>
        <v>0</v>
      </c>
      <c r="U470" s="107" t="str">
        <f t="shared" si="7"/>
        <v>0</v>
      </c>
    </row>
    <row r="471" ht="15.75" customHeight="1">
      <c r="A471" s="279"/>
      <c r="B471" s="280"/>
      <c r="C471" s="280"/>
      <c r="D471" s="280"/>
      <c r="E471" s="281"/>
      <c r="F471" s="281"/>
      <c r="G471" s="280"/>
      <c r="H471" s="282"/>
      <c r="I471" s="283"/>
      <c r="J471" s="280"/>
      <c r="K471" s="103"/>
      <c r="L471" s="146"/>
      <c r="M471" s="103"/>
      <c r="N471" s="103"/>
      <c r="O471" s="103">
        <f t="shared" si="3"/>
        <v>0</v>
      </c>
      <c r="P471" s="104">
        <f t="shared" si="4"/>
        <v>0</v>
      </c>
      <c r="Q471" s="147"/>
      <c r="R471" s="103"/>
      <c r="S471" s="103">
        <f t="shared" si="6"/>
        <v>0</v>
      </c>
      <c r="U471" s="107" t="str">
        <f t="shared" si="7"/>
        <v>0</v>
      </c>
    </row>
    <row r="472" ht="15.75" customHeight="1">
      <c r="A472" s="279"/>
      <c r="B472" s="280"/>
      <c r="C472" s="280"/>
      <c r="D472" s="280"/>
      <c r="E472" s="281"/>
      <c r="F472" s="281"/>
      <c r="G472" s="280"/>
      <c r="H472" s="282"/>
      <c r="I472" s="283"/>
      <c r="J472" s="280"/>
      <c r="K472" s="103"/>
      <c r="L472" s="146"/>
      <c r="M472" s="103"/>
      <c r="N472" s="103"/>
      <c r="O472" s="103">
        <f t="shared" si="3"/>
        <v>0</v>
      </c>
      <c r="P472" s="104">
        <f t="shared" si="4"/>
        <v>0</v>
      </c>
      <c r="Q472" s="147"/>
      <c r="R472" s="103"/>
      <c r="S472" s="103">
        <f t="shared" si="6"/>
        <v>0</v>
      </c>
      <c r="U472" s="107" t="str">
        <f t="shared" si="7"/>
        <v>0</v>
      </c>
    </row>
    <row r="473" ht="15.75" customHeight="1">
      <c r="A473" s="279"/>
      <c r="B473" s="280"/>
      <c r="C473" s="280"/>
      <c r="D473" s="280"/>
      <c r="E473" s="281"/>
      <c r="F473" s="281"/>
      <c r="G473" s="280"/>
      <c r="H473" s="282"/>
      <c r="I473" s="283"/>
      <c r="J473" s="280"/>
      <c r="K473" s="103"/>
      <c r="L473" s="146"/>
      <c r="M473" s="103"/>
      <c r="N473" s="103"/>
      <c r="O473" s="103">
        <f t="shared" si="3"/>
        <v>0</v>
      </c>
      <c r="P473" s="104">
        <f t="shared" si="4"/>
        <v>0</v>
      </c>
      <c r="Q473" s="147"/>
      <c r="R473" s="103"/>
      <c r="S473" s="103">
        <f t="shared" si="6"/>
        <v>0</v>
      </c>
      <c r="U473" s="107" t="str">
        <f t="shared" si="7"/>
        <v>0</v>
      </c>
    </row>
    <row r="474" ht="15.75" customHeight="1">
      <c r="A474" s="279"/>
      <c r="B474" s="280"/>
      <c r="C474" s="280"/>
      <c r="D474" s="280"/>
      <c r="E474" s="281"/>
      <c r="F474" s="281"/>
      <c r="G474" s="280"/>
      <c r="H474" s="282"/>
      <c r="I474" s="283"/>
      <c r="J474" s="280"/>
      <c r="K474" s="103"/>
      <c r="L474" s="146"/>
      <c r="M474" s="103"/>
      <c r="N474" s="103"/>
      <c r="O474" s="103">
        <f t="shared" si="3"/>
        <v>0</v>
      </c>
      <c r="P474" s="104">
        <f t="shared" si="4"/>
        <v>0</v>
      </c>
      <c r="Q474" s="147"/>
      <c r="R474" s="103"/>
      <c r="S474" s="103">
        <f t="shared" si="6"/>
        <v>0</v>
      </c>
      <c r="U474" s="107" t="str">
        <f t="shared" si="7"/>
        <v>0</v>
      </c>
    </row>
    <row r="475" ht="15.75" customHeight="1">
      <c r="A475" s="279"/>
      <c r="B475" s="280"/>
      <c r="C475" s="280"/>
      <c r="D475" s="280"/>
      <c r="E475" s="281"/>
      <c r="F475" s="281"/>
      <c r="G475" s="280"/>
      <c r="H475" s="282"/>
      <c r="I475" s="283"/>
      <c r="J475" s="280"/>
      <c r="K475" s="103"/>
      <c r="L475" s="146"/>
      <c r="M475" s="103"/>
      <c r="N475" s="103"/>
      <c r="O475" s="103">
        <f t="shared" si="3"/>
        <v>0</v>
      </c>
      <c r="P475" s="104">
        <f t="shared" si="4"/>
        <v>0</v>
      </c>
      <c r="Q475" s="147"/>
      <c r="R475" s="103"/>
      <c r="S475" s="103">
        <f t="shared" si="6"/>
        <v>0</v>
      </c>
      <c r="U475" s="107" t="str">
        <f t="shared" si="7"/>
        <v>0</v>
      </c>
    </row>
    <row r="476" ht="15.75" customHeight="1">
      <c r="A476" s="279"/>
      <c r="B476" s="280"/>
      <c r="C476" s="280"/>
      <c r="D476" s="280"/>
      <c r="E476" s="281"/>
      <c r="F476" s="281"/>
      <c r="G476" s="280"/>
      <c r="H476" s="282"/>
      <c r="I476" s="283"/>
      <c r="J476" s="280"/>
      <c r="K476" s="103"/>
      <c r="L476" s="146"/>
      <c r="M476" s="103"/>
      <c r="N476" s="103"/>
      <c r="O476" s="103">
        <f t="shared" si="3"/>
        <v>0</v>
      </c>
      <c r="P476" s="104">
        <f t="shared" si="4"/>
        <v>0</v>
      </c>
      <c r="Q476" s="147"/>
      <c r="R476" s="103"/>
      <c r="S476" s="103">
        <f t="shared" si="6"/>
        <v>0</v>
      </c>
      <c r="U476" s="107" t="str">
        <f t="shared" si="7"/>
        <v>0</v>
      </c>
    </row>
    <row r="477" ht="15.75" customHeight="1">
      <c r="A477" s="279"/>
      <c r="B477" s="280"/>
      <c r="C477" s="280"/>
      <c r="D477" s="280"/>
      <c r="E477" s="281"/>
      <c r="F477" s="281"/>
      <c r="G477" s="280"/>
      <c r="H477" s="282"/>
      <c r="I477" s="283"/>
      <c r="J477" s="280"/>
      <c r="K477" s="103"/>
      <c r="L477" s="146"/>
      <c r="M477" s="103"/>
      <c r="N477" s="103"/>
      <c r="O477" s="103">
        <f t="shared" si="3"/>
        <v>0</v>
      </c>
      <c r="P477" s="104">
        <f t="shared" si="4"/>
        <v>0</v>
      </c>
      <c r="Q477" s="147"/>
      <c r="R477" s="103"/>
      <c r="S477" s="103">
        <f t="shared" si="6"/>
        <v>0</v>
      </c>
      <c r="U477" s="107" t="str">
        <f t="shared" si="7"/>
        <v>0</v>
      </c>
    </row>
    <row r="478" ht="15.75" customHeight="1">
      <c r="A478" s="279"/>
      <c r="B478" s="280"/>
      <c r="C478" s="280"/>
      <c r="D478" s="280"/>
      <c r="E478" s="281"/>
      <c r="F478" s="281"/>
      <c r="G478" s="280"/>
      <c r="H478" s="282"/>
      <c r="I478" s="283"/>
      <c r="J478" s="280"/>
      <c r="K478" s="103"/>
      <c r="L478" s="146"/>
      <c r="M478" s="103"/>
      <c r="N478" s="103"/>
      <c r="O478" s="103">
        <f t="shared" si="3"/>
        <v>0</v>
      </c>
      <c r="P478" s="104">
        <f t="shared" si="4"/>
        <v>0</v>
      </c>
      <c r="Q478" s="147"/>
      <c r="R478" s="103"/>
      <c r="S478" s="103">
        <f t="shared" si="6"/>
        <v>0</v>
      </c>
      <c r="U478" s="107" t="str">
        <f t="shared" si="7"/>
        <v>0</v>
      </c>
    </row>
    <row r="479" ht="15.75" customHeight="1">
      <c r="A479" s="279"/>
      <c r="B479" s="280"/>
      <c r="C479" s="280"/>
      <c r="D479" s="280"/>
      <c r="E479" s="281"/>
      <c r="F479" s="281"/>
      <c r="G479" s="280"/>
      <c r="H479" s="282"/>
      <c r="I479" s="283"/>
      <c r="J479" s="280"/>
      <c r="K479" s="103"/>
      <c r="L479" s="146"/>
      <c r="M479" s="103"/>
      <c r="N479" s="103"/>
      <c r="O479" s="103">
        <f t="shared" si="3"/>
        <v>0</v>
      </c>
      <c r="P479" s="104">
        <f t="shared" si="4"/>
        <v>0</v>
      </c>
      <c r="Q479" s="147"/>
      <c r="R479" s="103"/>
      <c r="S479" s="103">
        <f t="shared" si="6"/>
        <v>0</v>
      </c>
      <c r="U479" s="107" t="str">
        <f t="shared" si="7"/>
        <v>0</v>
      </c>
    </row>
    <row r="480" ht="15.75" customHeight="1">
      <c r="A480" s="279"/>
      <c r="B480" s="280"/>
      <c r="C480" s="280"/>
      <c r="D480" s="280"/>
      <c r="E480" s="281"/>
      <c r="F480" s="281"/>
      <c r="G480" s="280"/>
      <c r="H480" s="282"/>
      <c r="I480" s="283"/>
      <c r="J480" s="280"/>
      <c r="K480" s="103"/>
      <c r="L480" s="146"/>
      <c r="M480" s="103"/>
      <c r="N480" s="103"/>
      <c r="O480" s="103">
        <f t="shared" si="3"/>
        <v>0</v>
      </c>
      <c r="P480" s="104">
        <f t="shared" si="4"/>
        <v>0</v>
      </c>
      <c r="Q480" s="147"/>
      <c r="R480" s="103"/>
      <c r="S480" s="103">
        <f t="shared" si="6"/>
        <v>0</v>
      </c>
      <c r="U480" s="107" t="str">
        <f t="shared" si="7"/>
        <v>0</v>
      </c>
    </row>
    <row r="481" ht="15.75" customHeight="1">
      <c r="A481" s="279"/>
      <c r="B481" s="280"/>
      <c r="C481" s="280"/>
      <c r="D481" s="280"/>
      <c r="E481" s="281"/>
      <c r="F481" s="281"/>
      <c r="G481" s="280"/>
      <c r="H481" s="282"/>
      <c r="I481" s="283"/>
      <c r="J481" s="280"/>
      <c r="K481" s="103"/>
      <c r="L481" s="146"/>
      <c r="M481" s="103"/>
      <c r="N481" s="103"/>
      <c r="O481" s="103">
        <f t="shared" si="3"/>
        <v>0</v>
      </c>
      <c r="P481" s="104">
        <f t="shared" si="4"/>
        <v>0</v>
      </c>
      <c r="Q481" s="147"/>
      <c r="R481" s="103"/>
      <c r="S481" s="103">
        <f t="shared" si="6"/>
        <v>0</v>
      </c>
      <c r="U481" s="107" t="str">
        <f t="shared" si="7"/>
        <v>0</v>
      </c>
    </row>
    <row r="482" ht="15.75" customHeight="1">
      <c r="A482" s="279"/>
      <c r="B482" s="280"/>
      <c r="C482" s="280"/>
      <c r="D482" s="280"/>
      <c r="E482" s="281"/>
      <c r="F482" s="281"/>
      <c r="G482" s="280"/>
      <c r="H482" s="282"/>
      <c r="I482" s="283"/>
      <c r="J482" s="280"/>
      <c r="K482" s="103"/>
      <c r="L482" s="146"/>
      <c r="M482" s="103"/>
      <c r="N482" s="103"/>
      <c r="O482" s="103">
        <f t="shared" si="3"/>
        <v>0</v>
      </c>
      <c r="P482" s="104">
        <f t="shared" si="4"/>
        <v>0</v>
      </c>
      <c r="Q482" s="147"/>
      <c r="R482" s="103"/>
      <c r="S482" s="103">
        <f t="shared" si="6"/>
        <v>0</v>
      </c>
      <c r="U482" s="107" t="str">
        <f t="shared" si="7"/>
        <v>0</v>
      </c>
    </row>
    <row r="483" ht="15.75" customHeight="1">
      <c r="A483" s="279"/>
      <c r="B483" s="280"/>
      <c r="C483" s="280"/>
      <c r="D483" s="280"/>
      <c r="E483" s="281"/>
      <c r="F483" s="281"/>
      <c r="G483" s="280"/>
      <c r="H483" s="282"/>
      <c r="I483" s="283"/>
      <c r="J483" s="280"/>
      <c r="K483" s="103"/>
      <c r="L483" s="146"/>
      <c r="M483" s="103"/>
      <c r="N483" s="103"/>
      <c r="O483" s="103">
        <f t="shared" si="3"/>
        <v>0</v>
      </c>
      <c r="P483" s="104">
        <f t="shared" si="4"/>
        <v>0</v>
      </c>
      <c r="Q483" s="147"/>
      <c r="R483" s="103"/>
      <c r="S483" s="103">
        <f t="shared" si="6"/>
        <v>0</v>
      </c>
      <c r="U483" s="107" t="str">
        <f t="shared" si="7"/>
        <v>0</v>
      </c>
    </row>
    <row r="484" ht="15.75" customHeight="1">
      <c r="A484" s="279"/>
      <c r="B484" s="280"/>
      <c r="C484" s="280"/>
      <c r="D484" s="280"/>
      <c r="E484" s="281"/>
      <c r="F484" s="281"/>
      <c r="G484" s="280"/>
      <c r="H484" s="282"/>
      <c r="I484" s="283"/>
      <c r="J484" s="280"/>
      <c r="K484" s="103"/>
      <c r="L484" s="146"/>
      <c r="M484" s="103"/>
      <c r="N484" s="103"/>
      <c r="O484" s="103">
        <f t="shared" si="3"/>
        <v>0</v>
      </c>
      <c r="P484" s="104">
        <f t="shared" si="4"/>
        <v>0</v>
      </c>
      <c r="Q484" s="147"/>
      <c r="R484" s="103"/>
      <c r="S484" s="103">
        <f t="shared" si="6"/>
        <v>0</v>
      </c>
      <c r="U484" s="107" t="str">
        <f t="shared" si="7"/>
        <v>0</v>
      </c>
    </row>
    <row r="485" ht="15.75" customHeight="1">
      <c r="A485" s="279"/>
      <c r="B485" s="280"/>
      <c r="C485" s="280"/>
      <c r="D485" s="280"/>
      <c r="E485" s="281"/>
      <c r="F485" s="281"/>
      <c r="G485" s="280"/>
      <c r="H485" s="282"/>
      <c r="I485" s="283"/>
      <c r="J485" s="280"/>
      <c r="K485" s="103"/>
      <c r="L485" s="146"/>
      <c r="M485" s="103"/>
      <c r="N485" s="103"/>
      <c r="O485" s="103">
        <f t="shared" si="3"/>
        <v>0</v>
      </c>
      <c r="P485" s="104">
        <f t="shared" si="4"/>
        <v>0</v>
      </c>
      <c r="Q485" s="147"/>
      <c r="R485" s="103"/>
      <c r="S485" s="103">
        <f t="shared" si="6"/>
        <v>0</v>
      </c>
      <c r="U485" s="107" t="str">
        <f t="shared" si="7"/>
        <v>0</v>
      </c>
    </row>
    <row r="486" ht="15.75" customHeight="1">
      <c r="A486" s="279"/>
      <c r="B486" s="280"/>
      <c r="C486" s="280"/>
      <c r="D486" s="280"/>
      <c r="E486" s="281"/>
      <c r="F486" s="281"/>
      <c r="G486" s="280"/>
      <c r="H486" s="282"/>
      <c r="I486" s="283"/>
      <c r="J486" s="280"/>
      <c r="K486" s="103"/>
      <c r="L486" s="146"/>
      <c r="M486" s="103"/>
      <c r="N486" s="103"/>
      <c r="O486" s="103">
        <f t="shared" si="3"/>
        <v>0</v>
      </c>
      <c r="P486" s="104">
        <f t="shared" si="4"/>
        <v>0</v>
      </c>
      <c r="Q486" s="147"/>
      <c r="R486" s="103"/>
      <c r="S486" s="103">
        <f t="shared" si="6"/>
        <v>0</v>
      </c>
      <c r="U486" s="107" t="str">
        <f t="shared" si="7"/>
        <v>0</v>
      </c>
    </row>
    <row r="487" ht="15.75" customHeight="1">
      <c r="A487" s="279"/>
      <c r="B487" s="280"/>
      <c r="C487" s="280"/>
      <c r="D487" s="280"/>
      <c r="E487" s="281"/>
      <c r="F487" s="281"/>
      <c r="G487" s="280"/>
      <c r="H487" s="282"/>
      <c r="I487" s="283"/>
      <c r="J487" s="280"/>
      <c r="K487" s="103"/>
      <c r="L487" s="146"/>
      <c r="M487" s="103"/>
      <c r="N487" s="103"/>
      <c r="O487" s="103">
        <f t="shared" si="3"/>
        <v>0</v>
      </c>
      <c r="P487" s="104">
        <f t="shared" si="4"/>
        <v>0</v>
      </c>
      <c r="Q487" s="147"/>
      <c r="R487" s="103"/>
      <c r="S487" s="103">
        <f t="shared" si="6"/>
        <v>0</v>
      </c>
      <c r="U487" s="107" t="str">
        <f t="shared" si="7"/>
        <v>0</v>
      </c>
    </row>
    <row r="488" ht="15.75" customHeight="1">
      <c r="A488" s="279"/>
      <c r="B488" s="280"/>
      <c r="C488" s="280"/>
      <c r="D488" s="280"/>
      <c r="E488" s="281"/>
      <c r="F488" s="281"/>
      <c r="G488" s="280"/>
      <c r="H488" s="282"/>
      <c r="I488" s="283"/>
      <c r="J488" s="280"/>
      <c r="K488" s="103"/>
      <c r="L488" s="146"/>
      <c r="M488" s="103"/>
      <c r="N488" s="103"/>
      <c r="O488" s="103">
        <f t="shared" si="3"/>
        <v>0</v>
      </c>
      <c r="P488" s="104">
        <f t="shared" si="4"/>
        <v>0</v>
      </c>
      <c r="Q488" s="147"/>
      <c r="R488" s="103"/>
      <c r="S488" s="103">
        <f t="shared" si="6"/>
        <v>0</v>
      </c>
      <c r="U488" s="107" t="str">
        <f t="shared" si="7"/>
        <v>0</v>
      </c>
    </row>
    <row r="489" ht="15.75" customHeight="1">
      <c r="A489" s="279"/>
      <c r="B489" s="280"/>
      <c r="C489" s="280"/>
      <c r="D489" s="280"/>
      <c r="E489" s="281"/>
      <c r="F489" s="281"/>
      <c r="G489" s="280"/>
      <c r="H489" s="282"/>
      <c r="I489" s="283"/>
      <c r="J489" s="280"/>
      <c r="K489" s="103"/>
      <c r="L489" s="146"/>
      <c r="M489" s="103"/>
      <c r="N489" s="103"/>
      <c r="O489" s="103">
        <f t="shared" si="3"/>
        <v>0</v>
      </c>
      <c r="P489" s="104">
        <f t="shared" si="4"/>
        <v>0</v>
      </c>
      <c r="Q489" s="147"/>
      <c r="R489" s="103"/>
      <c r="S489" s="103">
        <f t="shared" si="6"/>
        <v>0</v>
      </c>
      <c r="U489" s="107" t="str">
        <f t="shared" si="7"/>
        <v>0</v>
      </c>
    </row>
    <row r="490" ht="15.75" customHeight="1">
      <c r="A490" s="279"/>
      <c r="B490" s="280"/>
      <c r="C490" s="280"/>
      <c r="D490" s="280"/>
      <c r="E490" s="281"/>
      <c r="F490" s="281"/>
      <c r="G490" s="280"/>
      <c r="H490" s="282"/>
      <c r="I490" s="283"/>
      <c r="J490" s="280"/>
      <c r="K490" s="103"/>
      <c r="L490" s="146"/>
      <c r="M490" s="103"/>
      <c r="N490" s="103"/>
      <c r="O490" s="103">
        <f t="shared" si="3"/>
        <v>0</v>
      </c>
      <c r="P490" s="104">
        <f t="shared" si="4"/>
        <v>0</v>
      </c>
      <c r="Q490" s="147"/>
      <c r="R490" s="103"/>
      <c r="S490" s="103">
        <f t="shared" si="6"/>
        <v>0</v>
      </c>
      <c r="U490" s="107" t="str">
        <f t="shared" si="7"/>
        <v>0</v>
      </c>
    </row>
    <row r="491" ht="15.75" customHeight="1">
      <c r="A491" s="279"/>
      <c r="B491" s="280"/>
      <c r="C491" s="280"/>
      <c r="D491" s="280"/>
      <c r="E491" s="281"/>
      <c r="F491" s="281"/>
      <c r="G491" s="280"/>
      <c r="H491" s="282"/>
      <c r="I491" s="283"/>
      <c r="J491" s="280"/>
      <c r="K491" s="103"/>
      <c r="L491" s="146"/>
      <c r="M491" s="103"/>
      <c r="N491" s="103"/>
      <c r="O491" s="103">
        <f t="shared" si="3"/>
        <v>0</v>
      </c>
      <c r="P491" s="104">
        <f t="shared" si="4"/>
        <v>0</v>
      </c>
      <c r="Q491" s="147"/>
      <c r="R491" s="103"/>
      <c r="S491" s="103">
        <f t="shared" si="6"/>
        <v>0</v>
      </c>
      <c r="U491" s="107" t="str">
        <f t="shared" si="7"/>
        <v>0</v>
      </c>
    </row>
    <row r="492" ht="15.75" customHeight="1">
      <c r="A492" s="279"/>
      <c r="B492" s="280"/>
      <c r="C492" s="280"/>
      <c r="D492" s="280"/>
      <c r="E492" s="281"/>
      <c r="F492" s="281"/>
      <c r="G492" s="280"/>
      <c r="H492" s="282"/>
      <c r="I492" s="283"/>
      <c r="J492" s="280"/>
      <c r="K492" s="103"/>
      <c r="L492" s="146"/>
      <c r="M492" s="103"/>
      <c r="N492" s="103"/>
      <c r="O492" s="103">
        <f t="shared" si="3"/>
        <v>0</v>
      </c>
      <c r="P492" s="104">
        <f t="shared" si="4"/>
        <v>0</v>
      </c>
      <c r="Q492" s="147"/>
      <c r="R492" s="103"/>
      <c r="S492" s="103">
        <f t="shared" si="6"/>
        <v>0</v>
      </c>
      <c r="U492" s="107" t="str">
        <f t="shared" si="7"/>
        <v>0</v>
      </c>
    </row>
    <row r="493" ht="15.75" customHeight="1">
      <c r="A493" s="279"/>
      <c r="B493" s="280"/>
      <c r="C493" s="280"/>
      <c r="D493" s="280"/>
      <c r="E493" s="281"/>
      <c r="F493" s="281"/>
      <c r="G493" s="280"/>
      <c r="H493" s="282"/>
      <c r="I493" s="283"/>
      <c r="J493" s="280"/>
      <c r="K493" s="103"/>
      <c r="L493" s="146"/>
      <c r="M493" s="103"/>
      <c r="N493" s="103"/>
      <c r="O493" s="103">
        <f t="shared" si="3"/>
        <v>0</v>
      </c>
      <c r="P493" s="104">
        <f t="shared" si="4"/>
        <v>0</v>
      </c>
      <c r="Q493" s="147"/>
      <c r="R493" s="103"/>
      <c r="S493" s="103">
        <f t="shared" si="6"/>
        <v>0</v>
      </c>
      <c r="U493" s="107" t="str">
        <f t="shared" si="7"/>
        <v>0</v>
      </c>
    </row>
    <row r="494" ht="15.75" customHeight="1">
      <c r="A494" s="279"/>
      <c r="B494" s="280"/>
      <c r="C494" s="280"/>
      <c r="D494" s="280"/>
      <c r="E494" s="281"/>
      <c r="F494" s="281"/>
      <c r="G494" s="280"/>
      <c r="H494" s="282"/>
      <c r="I494" s="283"/>
      <c r="J494" s="280"/>
      <c r="K494" s="103"/>
      <c r="L494" s="146"/>
      <c r="M494" s="103"/>
      <c r="N494" s="103"/>
      <c r="O494" s="103">
        <f t="shared" si="3"/>
        <v>0</v>
      </c>
      <c r="P494" s="104">
        <f t="shared" si="4"/>
        <v>0</v>
      </c>
      <c r="Q494" s="147"/>
      <c r="R494" s="103"/>
      <c r="S494" s="103">
        <f t="shared" si="6"/>
        <v>0</v>
      </c>
      <c r="U494" s="107" t="str">
        <f t="shared" si="7"/>
        <v>0</v>
      </c>
    </row>
    <row r="495" ht="15.75" customHeight="1">
      <c r="A495" s="279"/>
      <c r="B495" s="280"/>
      <c r="C495" s="280"/>
      <c r="D495" s="280"/>
      <c r="E495" s="281"/>
      <c r="F495" s="281"/>
      <c r="G495" s="280"/>
      <c r="H495" s="282"/>
      <c r="I495" s="283"/>
      <c r="J495" s="280"/>
      <c r="K495" s="103"/>
      <c r="L495" s="146"/>
      <c r="M495" s="103"/>
      <c r="N495" s="103"/>
      <c r="O495" s="103">
        <f t="shared" si="3"/>
        <v>0</v>
      </c>
      <c r="P495" s="104">
        <f t="shared" si="4"/>
        <v>0</v>
      </c>
      <c r="Q495" s="147"/>
      <c r="R495" s="103"/>
      <c r="S495" s="103">
        <f t="shared" si="6"/>
        <v>0</v>
      </c>
      <c r="U495" s="107" t="str">
        <f t="shared" si="7"/>
        <v>0</v>
      </c>
    </row>
    <row r="496" ht="15.75" customHeight="1">
      <c r="A496" s="279"/>
      <c r="B496" s="280"/>
      <c r="C496" s="280"/>
      <c r="D496" s="280"/>
      <c r="E496" s="281"/>
      <c r="F496" s="281"/>
      <c r="G496" s="280"/>
      <c r="H496" s="282"/>
      <c r="I496" s="283"/>
      <c r="J496" s="280"/>
      <c r="K496" s="103"/>
      <c r="L496" s="146"/>
      <c r="M496" s="103"/>
      <c r="N496" s="103"/>
      <c r="O496" s="103">
        <f t="shared" si="3"/>
        <v>0</v>
      </c>
      <c r="P496" s="104">
        <f t="shared" si="4"/>
        <v>0</v>
      </c>
      <c r="Q496" s="147"/>
      <c r="R496" s="103"/>
      <c r="S496" s="103">
        <f t="shared" si="6"/>
        <v>0</v>
      </c>
      <c r="U496" s="107" t="str">
        <f t="shared" si="7"/>
        <v>0</v>
      </c>
    </row>
    <row r="497" ht="15.75" customHeight="1">
      <c r="A497" s="279"/>
      <c r="B497" s="280"/>
      <c r="C497" s="280"/>
      <c r="D497" s="280"/>
      <c r="E497" s="281"/>
      <c r="F497" s="281"/>
      <c r="G497" s="280"/>
      <c r="H497" s="282"/>
      <c r="I497" s="283"/>
      <c r="J497" s="280"/>
      <c r="K497" s="103"/>
      <c r="L497" s="146"/>
      <c r="M497" s="103"/>
      <c r="N497" s="103"/>
      <c r="O497" s="103">
        <f t="shared" si="3"/>
        <v>0</v>
      </c>
      <c r="P497" s="104">
        <f t="shared" si="4"/>
        <v>0</v>
      </c>
      <c r="Q497" s="147"/>
      <c r="R497" s="103"/>
      <c r="S497" s="103">
        <f t="shared" si="6"/>
        <v>0</v>
      </c>
      <c r="U497" s="107" t="str">
        <f t="shared" si="7"/>
        <v>0</v>
      </c>
    </row>
    <row r="498" ht="15.75" customHeight="1">
      <c r="A498" s="279"/>
      <c r="B498" s="280"/>
      <c r="C498" s="280"/>
      <c r="D498" s="280"/>
      <c r="E498" s="281"/>
      <c r="F498" s="281"/>
      <c r="G498" s="280"/>
      <c r="H498" s="282"/>
      <c r="I498" s="283"/>
      <c r="J498" s="280"/>
      <c r="K498" s="103"/>
      <c r="L498" s="146"/>
      <c r="M498" s="103"/>
      <c r="N498" s="103"/>
      <c r="O498" s="103">
        <f t="shared" si="3"/>
        <v>0</v>
      </c>
      <c r="P498" s="104">
        <f t="shared" si="4"/>
        <v>0</v>
      </c>
      <c r="Q498" s="147"/>
      <c r="R498" s="103"/>
      <c r="S498" s="103">
        <f t="shared" si="6"/>
        <v>0</v>
      </c>
      <c r="U498" s="107" t="str">
        <f t="shared" si="7"/>
        <v>0</v>
      </c>
    </row>
    <row r="499" ht="15.75" customHeight="1">
      <c r="A499" s="279"/>
      <c r="B499" s="280"/>
      <c r="C499" s="280"/>
      <c r="D499" s="280"/>
      <c r="E499" s="281"/>
      <c r="F499" s="281"/>
      <c r="G499" s="280"/>
      <c r="H499" s="282"/>
      <c r="I499" s="283"/>
      <c r="J499" s="280"/>
      <c r="K499" s="103"/>
      <c r="L499" s="146"/>
      <c r="M499" s="103"/>
      <c r="N499" s="103"/>
      <c r="O499" s="103">
        <f t="shared" si="3"/>
        <v>0</v>
      </c>
      <c r="P499" s="104">
        <f t="shared" si="4"/>
        <v>0</v>
      </c>
      <c r="Q499" s="147"/>
      <c r="R499" s="103"/>
      <c r="S499" s="103">
        <f t="shared" si="6"/>
        <v>0</v>
      </c>
      <c r="U499" s="107" t="str">
        <f t="shared" si="7"/>
        <v>0</v>
      </c>
    </row>
    <row r="500" ht="15.75" customHeight="1">
      <c r="A500" s="279"/>
      <c r="B500" s="280"/>
      <c r="C500" s="280"/>
      <c r="D500" s="280"/>
      <c r="E500" s="281"/>
      <c r="F500" s="281"/>
      <c r="G500" s="280"/>
      <c r="H500" s="282"/>
      <c r="I500" s="283"/>
      <c r="J500" s="280"/>
      <c r="K500" s="103"/>
      <c r="L500" s="146"/>
      <c r="M500" s="103"/>
      <c r="N500" s="103"/>
      <c r="O500" s="103">
        <f t="shared" si="3"/>
        <v>0</v>
      </c>
      <c r="P500" s="104">
        <f t="shared" si="4"/>
        <v>0</v>
      </c>
      <c r="Q500" s="147"/>
      <c r="R500" s="103"/>
      <c r="S500" s="103">
        <f t="shared" si="6"/>
        <v>0</v>
      </c>
      <c r="U500" s="107" t="str">
        <f t="shared" si="7"/>
        <v>0</v>
      </c>
    </row>
    <row r="501" ht="15.75" customHeight="1">
      <c r="A501" s="279"/>
      <c r="B501" s="280"/>
      <c r="C501" s="280"/>
      <c r="D501" s="280"/>
      <c r="E501" s="281"/>
      <c r="F501" s="281"/>
      <c r="G501" s="280"/>
      <c r="H501" s="282"/>
      <c r="I501" s="283"/>
      <c r="J501" s="280"/>
      <c r="K501" s="103"/>
      <c r="L501" s="146"/>
      <c r="M501" s="103"/>
      <c r="N501" s="103"/>
      <c r="O501" s="103">
        <f t="shared" si="3"/>
        <v>0</v>
      </c>
      <c r="P501" s="104">
        <f t="shared" si="4"/>
        <v>0</v>
      </c>
      <c r="Q501" s="147"/>
      <c r="R501" s="103"/>
      <c r="S501" s="103">
        <f t="shared" si="6"/>
        <v>0</v>
      </c>
      <c r="U501" s="107" t="str">
        <f t="shared" si="7"/>
        <v>0</v>
      </c>
    </row>
    <row r="502" ht="15.75" customHeight="1">
      <c r="A502" s="279"/>
      <c r="B502" s="280"/>
      <c r="C502" s="280"/>
      <c r="D502" s="280"/>
      <c r="E502" s="281"/>
      <c r="F502" s="281"/>
      <c r="G502" s="280"/>
      <c r="H502" s="282"/>
      <c r="I502" s="283"/>
      <c r="J502" s="280"/>
      <c r="K502" s="103"/>
      <c r="L502" s="146"/>
      <c r="M502" s="103"/>
      <c r="N502" s="103"/>
      <c r="O502" s="103">
        <f t="shared" si="3"/>
        <v>0</v>
      </c>
      <c r="P502" s="104">
        <f t="shared" si="4"/>
        <v>0</v>
      </c>
      <c r="Q502" s="147"/>
      <c r="R502" s="103"/>
      <c r="S502" s="103">
        <f t="shared" si="6"/>
        <v>0</v>
      </c>
      <c r="U502" s="107" t="str">
        <f t="shared" si="7"/>
        <v>0</v>
      </c>
    </row>
    <row r="503" ht="15.75" customHeight="1">
      <c r="A503" s="279"/>
      <c r="B503" s="280"/>
      <c r="C503" s="280"/>
      <c r="D503" s="280"/>
      <c r="E503" s="281"/>
      <c r="F503" s="281"/>
      <c r="G503" s="280"/>
      <c r="H503" s="282"/>
      <c r="I503" s="283"/>
      <c r="J503" s="280"/>
      <c r="K503" s="103"/>
      <c r="L503" s="146"/>
      <c r="M503" s="103"/>
      <c r="N503" s="103"/>
      <c r="O503" s="103">
        <f t="shared" si="3"/>
        <v>0</v>
      </c>
      <c r="P503" s="104">
        <f t="shared" si="4"/>
        <v>0</v>
      </c>
      <c r="Q503" s="147"/>
      <c r="R503" s="103"/>
      <c r="S503" s="103">
        <f t="shared" si="6"/>
        <v>0</v>
      </c>
      <c r="U503" s="107" t="str">
        <f t="shared" si="7"/>
        <v>0</v>
      </c>
    </row>
    <row r="504" ht="15.75" customHeight="1">
      <c r="A504" s="279"/>
      <c r="B504" s="280"/>
      <c r="C504" s="280"/>
      <c r="D504" s="280"/>
      <c r="E504" s="281"/>
      <c r="F504" s="281"/>
      <c r="G504" s="280"/>
      <c r="H504" s="282"/>
      <c r="I504" s="283"/>
      <c r="J504" s="280"/>
      <c r="K504" s="103"/>
      <c r="L504" s="146"/>
      <c r="M504" s="103"/>
      <c r="N504" s="103"/>
      <c r="O504" s="103">
        <f t="shared" si="3"/>
        <v>0</v>
      </c>
      <c r="P504" s="104">
        <f t="shared" si="4"/>
        <v>0</v>
      </c>
      <c r="Q504" s="147"/>
      <c r="R504" s="103"/>
      <c r="S504" s="103">
        <f t="shared" si="6"/>
        <v>0</v>
      </c>
      <c r="U504" s="107" t="str">
        <f t="shared" si="7"/>
        <v>0</v>
      </c>
    </row>
    <row r="505" ht="15.75" customHeight="1">
      <c r="A505" s="279"/>
      <c r="B505" s="280"/>
      <c r="C505" s="280"/>
      <c r="D505" s="280"/>
      <c r="E505" s="281"/>
      <c r="F505" s="281"/>
      <c r="G505" s="280"/>
      <c r="H505" s="282"/>
      <c r="I505" s="283"/>
      <c r="J505" s="280"/>
      <c r="K505" s="103"/>
      <c r="L505" s="146"/>
      <c r="M505" s="103"/>
      <c r="N505" s="103"/>
      <c r="O505" s="103">
        <f t="shared" si="3"/>
        <v>0</v>
      </c>
      <c r="P505" s="104">
        <f t="shared" si="4"/>
        <v>0</v>
      </c>
      <c r="Q505" s="147"/>
      <c r="R505" s="103"/>
      <c r="S505" s="103">
        <f t="shared" si="6"/>
        <v>0</v>
      </c>
      <c r="U505" s="107" t="str">
        <f t="shared" si="7"/>
        <v>0</v>
      </c>
    </row>
    <row r="506" ht="15.75" customHeight="1">
      <c r="A506" s="279"/>
      <c r="B506" s="280"/>
      <c r="C506" s="280"/>
      <c r="D506" s="280"/>
      <c r="E506" s="281"/>
      <c r="F506" s="281"/>
      <c r="G506" s="280"/>
      <c r="H506" s="282"/>
      <c r="I506" s="283"/>
      <c r="J506" s="280"/>
      <c r="K506" s="103"/>
      <c r="L506" s="146"/>
      <c r="M506" s="103"/>
      <c r="N506" s="103"/>
      <c r="O506" s="103">
        <f t="shared" si="3"/>
        <v>0</v>
      </c>
      <c r="P506" s="104">
        <f t="shared" si="4"/>
        <v>0</v>
      </c>
      <c r="Q506" s="147"/>
      <c r="R506" s="103"/>
      <c r="S506" s="103">
        <f t="shared" si="6"/>
        <v>0</v>
      </c>
      <c r="U506" s="107" t="str">
        <f t="shared" si="7"/>
        <v>0</v>
      </c>
    </row>
    <row r="507" ht="15.75" customHeight="1">
      <c r="A507" s="279"/>
      <c r="B507" s="280"/>
      <c r="C507" s="280"/>
      <c r="D507" s="280"/>
      <c r="E507" s="281"/>
      <c r="F507" s="281"/>
      <c r="G507" s="280"/>
      <c r="H507" s="282"/>
      <c r="I507" s="283"/>
      <c r="J507" s="280"/>
      <c r="K507" s="103"/>
      <c r="L507" s="146"/>
      <c r="M507" s="103"/>
      <c r="N507" s="103"/>
      <c r="O507" s="103">
        <f t="shared" si="3"/>
        <v>0</v>
      </c>
      <c r="P507" s="104">
        <f t="shared" si="4"/>
        <v>0</v>
      </c>
      <c r="Q507" s="147"/>
      <c r="R507" s="103"/>
      <c r="S507" s="103">
        <f t="shared" si="6"/>
        <v>0</v>
      </c>
      <c r="U507" s="107" t="str">
        <f t="shared" si="7"/>
        <v>0</v>
      </c>
    </row>
    <row r="508" ht="15.75" customHeight="1">
      <c r="A508" s="279"/>
      <c r="B508" s="280"/>
      <c r="C508" s="280"/>
      <c r="D508" s="280"/>
      <c r="E508" s="281"/>
      <c r="F508" s="281"/>
      <c r="G508" s="280"/>
      <c r="H508" s="282"/>
      <c r="I508" s="283"/>
      <c r="J508" s="280"/>
      <c r="K508" s="103"/>
      <c r="L508" s="146"/>
      <c r="M508" s="103"/>
      <c r="N508" s="103"/>
      <c r="O508" s="103">
        <f t="shared" si="3"/>
        <v>0</v>
      </c>
      <c r="P508" s="104">
        <f t="shared" si="4"/>
        <v>0</v>
      </c>
      <c r="Q508" s="147"/>
      <c r="R508" s="103"/>
      <c r="S508" s="103">
        <f t="shared" si="6"/>
        <v>0</v>
      </c>
      <c r="U508" s="107" t="str">
        <f t="shared" si="7"/>
        <v>0</v>
      </c>
    </row>
    <row r="509" ht="15.75" customHeight="1">
      <c r="A509" s="279"/>
      <c r="B509" s="280"/>
      <c r="C509" s="280"/>
      <c r="D509" s="280"/>
      <c r="E509" s="281"/>
      <c r="F509" s="281"/>
      <c r="G509" s="280"/>
      <c r="H509" s="282"/>
      <c r="I509" s="283"/>
      <c r="J509" s="280"/>
      <c r="K509" s="103"/>
      <c r="L509" s="146"/>
      <c r="M509" s="103"/>
      <c r="N509" s="103"/>
      <c r="O509" s="103">
        <f t="shared" si="3"/>
        <v>0</v>
      </c>
      <c r="P509" s="104">
        <f t="shared" si="4"/>
        <v>0</v>
      </c>
      <c r="Q509" s="147"/>
      <c r="R509" s="103"/>
      <c r="S509" s="103">
        <f t="shared" si="6"/>
        <v>0</v>
      </c>
      <c r="U509" s="107" t="str">
        <f t="shared" si="7"/>
        <v>0</v>
      </c>
    </row>
    <row r="510" ht="15.75" customHeight="1">
      <c r="A510" s="279"/>
      <c r="B510" s="280"/>
      <c r="C510" s="280"/>
      <c r="D510" s="280"/>
      <c r="E510" s="281"/>
      <c r="F510" s="281"/>
      <c r="G510" s="280"/>
      <c r="H510" s="282"/>
      <c r="I510" s="283"/>
      <c r="J510" s="280"/>
      <c r="K510" s="103"/>
      <c r="L510" s="146"/>
      <c r="M510" s="103"/>
      <c r="N510" s="103"/>
      <c r="O510" s="103">
        <f t="shared" si="3"/>
        <v>0</v>
      </c>
      <c r="P510" s="104">
        <f t="shared" si="4"/>
        <v>0</v>
      </c>
      <c r="Q510" s="147"/>
      <c r="R510" s="103"/>
      <c r="S510" s="103">
        <f t="shared" si="6"/>
        <v>0</v>
      </c>
      <c r="U510" s="107" t="str">
        <f t="shared" si="7"/>
        <v>0</v>
      </c>
    </row>
    <row r="511" ht="15.75" customHeight="1">
      <c r="A511" s="279"/>
      <c r="B511" s="280"/>
      <c r="C511" s="280"/>
      <c r="D511" s="280"/>
      <c r="E511" s="281"/>
      <c r="F511" s="281"/>
      <c r="G511" s="280"/>
      <c r="H511" s="282"/>
      <c r="I511" s="283"/>
      <c r="J511" s="280"/>
      <c r="K511" s="103"/>
      <c r="L511" s="146"/>
      <c r="M511" s="103"/>
      <c r="N511" s="103"/>
      <c r="O511" s="103">
        <f t="shared" si="3"/>
        <v>0</v>
      </c>
      <c r="P511" s="104">
        <f t="shared" si="4"/>
        <v>0</v>
      </c>
      <c r="Q511" s="147"/>
      <c r="R511" s="103"/>
      <c r="S511" s="103">
        <f t="shared" si="6"/>
        <v>0</v>
      </c>
      <c r="U511" s="107" t="str">
        <f t="shared" si="7"/>
        <v>0</v>
      </c>
    </row>
    <row r="512" ht="15.75" customHeight="1">
      <c r="A512" s="279"/>
      <c r="B512" s="280"/>
      <c r="C512" s="280"/>
      <c r="D512" s="280"/>
      <c r="E512" s="281"/>
      <c r="F512" s="281"/>
      <c r="G512" s="280"/>
      <c r="H512" s="282"/>
      <c r="I512" s="283"/>
      <c r="J512" s="280"/>
      <c r="K512" s="103"/>
      <c r="L512" s="146"/>
      <c r="M512" s="103"/>
      <c r="N512" s="103"/>
      <c r="O512" s="103">
        <f t="shared" si="3"/>
        <v>0</v>
      </c>
      <c r="P512" s="104">
        <f t="shared" si="4"/>
        <v>0</v>
      </c>
      <c r="Q512" s="147"/>
      <c r="R512" s="103"/>
      <c r="S512" s="103">
        <f t="shared" si="6"/>
        <v>0</v>
      </c>
      <c r="U512" s="107" t="str">
        <f t="shared" si="7"/>
        <v>0</v>
      </c>
    </row>
    <row r="513" ht="15.75" customHeight="1">
      <c r="A513" s="279"/>
      <c r="B513" s="280"/>
      <c r="C513" s="280"/>
      <c r="D513" s="280"/>
      <c r="E513" s="281"/>
      <c r="F513" s="281"/>
      <c r="G513" s="280"/>
      <c r="H513" s="282"/>
      <c r="I513" s="283"/>
      <c r="J513" s="280"/>
      <c r="K513" s="103"/>
      <c r="L513" s="146"/>
      <c r="M513" s="103"/>
      <c r="N513" s="103"/>
      <c r="O513" s="103">
        <f t="shared" si="3"/>
        <v>0</v>
      </c>
      <c r="P513" s="104">
        <f t="shared" si="4"/>
        <v>0</v>
      </c>
      <c r="Q513" s="147"/>
      <c r="R513" s="103"/>
      <c r="S513" s="103">
        <f t="shared" si="6"/>
        <v>0</v>
      </c>
      <c r="U513" s="107" t="str">
        <f t="shared" si="7"/>
        <v>0</v>
      </c>
    </row>
    <row r="514" ht="15.75" customHeight="1">
      <c r="A514" s="279"/>
      <c r="B514" s="280"/>
      <c r="C514" s="280"/>
      <c r="D514" s="280"/>
      <c r="E514" s="281"/>
      <c r="F514" s="281"/>
      <c r="G514" s="280"/>
      <c r="H514" s="282"/>
      <c r="I514" s="283"/>
      <c r="J514" s="280"/>
      <c r="K514" s="103"/>
      <c r="L514" s="146"/>
      <c r="M514" s="103"/>
      <c r="N514" s="103"/>
      <c r="O514" s="103">
        <f t="shared" si="3"/>
        <v>0</v>
      </c>
      <c r="P514" s="104">
        <f t="shared" si="4"/>
        <v>0</v>
      </c>
      <c r="Q514" s="147"/>
      <c r="R514" s="103"/>
      <c r="S514" s="103">
        <f t="shared" si="6"/>
        <v>0</v>
      </c>
      <c r="U514" s="107" t="str">
        <f t="shared" si="7"/>
        <v>0</v>
      </c>
    </row>
    <row r="515" ht="15.75" customHeight="1">
      <c r="A515" s="279"/>
      <c r="B515" s="280"/>
      <c r="C515" s="280"/>
      <c r="D515" s="280"/>
      <c r="E515" s="281"/>
      <c r="F515" s="281"/>
      <c r="G515" s="280"/>
      <c r="H515" s="282"/>
      <c r="I515" s="283"/>
      <c r="J515" s="280"/>
      <c r="K515" s="103"/>
      <c r="L515" s="146"/>
      <c r="M515" s="103"/>
      <c r="N515" s="103"/>
      <c r="O515" s="103">
        <f t="shared" si="3"/>
        <v>0</v>
      </c>
      <c r="P515" s="104">
        <f t="shared" si="4"/>
        <v>0</v>
      </c>
      <c r="Q515" s="147"/>
      <c r="R515" s="103"/>
      <c r="S515" s="103">
        <f t="shared" si="6"/>
        <v>0</v>
      </c>
      <c r="U515" s="107" t="str">
        <f t="shared" si="7"/>
        <v>0</v>
      </c>
    </row>
    <row r="516" ht="15.75" customHeight="1">
      <c r="A516" s="279"/>
      <c r="B516" s="280"/>
      <c r="C516" s="280"/>
      <c r="D516" s="280"/>
      <c r="E516" s="281"/>
      <c r="F516" s="281"/>
      <c r="G516" s="280"/>
      <c r="H516" s="282"/>
      <c r="I516" s="283"/>
      <c r="J516" s="280"/>
      <c r="K516" s="103"/>
      <c r="L516" s="146"/>
      <c r="M516" s="103"/>
      <c r="N516" s="103"/>
      <c r="O516" s="103">
        <f t="shared" si="3"/>
        <v>0</v>
      </c>
      <c r="P516" s="104">
        <f t="shared" si="4"/>
        <v>0</v>
      </c>
      <c r="Q516" s="147"/>
      <c r="R516" s="103"/>
      <c r="S516" s="103">
        <f t="shared" si="6"/>
        <v>0</v>
      </c>
      <c r="U516" s="107" t="str">
        <f t="shared" si="7"/>
        <v>0</v>
      </c>
    </row>
    <row r="517" ht="15.75" customHeight="1">
      <c r="A517" s="279"/>
      <c r="B517" s="280"/>
      <c r="C517" s="280"/>
      <c r="D517" s="280"/>
      <c r="E517" s="281"/>
      <c r="F517" s="281"/>
      <c r="G517" s="280"/>
      <c r="H517" s="282"/>
      <c r="I517" s="283"/>
      <c r="J517" s="280"/>
      <c r="K517" s="103"/>
      <c r="L517" s="146"/>
      <c r="M517" s="103"/>
      <c r="N517" s="103"/>
      <c r="O517" s="103">
        <f t="shared" si="3"/>
        <v>0</v>
      </c>
      <c r="P517" s="104">
        <f t="shared" si="4"/>
        <v>0</v>
      </c>
      <c r="Q517" s="147"/>
      <c r="R517" s="103"/>
      <c r="S517" s="103">
        <f t="shared" si="6"/>
        <v>0</v>
      </c>
      <c r="U517" s="107" t="str">
        <f t="shared" si="7"/>
        <v>0</v>
      </c>
    </row>
    <row r="518" ht="15.75" customHeight="1">
      <c r="A518" s="279"/>
      <c r="B518" s="280"/>
      <c r="C518" s="280"/>
      <c r="D518" s="280"/>
      <c r="E518" s="281"/>
      <c r="F518" s="281"/>
      <c r="G518" s="280"/>
      <c r="H518" s="282"/>
      <c r="I518" s="283"/>
      <c r="J518" s="280"/>
      <c r="K518" s="103"/>
      <c r="L518" s="146"/>
      <c r="M518" s="103"/>
      <c r="N518" s="103"/>
      <c r="O518" s="103">
        <f t="shared" si="3"/>
        <v>0</v>
      </c>
      <c r="P518" s="104">
        <f t="shared" si="4"/>
        <v>0</v>
      </c>
      <c r="Q518" s="147"/>
      <c r="R518" s="103"/>
      <c r="S518" s="103">
        <f t="shared" si="6"/>
        <v>0</v>
      </c>
      <c r="U518" s="107" t="str">
        <f t="shared" si="7"/>
        <v>0</v>
      </c>
    </row>
    <row r="519" ht="15.75" customHeight="1">
      <c r="A519" s="279"/>
      <c r="B519" s="280"/>
      <c r="C519" s="280"/>
      <c r="D519" s="280"/>
      <c r="E519" s="281"/>
      <c r="F519" s="281"/>
      <c r="G519" s="280"/>
      <c r="H519" s="282"/>
      <c r="I519" s="283"/>
      <c r="J519" s="280"/>
      <c r="K519" s="103"/>
      <c r="L519" s="146"/>
      <c r="M519" s="103"/>
      <c r="N519" s="103"/>
      <c r="O519" s="103">
        <f t="shared" si="3"/>
        <v>0</v>
      </c>
      <c r="P519" s="104">
        <f t="shared" si="4"/>
        <v>0</v>
      </c>
      <c r="Q519" s="147"/>
      <c r="R519" s="103"/>
      <c r="S519" s="103">
        <f t="shared" si="6"/>
        <v>0</v>
      </c>
      <c r="U519" s="107" t="str">
        <f t="shared" si="7"/>
        <v>0</v>
      </c>
    </row>
    <row r="520" ht="15.75" customHeight="1">
      <c r="A520" s="279"/>
      <c r="B520" s="280"/>
      <c r="C520" s="280"/>
      <c r="D520" s="280"/>
      <c r="E520" s="281"/>
      <c r="F520" s="281"/>
      <c r="G520" s="280"/>
      <c r="H520" s="282"/>
      <c r="I520" s="283"/>
      <c r="J520" s="280"/>
      <c r="K520" s="103"/>
      <c r="L520" s="146"/>
      <c r="M520" s="103"/>
      <c r="N520" s="103"/>
      <c r="O520" s="103">
        <f t="shared" si="3"/>
        <v>0</v>
      </c>
      <c r="P520" s="104">
        <f t="shared" si="4"/>
        <v>0</v>
      </c>
      <c r="Q520" s="147"/>
      <c r="R520" s="103"/>
      <c r="S520" s="103">
        <f t="shared" si="6"/>
        <v>0</v>
      </c>
      <c r="U520" s="107" t="str">
        <f t="shared" si="7"/>
        <v>0</v>
      </c>
    </row>
    <row r="521" ht="15.75" customHeight="1">
      <c r="A521" s="279"/>
      <c r="B521" s="280"/>
      <c r="C521" s="280"/>
      <c r="D521" s="280"/>
      <c r="E521" s="281"/>
      <c r="F521" s="281"/>
      <c r="G521" s="280"/>
      <c r="H521" s="282"/>
      <c r="I521" s="283"/>
      <c r="J521" s="280"/>
      <c r="K521" s="103"/>
      <c r="L521" s="146"/>
      <c r="M521" s="103"/>
      <c r="N521" s="103"/>
      <c r="O521" s="103">
        <f t="shared" si="3"/>
        <v>0</v>
      </c>
      <c r="P521" s="104">
        <f t="shared" si="4"/>
        <v>0</v>
      </c>
      <c r="Q521" s="147"/>
      <c r="R521" s="103"/>
      <c r="S521" s="103">
        <f t="shared" si="6"/>
        <v>0</v>
      </c>
      <c r="U521" s="107" t="str">
        <f t="shared" si="7"/>
        <v>0</v>
      </c>
    </row>
    <row r="522" ht="15.75" customHeight="1">
      <c r="A522" s="279"/>
      <c r="B522" s="280"/>
      <c r="C522" s="280"/>
      <c r="D522" s="280"/>
      <c r="E522" s="281"/>
      <c r="F522" s="281"/>
      <c r="G522" s="280"/>
      <c r="H522" s="282"/>
      <c r="I522" s="283"/>
      <c r="J522" s="280"/>
      <c r="K522" s="103"/>
      <c r="L522" s="146"/>
      <c r="M522" s="103"/>
      <c r="N522" s="103"/>
      <c r="O522" s="103">
        <f t="shared" si="3"/>
        <v>0</v>
      </c>
      <c r="P522" s="104">
        <f t="shared" si="4"/>
        <v>0</v>
      </c>
      <c r="Q522" s="147"/>
      <c r="R522" s="103"/>
      <c r="S522" s="103">
        <f t="shared" si="6"/>
        <v>0</v>
      </c>
      <c r="U522" s="107" t="str">
        <f t="shared" si="7"/>
        <v>0</v>
      </c>
    </row>
    <row r="523" ht="15.75" customHeight="1">
      <c r="A523" s="279"/>
      <c r="B523" s="280"/>
      <c r="C523" s="280"/>
      <c r="D523" s="280"/>
      <c r="E523" s="281"/>
      <c r="F523" s="281"/>
      <c r="G523" s="280"/>
      <c r="H523" s="282"/>
      <c r="I523" s="283"/>
      <c r="J523" s="280"/>
      <c r="K523" s="103"/>
      <c r="L523" s="146"/>
      <c r="M523" s="103"/>
      <c r="N523" s="103"/>
      <c r="O523" s="103">
        <f t="shared" si="3"/>
        <v>0</v>
      </c>
      <c r="P523" s="104">
        <f t="shared" si="4"/>
        <v>0</v>
      </c>
      <c r="Q523" s="147"/>
      <c r="R523" s="103"/>
      <c r="S523" s="103">
        <f t="shared" si="6"/>
        <v>0</v>
      </c>
      <c r="U523" s="107" t="str">
        <f t="shared" si="7"/>
        <v>0</v>
      </c>
    </row>
    <row r="524" ht="15.75" customHeight="1">
      <c r="A524" s="279"/>
      <c r="B524" s="280"/>
      <c r="C524" s="280"/>
      <c r="D524" s="280"/>
      <c r="E524" s="281"/>
      <c r="F524" s="281"/>
      <c r="G524" s="280"/>
      <c r="H524" s="282"/>
      <c r="I524" s="283"/>
      <c r="J524" s="280"/>
      <c r="K524" s="103"/>
      <c r="L524" s="146"/>
      <c r="M524" s="103"/>
      <c r="N524" s="103"/>
      <c r="O524" s="103">
        <f t="shared" si="3"/>
        <v>0</v>
      </c>
      <c r="P524" s="104">
        <f t="shared" si="4"/>
        <v>0</v>
      </c>
      <c r="Q524" s="147"/>
      <c r="R524" s="103"/>
      <c r="S524" s="103">
        <f t="shared" si="6"/>
        <v>0</v>
      </c>
      <c r="U524" s="107" t="str">
        <f t="shared" si="7"/>
        <v>0</v>
      </c>
    </row>
    <row r="525" ht="15.75" customHeight="1">
      <c r="A525" s="279"/>
      <c r="B525" s="280"/>
      <c r="C525" s="280"/>
      <c r="D525" s="280"/>
      <c r="E525" s="281"/>
      <c r="F525" s="281"/>
      <c r="G525" s="280"/>
      <c r="H525" s="282"/>
      <c r="I525" s="283"/>
      <c r="J525" s="280"/>
      <c r="K525" s="103"/>
      <c r="L525" s="146"/>
      <c r="M525" s="103"/>
      <c r="N525" s="103"/>
      <c r="O525" s="103">
        <f t="shared" si="3"/>
        <v>0</v>
      </c>
      <c r="P525" s="104">
        <f t="shared" si="4"/>
        <v>0</v>
      </c>
      <c r="Q525" s="147"/>
      <c r="R525" s="103"/>
      <c r="S525" s="103">
        <f t="shared" si="6"/>
        <v>0</v>
      </c>
      <c r="U525" s="107" t="str">
        <f t="shared" si="7"/>
        <v>0</v>
      </c>
    </row>
    <row r="526" ht="15.75" customHeight="1">
      <c r="A526" s="279"/>
      <c r="B526" s="280"/>
      <c r="C526" s="280"/>
      <c r="D526" s="280"/>
      <c r="E526" s="281"/>
      <c r="F526" s="281"/>
      <c r="G526" s="280"/>
      <c r="H526" s="282"/>
      <c r="I526" s="283"/>
      <c r="J526" s="280"/>
      <c r="K526" s="103"/>
      <c r="L526" s="146"/>
      <c r="M526" s="103"/>
      <c r="N526" s="103"/>
      <c r="O526" s="103">
        <f t="shared" si="3"/>
        <v>0</v>
      </c>
      <c r="P526" s="104">
        <f t="shared" si="4"/>
        <v>0</v>
      </c>
      <c r="Q526" s="147"/>
      <c r="R526" s="103"/>
      <c r="S526" s="103">
        <f t="shared" si="6"/>
        <v>0</v>
      </c>
      <c r="U526" s="107" t="str">
        <f t="shared" si="7"/>
        <v>0</v>
      </c>
    </row>
    <row r="527" ht="15.75" customHeight="1">
      <c r="A527" s="279"/>
      <c r="B527" s="280"/>
      <c r="C527" s="280"/>
      <c r="D527" s="280"/>
      <c r="E527" s="281"/>
      <c r="F527" s="281"/>
      <c r="G527" s="280"/>
      <c r="H527" s="282"/>
      <c r="I527" s="283"/>
      <c r="J527" s="280"/>
      <c r="K527" s="103"/>
      <c r="L527" s="146"/>
      <c r="M527" s="103"/>
      <c r="N527" s="103"/>
      <c r="O527" s="103">
        <f t="shared" si="3"/>
        <v>0</v>
      </c>
      <c r="P527" s="104">
        <f t="shared" si="4"/>
        <v>0</v>
      </c>
      <c r="Q527" s="147"/>
      <c r="R527" s="103"/>
      <c r="S527" s="103">
        <f t="shared" si="6"/>
        <v>0</v>
      </c>
      <c r="U527" s="107" t="str">
        <f t="shared" si="7"/>
        <v>0</v>
      </c>
    </row>
    <row r="528" ht="15.75" customHeight="1">
      <c r="A528" s="279"/>
      <c r="B528" s="280"/>
      <c r="C528" s="280"/>
      <c r="D528" s="280"/>
      <c r="E528" s="281"/>
      <c r="F528" s="281"/>
      <c r="G528" s="280"/>
      <c r="H528" s="282"/>
      <c r="I528" s="283"/>
      <c r="J528" s="280"/>
      <c r="K528" s="103"/>
      <c r="L528" s="146"/>
      <c r="M528" s="103"/>
      <c r="N528" s="103"/>
      <c r="O528" s="103">
        <f t="shared" si="3"/>
        <v>0</v>
      </c>
      <c r="P528" s="104">
        <f t="shared" si="4"/>
        <v>0</v>
      </c>
      <c r="Q528" s="147"/>
      <c r="R528" s="103"/>
      <c r="S528" s="103">
        <f t="shared" si="6"/>
        <v>0</v>
      </c>
      <c r="U528" s="107" t="str">
        <f t="shared" si="7"/>
        <v>0</v>
      </c>
    </row>
    <row r="529" ht="15.75" customHeight="1">
      <c r="A529" s="279"/>
      <c r="B529" s="280"/>
      <c r="C529" s="280"/>
      <c r="D529" s="280"/>
      <c r="E529" s="281"/>
      <c r="F529" s="281"/>
      <c r="G529" s="280"/>
      <c r="H529" s="282"/>
      <c r="I529" s="283"/>
      <c r="J529" s="280"/>
      <c r="K529" s="103"/>
      <c r="L529" s="146"/>
      <c r="M529" s="103"/>
      <c r="N529" s="103"/>
      <c r="O529" s="103">
        <f t="shared" si="3"/>
        <v>0</v>
      </c>
      <c r="P529" s="104">
        <f t="shared" si="4"/>
        <v>0</v>
      </c>
      <c r="Q529" s="147"/>
      <c r="R529" s="103"/>
      <c r="S529" s="103">
        <f t="shared" si="6"/>
        <v>0</v>
      </c>
      <c r="U529" s="107" t="str">
        <f t="shared" si="7"/>
        <v>0</v>
      </c>
    </row>
    <row r="530" ht="15.75" customHeight="1">
      <c r="A530" s="279"/>
      <c r="B530" s="280"/>
      <c r="C530" s="280"/>
      <c r="D530" s="280"/>
      <c r="E530" s="281"/>
      <c r="F530" s="281"/>
      <c r="G530" s="280"/>
      <c r="H530" s="282"/>
      <c r="I530" s="283"/>
      <c r="J530" s="280"/>
      <c r="K530" s="103"/>
      <c r="L530" s="146"/>
      <c r="M530" s="103"/>
      <c r="N530" s="103"/>
      <c r="O530" s="103">
        <f t="shared" si="3"/>
        <v>0</v>
      </c>
      <c r="P530" s="104">
        <f t="shared" si="4"/>
        <v>0</v>
      </c>
      <c r="Q530" s="147"/>
      <c r="R530" s="103"/>
      <c r="S530" s="103">
        <f t="shared" si="6"/>
        <v>0</v>
      </c>
      <c r="U530" s="107" t="str">
        <f t="shared" si="7"/>
        <v>0</v>
      </c>
    </row>
    <row r="531" ht="15.75" customHeight="1">
      <c r="A531" s="279"/>
      <c r="B531" s="280"/>
      <c r="C531" s="280"/>
      <c r="D531" s="280"/>
      <c r="E531" s="281"/>
      <c r="F531" s="281"/>
      <c r="G531" s="280"/>
      <c r="H531" s="282"/>
      <c r="I531" s="283"/>
      <c r="J531" s="280"/>
      <c r="K531" s="103"/>
      <c r="L531" s="146"/>
      <c r="M531" s="103"/>
      <c r="N531" s="103"/>
      <c r="O531" s="103">
        <f t="shared" si="3"/>
        <v>0</v>
      </c>
      <c r="P531" s="104">
        <f t="shared" si="4"/>
        <v>0</v>
      </c>
      <c r="Q531" s="147"/>
      <c r="R531" s="103"/>
      <c r="S531" s="103">
        <f t="shared" si="6"/>
        <v>0</v>
      </c>
      <c r="U531" s="107" t="str">
        <f t="shared" si="7"/>
        <v>0</v>
      </c>
    </row>
    <row r="532" ht="15.75" customHeight="1">
      <c r="A532" s="279"/>
      <c r="B532" s="280"/>
      <c r="C532" s="280"/>
      <c r="D532" s="280"/>
      <c r="E532" s="281"/>
      <c r="F532" s="281"/>
      <c r="G532" s="280"/>
      <c r="H532" s="282"/>
      <c r="I532" s="283"/>
      <c r="J532" s="280"/>
      <c r="K532" s="103"/>
      <c r="L532" s="146"/>
      <c r="M532" s="103"/>
      <c r="N532" s="103"/>
      <c r="O532" s="103">
        <f t="shared" si="3"/>
        <v>0</v>
      </c>
      <c r="P532" s="104">
        <f t="shared" si="4"/>
        <v>0</v>
      </c>
      <c r="Q532" s="147"/>
      <c r="R532" s="103"/>
      <c r="S532" s="103">
        <f t="shared" si="6"/>
        <v>0</v>
      </c>
      <c r="U532" s="107" t="str">
        <f t="shared" si="7"/>
        <v>0</v>
      </c>
    </row>
    <row r="533" ht="15.75" customHeight="1">
      <c r="A533" s="279"/>
      <c r="B533" s="280"/>
      <c r="C533" s="280"/>
      <c r="D533" s="280"/>
      <c r="E533" s="281"/>
      <c r="F533" s="281"/>
      <c r="G533" s="280"/>
      <c r="H533" s="282"/>
      <c r="I533" s="283"/>
      <c r="J533" s="280"/>
      <c r="K533" s="103"/>
      <c r="L533" s="146"/>
      <c r="M533" s="103"/>
      <c r="N533" s="103"/>
      <c r="O533" s="103">
        <f t="shared" si="3"/>
        <v>0</v>
      </c>
      <c r="P533" s="104">
        <f t="shared" si="4"/>
        <v>0</v>
      </c>
      <c r="Q533" s="147"/>
      <c r="R533" s="103"/>
      <c r="S533" s="103">
        <f t="shared" si="6"/>
        <v>0</v>
      </c>
      <c r="U533" s="107" t="str">
        <f t="shared" si="7"/>
        <v>0</v>
      </c>
    </row>
    <row r="534" ht="15.75" customHeight="1">
      <c r="A534" s="279"/>
      <c r="B534" s="280"/>
      <c r="C534" s="280"/>
      <c r="D534" s="280"/>
      <c r="E534" s="281"/>
      <c r="F534" s="281"/>
      <c r="G534" s="280"/>
      <c r="H534" s="282"/>
      <c r="I534" s="283"/>
      <c r="J534" s="280"/>
      <c r="K534" s="103"/>
      <c r="L534" s="146"/>
      <c r="M534" s="103"/>
      <c r="N534" s="103"/>
      <c r="O534" s="103">
        <f t="shared" si="3"/>
        <v>0</v>
      </c>
      <c r="P534" s="104">
        <f t="shared" si="4"/>
        <v>0</v>
      </c>
      <c r="Q534" s="147"/>
      <c r="R534" s="103"/>
      <c r="S534" s="103">
        <f t="shared" si="6"/>
        <v>0</v>
      </c>
      <c r="U534" s="107" t="str">
        <f t="shared" si="7"/>
        <v>0</v>
      </c>
    </row>
    <row r="535" ht="15.75" customHeight="1">
      <c r="A535" s="279"/>
      <c r="B535" s="280"/>
      <c r="C535" s="280"/>
      <c r="D535" s="280"/>
      <c r="E535" s="281"/>
      <c r="F535" s="281"/>
      <c r="G535" s="280"/>
      <c r="H535" s="282"/>
      <c r="I535" s="283"/>
      <c r="J535" s="280"/>
      <c r="K535" s="103"/>
      <c r="L535" s="146"/>
      <c r="M535" s="103"/>
      <c r="N535" s="103"/>
      <c r="O535" s="103">
        <f t="shared" si="3"/>
        <v>0</v>
      </c>
      <c r="P535" s="104">
        <f t="shared" si="4"/>
        <v>0</v>
      </c>
      <c r="Q535" s="147"/>
      <c r="R535" s="103"/>
      <c r="S535" s="103">
        <f t="shared" si="6"/>
        <v>0</v>
      </c>
      <c r="U535" s="107" t="str">
        <f t="shared" si="7"/>
        <v>0</v>
      </c>
    </row>
    <row r="536" ht="15.75" customHeight="1">
      <c r="A536" s="279"/>
      <c r="B536" s="280"/>
      <c r="C536" s="280"/>
      <c r="D536" s="280"/>
      <c r="E536" s="281"/>
      <c r="F536" s="281"/>
      <c r="G536" s="280"/>
      <c r="H536" s="282"/>
      <c r="I536" s="283"/>
      <c r="J536" s="280"/>
      <c r="K536" s="103"/>
      <c r="L536" s="146"/>
      <c r="M536" s="103"/>
      <c r="N536" s="103"/>
      <c r="O536" s="103">
        <f t="shared" si="3"/>
        <v>0</v>
      </c>
      <c r="P536" s="104">
        <f t="shared" si="4"/>
        <v>0</v>
      </c>
      <c r="Q536" s="147"/>
      <c r="R536" s="103"/>
      <c r="S536" s="103">
        <f t="shared" si="6"/>
        <v>0</v>
      </c>
      <c r="U536" s="107" t="str">
        <f t="shared" si="7"/>
        <v>0</v>
      </c>
    </row>
    <row r="537" ht="15.75" customHeight="1">
      <c r="A537" s="279"/>
      <c r="B537" s="280"/>
      <c r="C537" s="280"/>
      <c r="D537" s="280"/>
      <c r="E537" s="281"/>
      <c r="F537" s="281"/>
      <c r="G537" s="280"/>
      <c r="H537" s="282"/>
      <c r="I537" s="283"/>
      <c r="J537" s="280"/>
      <c r="K537" s="103"/>
      <c r="L537" s="146"/>
      <c r="M537" s="103"/>
      <c r="N537" s="103"/>
      <c r="O537" s="103">
        <f t="shared" si="3"/>
        <v>0</v>
      </c>
      <c r="P537" s="104">
        <f t="shared" si="4"/>
        <v>0</v>
      </c>
      <c r="Q537" s="147"/>
      <c r="R537" s="103"/>
      <c r="S537" s="103">
        <f t="shared" si="6"/>
        <v>0</v>
      </c>
      <c r="U537" s="107" t="str">
        <f t="shared" si="7"/>
        <v>0</v>
      </c>
    </row>
    <row r="538" ht="15.75" customHeight="1">
      <c r="A538" s="279"/>
      <c r="B538" s="280"/>
      <c r="C538" s="280"/>
      <c r="D538" s="280"/>
      <c r="E538" s="281"/>
      <c r="F538" s="281"/>
      <c r="G538" s="280"/>
      <c r="H538" s="282"/>
      <c r="I538" s="283"/>
      <c r="J538" s="280"/>
      <c r="K538" s="103"/>
      <c r="L538" s="146"/>
      <c r="M538" s="103"/>
      <c r="N538" s="103"/>
      <c r="O538" s="103">
        <f t="shared" si="3"/>
        <v>0</v>
      </c>
      <c r="P538" s="104">
        <f t="shared" si="4"/>
        <v>0</v>
      </c>
      <c r="Q538" s="147"/>
      <c r="R538" s="103"/>
      <c r="S538" s="103">
        <f t="shared" si="6"/>
        <v>0</v>
      </c>
      <c r="U538" s="107" t="str">
        <f t="shared" si="7"/>
        <v>0</v>
      </c>
    </row>
    <row r="539" ht="15.75" customHeight="1">
      <c r="A539" s="279"/>
      <c r="B539" s="280"/>
      <c r="C539" s="280"/>
      <c r="D539" s="280"/>
      <c r="E539" s="281"/>
      <c r="F539" s="281"/>
      <c r="G539" s="280"/>
      <c r="H539" s="282"/>
      <c r="I539" s="283"/>
      <c r="J539" s="280"/>
      <c r="K539" s="103"/>
      <c r="L539" s="146"/>
      <c r="M539" s="103"/>
      <c r="N539" s="103"/>
      <c r="O539" s="103">
        <f t="shared" si="3"/>
        <v>0</v>
      </c>
      <c r="P539" s="104">
        <f t="shared" si="4"/>
        <v>0</v>
      </c>
      <c r="Q539" s="147"/>
      <c r="R539" s="103"/>
      <c r="S539" s="103">
        <f t="shared" si="6"/>
        <v>0</v>
      </c>
      <c r="U539" s="107" t="str">
        <f t="shared" si="7"/>
        <v>0</v>
      </c>
    </row>
    <row r="540" ht="15.75" customHeight="1">
      <c r="A540" s="279"/>
      <c r="B540" s="280"/>
      <c r="C540" s="280"/>
      <c r="D540" s="280"/>
      <c r="E540" s="281"/>
      <c r="F540" s="281"/>
      <c r="G540" s="280"/>
      <c r="H540" s="282"/>
      <c r="I540" s="283"/>
      <c r="J540" s="280"/>
      <c r="K540" s="103"/>
      <c r="L540" s="146"/>
      <c r="M540" s="103"/>
      <c r="N540" s="103"/>
      <c r="O540" s="103">
        <f t="shared" si="3"/>
        <v>0</v>
      </c>
      <c r="P540" s="104">
        <f t="shared" si="4"/>
        <v>0</v>
      </c>
      <c r="Q540" s="147"/>
      <c r="R540" s="103"/>
      <c r="S540" s="103">
        <f t="shared" si="6"/>
        <v>0</v>
      </c>
      <c r="U540" s="107" t="str">
        <f t="shared" si="7"/>
        <v>0</v>
      </c>
    </row>
    <row r="541" ht="15.75" customHeight="1">
      <c r="A541" s="279"/>
      <c r="B541" s="280"/>
      <c r="C541" s="280"/>
      <c r="D541" s="280"/>
      <c r="E541" s="281"/>
      <c r="F541" s="281"/>
      <c r="G541" s="280"/>
      <c r="H541" s="282"/>
      <c r="I541" s="283"/>
      <c r="J541" s="280"/>
      <c r="K541" s="103"/>
      <c r="L541" s="146"/>
      <c r="M541" s="103"/>
      <c r="N541" s="103"/>
      <c r="O541" s="103">
        <f t="shared" si="3"/>
        <v>0</v>
      </c>
      <c r="P541" s="104">
        <f t="shared" si="4"/>
        <v>0</v>
      </c>
      <c r="Q541" s="147"/>
      <c r="R541" s="103"/>
      <c r="S541" s="103">
        <f t="shared" si="6"/>
        <v>0</v>
      </c>
      <c r="U541" s="107" t="str">
        <f t="shared" si="7"/>
        <v>0</v>
      </c>
    </row>
    <row r="542" ht="15.75" customHeight="1">
      <c r="A542" s="279"/>
      <c r="B542" s="280"/>
      <c r="C542" s="280"/>
      <c r="D542" s="280"/>
      <c r="E542" s="281"/>
      <c r="F542" s="281"/>
      <c r="G542" s="280"/>
      <c r="H542" s="282"/>
      <c r="I542" s="283"/>
      <c r="J542" s="280"/>
      <c r="K542" s="103"/>
      <c r="L542" s="146"/>
      <c r="M542" s="103"/>
      <c r="N542" s="103"/>
      <c r="O542" s="103">
        <f t="shared" si="3"/>
        <v>0</v>
      </c>
      <c r="P542" s="104">
        <f t="shared" si="4"/>
        <v>0</v>
      </c>
      <c r="Q542" s="147"/>
      <c r="R542" s="103"/>
      <c r="S542" s="103">
        <f t="shared" si="6"/>
        <v>0</v>
      </c>
      <c r="U542" s="107" t="str">
        <f t="shared" si="7"/>
        <v>0</v>
      </c>
    </row>
    <row r="543" ht="15.75" customHeight="1">
      <c r="A543" s="279"/>
      <c r="B543" s="280"/>
      <c r="C543" s="280"/>
      <c r="D543" s="280"/>
      <c r="E543" s="281"/>
      <c r="F543" s="281"/>
      <c r="G543" s="280"/>
      <c r="H543" s="282"/>
      <c r="I543" s="283"/>
      <c r="J543" s="280"/>
      <c r="K543" s="103"/>
      <c r="L543" s="146"/>
      <c r="M543" s="103"/>
      <c r="N543" s="103"/>
      <c r="O543" s="103">
        <f t="shared" si="3"/>
        <v>0</v>
      </c>
      <c r="P543" s="104">
        <f t="shared" si="4"/>
        <v>0</v>
      </c>
      <c r="Q543" s="147"/>
      <c r="R543" s="103"/>
      <c r="S543" s="103">
        <f t="shared" si="6"/>
        <v>0</v>
      </c>
      <c r="U543" s="107" t="str">
        <f t="shared" si="7"/>
        <v>0</v>
      </c>
    </row>
    <row r="544" ht="15.75" customHeight="1">
      <c r="A544" s="279"/>
      <c r="B544" s="280"/>
      <c r="C544" s="280"/>
      <c r="D544" s="280"/>
      <c r="E544" s="281"/>
      <c r="F544" s="281"/>
      <c r="G544" s="280"/>
      <c r="H544" s="282"/>
      <c r="I544" s="283"/>
      <c r="J544" s="280"/>
      <c r="K544" s="103"/>
      <c r="L544" s="146"/>
      <c r="M544" s="103"/>
      <c r="N544" s="103"/>
      <c r="O544" s="103">
        <f t="shared" si="3"/>
        <v>0</v>
      </c>
      <c r="P544" s="104">
        <f t="shared" si="4"/>
        <v>0</v>
      </c>
      <c r="Q544" s="147"/>
      <c r="R544" s="103"/>
      <c r="S544" s="103">
        <f t="shared" si="6"/>
        <v>0</v>
      </c>
      <c r="U544" s="107" t="str">
        <f t="shared" si="7"/>
        <v>0</v>
      </c>
    </row>
    <row r="545" ht="15.75" customHeight="1">
      <c r="A545" s="279"/>
      <c r="B545" s="280"/>
      <c r="C545" s="280"/>
      <c r="D545" s="280"/>
      <c r="E545" s="281"/>
      <c r="F545" s="281"/>
      <c r="G545" s="280"/>
      <c r="H545" s="282"/>
      <c r="I545" s="283"/>
      <c r="J545" s="280"/>
      <c r="K545" s="103"/>
      <c r="L545" s="146"/>
      <c r="M545" s="103"/>
      <c r="N545" s="103"/>
      <c r="O545" s="103">
        <f t="shared" si="3"/>
        <v>0</v>
      </c>
      <c r="P545" s="104">
        <f t="shared" si="4"/>
        <v>0</v>
      </c>
      <c r="Q545" s="147"/>
      <c r="R545" s="103"/>
      <c r="S545" s="103">
        <f t="shared" si="6"/>
        <v>0</v>
      </c>
      <c r="U545" s="107" t="str">
        <f t="shared" si="7"/>
        <v>0</v>
      </c>
    </row>
    <row r="546" ht="15.75" customHeight="1">
      <c r="A546" s="279"/>
      <c r="B546" s="280"/>
      <c r="C546" s="280"/>
      <c r="D546" s="280"/>
      <c r="E546" s="281"/>
      <c r="F546" s="281"/>
      <c r="G546" s="280"/>
      <c r="H546" s="282"/>
      <c r="I546" s="283"/>
      <c r="J546" s="280"/>
      <c r="K546" s="103"/>
      <c r="L546" s="146"/>
      <c r="M546" s="103"/>
      <c r="N546" s="103"/>
      <c r="O546" s="103">
        <f t="shared" si="3"/>
        <v>0</v>
      </c>
      <c r="P546" s="104">
        <f t="shared" si="4"/>
        <v>0</v>
      </c>
      <c r="Q546" s="147"/>
      <c r="R546" s="103"/>
      <c r="S546" s="103">
        <f t="shared" si="6"/>
        <v>0</v>
      </c>
      <c r="U546" s="107" t="str">
        <f t="shared" si="7"/>
        <v>0</v>
      </c>
    </row>
    <row r="547" ht="15.75" customHeight="1">
      <c r="A547" s="279"/>
      <c r="B547" s="280"/>
      <c r="C547" s="280"/>
      <c r="D547" s="280"/>
      <c r="E547" s="281"/>
      <c r="F547" s="281"/>
      <c r="G547" s="280"/>
      <c r="H547" s="282"/>
      <c r="I547" s="283"/>
      <c r="J547" s="280"/>
      <c r="K547" s="103"/>
      <c r="L547" s="146"/>
      <c r="M547" s="103"/>
      <c r="N547" s="103"/>
      <c r="O547" s="103">
        <f t="shared" si="3"/>
        <v>0</v>
      </c>
      <c r="P547" s="104">
        <f t="shared" si="4"/>
        <v>0</v>
      </c>
      <c r="Q547" s="147"/>
      <c r="R547" s="103"/>
      <c r="S547" s="103">
        <f t="shared" si="6"/>
        <v>0</v>
      </c>
      <c r="U547" s="107" t="str">
        <f t="shared" si="7"/>
        <v>0</v>
      </c>
    </row>
    <row r="548" ht="15.75" customHeight="1">
      <c r="A548" s="279"/>
      <c r="B548" s="280"/>
      <c r="C548" s="280"/>
      <c r="D548" s="280"/>
      <c r="E548" s="281"/>
      <c r="F548" s="281"/>
      <c r="G548" s="280"/>
      <c r="H548" s="282"/>
      <c r="I548" s="283"/>
      <c r="J548" s="280"/>
      <c r="K548" s="103"/>
      <c r="L548" s="146"/>
      <c r="M548" s="103"/>
      <c r="N548" s="103"/>
      <c r="O548" s="103">
        <f t="shared" si="3"/>
        <v>0</v>
      </c>
      <c r="P548" s="104">
        <f t="shared" si="4"/>
        <v>0</v>
      </c>
      <c r="Q548" s="147"/>
      <c r="R548" s="103"/>
      <c r="S548" s="103">
        <f t="shared" si="6"/>
        <v>0</v>
      </c>
      <c r="U548" s="107" t="str">
        <f t="shared" si="7"/>
        <v>0</v>
      </c>
    </row>
    <row r="549" ht="15.75" customHeight="1">
      <c r="A549" s="279"/>
      <c r="B549" s="280"/>
      <c r="C549" s="280"/>
      <c r="D549" s="280"/>
      <c r="E549" s="281"/>
      <c r="F549" s="281"/>
      <c r="G549" s="280"/>
      <c r="H549" s="282"/>
      <c r="I549" s="283"/>
      <c r="J549" s="280"/>
      <c r="K549" s="103"/>
      <c r="L549" s="146"/>
      <c r="M549" s="103"/>
      <c r="N549" s="103"/>
      <c r="O549" s="103">
        <f t="shared" si="3"/>
        <v>0</v>
      </c>
      <c r="P549" s="104">
        <f t="shared" si="4"/>
        <v>0</v>
      </c>
      <c r="Q549" s="147"/>
      <c r="R549" s="103"/>
      <c r="S549" s="103">
        <f t="shared" si="6"/>
        <v>0</v>
      </c>
      <c r="U549" s="107" t="str">
        <f t="shared" si="7"/>
        <v>0</v>
      </c>
    </row>
    <row r="550" ht="15.75" customHeight="1">
      <c r="A550" s="279"/>
      <c r="B550" s="280"/>
      <c r="C550" s="280"/>
      <c r="D550" s="280"/>
      <c r="E550" s="281"/>
      <c r="F550" s="281"/>
      <c r="G550" s="280"/>
      <c r="H550" s="282"/>
      <c r="I550" s="283"/>
      <c r="J550" s="280"/>
      <c r="K550" s="103"/>
      <c r="L550" s="146"/>
      <c r="M550" s="103"/>
      <c r="N550" s="103"/>
      <c r="O550" s="103">
        <f t="shared" si="3"/>
        <v>0</v>
      </c>
      <c r="P550" s="104">
        <f t="shared" si="4"/>
        <v>0</v>
      </c>
      <c r="Q550" s="147"/>
      <c r="R550" s="103"/>
      <c r="S550" s="103">
        <f t="shared" si="6"/>
        <v>0</v>
      </c>
      <c r="U550" s="107" t="str">
        <f t="shared" si="7"/>
        <v>0</v>
      </c>
    </row>
    <row r="551" ht="15.75" customHeight="1">
      <c r="A551" s="279"/>
      <c r="B551" s="280"/>
      <c r="C551" s="280"/>
      <c r="D551" s="280"/>
      <c r="E551" s="281"/>
      <c r="F551" s="281"/>
      <c r="G551" s="280"/>
      <c r="H551" s="282"/>
      <c r="I551" s="283"/>
      <c r="J551" s="280"/>
      <c r="K551" s="103"/>
      <c r="L551" s="146"/>
      <c r="M551" s="103"/>
      <c r="N551" s="103"/>
      <c r="O551" s="103">
        <f t="shared" si="3"/>
        <v>0</v>
      </c>
      <c r="P551" s="104">
        <f t="shared" si="4"/>
        <v>0</v>
      </c>
      <c r="Q551" s="147"/>
      <c r="R551" s="103"/>
      <c r="S551" s="103">
        <f t="shared" si="6"/>
        <v>0</v>
      </c>
      <c r="U551" s="107" t="str">
        <f t="shared" si="7"/>
        <v>0</v>
      </c>
    </row>
    <row r="552" ht="15.75" customHeight="1">
      <c r="A552" s="279"/>
      <c r="B552" s="280"/>
      <c r="C552" s="280"/>
      <c r="D552" s="280"/>
      <c r="E552" s="281"/>
      <c r="F552" s="281"/>
      <c r="G552" s="280"/>
      <c r="H552" s="282"/>
      <c r="I552" s="283"/>
      <c r="J552" s="280"/>
      <c r="K552" s="103"/>
      <c r="L552" s="146"/>
      <c r="M552" s="103"/>
      <c r="N552" s="103"/>
      <c r="O552" s="103">
        <f t="shared" si="3"/>
        <v>0</v>
      </c>
      <c r="P552" s="104">
        <f t="shared" si="4"/>
        <v>0</v>
      </c>
      <c r="Q552" s="147"/>
      <c r="R552" s="103"/>
      <c r="S552" s="103">
        <f t="shared" si="6"/>
        <v>0</v>
      </c>
      <c r="U552" s="107" t="str">
        <f t="shared" si="7"/>
        <v>0</v>
      </c>
    </row>
    <row r="553" ht="15.75" customHeight="1">
      <c r="A553" s="279"/>
      <c r="B553" s="280"/>
      <c r="C553" s="280"/>
      <c r="D553" s="280"/>
      <c r="E553" s="281"/>
      <c r="F553" s="281"/>
      <c r="G553" s="280"/>
      <c r="H553" s="282"/>
      <c r="I553" s="283"/>
      <c r="J553" s="280"/>
      <c r="K553" s="103"/>
      <c r="L553" s="146"/>
      <c r="M553" s="103"/>
      <c r="N553" s="103"/>
      <c r="O553" s="103">
        <f t="shared" si="3"/>
        <v>0</v>
      </c>
      <c r="P553" s="104">
        <f t="shared" si="4"/>
        <v>0</v>
      </c>
      <c r="Q553" s="147"/>
      <c r="R553" s="103"/>
      <c r="S553" s="103">
        <f t="shared" si="6"/>
        <v>0</v>
      </c>
      <c r="U553" s="107" t="str">
        <f t="shared" si="7"/>
        <v>0</v>
      </c>
    </row>
    <row r="554" ht="15.75" customHeight="1">
      <c r="A554" s="279"/>
      <c r="B554" s="280"/>
      <c r="C554" s="280"/>
      <c r="D554" s="280"/>
      <c r="E554" s="281"/>
      <c r="F554" s="281"/>
      <c r="G554" s="280"/>
      <c r="H554" s="282"/>
      <c r="I554" s="283"/>
      <c r="J554" s="280"/>
      <c r="K554" s="103"/>
      <c r="L554" s="146"/>
      <c r="M554" s="103"/>
      <c r="N554" s="103"/>
      <c r="O554" s="103">
        <f t="shared" si="3"/>
        <v>0</v>
      </c>
      <c r="P554" s="104">
        <f t="shared" si="4"/>
        <v>0</v>
      </c>
      <c r="Q554" s="147"/>
      <c r="R554" s="103"/>
      <c r="S554" s="103">
        <f t="shared" si="6"/>
        <v>0</v>
      </c>
      <c r="U554" s="107" t="str">
        <f t="shared" si="7"/>
        <v>0</v>
      </c>
    </row>
    <row r="555" ht="15.75" customHeight="1">
      <c r="A555" s="279"/>
      <c r="B555" s="280"/>
      <c r="C555" s="280"/>
      <c r="D555" s="280"/>
      <c r="E555" s="281"/>
      <c r="F555" s="281"/>
      <c r="G555" s="280"/>
      <c r="H555" s="282"/>
      <c r="I555" s="283"/>
      <c r="J555" s="280"/>
      <c r="K555" s="103"/>
      <c r="L555" s="146"/>
      <c r="M555" s="103"/>
      <c r="N555" s="103"/>
      <c r="O555" s="103">
        <f t="shared" si="3"/>
        <v>0</v>
      </c>
      <c r="P555" s="104">
        <f t="shared" si="4"/>
        <v>0</v>
      </c>
      <c r="Q555" s="147"/>
      <c r="R555" s="103"/>
      <c r="S555" s="103">
        <f t="shared" si="6"/>
        <v>0</v>
      </c>
      <c r="U555" s="107" t="str">
        <f t="shared" si="7"/>
        <v>0</v>
      </c>
    </row>
    <row r="556" ht="15.75" customHeight="1">
      <c r="A556" s="279"/>
      <c r="B556" s="280"/>
      <c r="C556" s="280"/>
      <c r="D556" s="280"/>
      <c r="E556" s="281"/>
      <c r="F556" s="281"/>
      <c r="G556" s="280"/>
      <c r="H556" s="282"/>
      <c r="I556" s="283"/>
      <c r="J556" s="280"/>
      <c r="K556" s="103"/>
      <c r="L556" s="146"/>
      <c r="M556" s="103"/>
      <c r="N556" s="103"/>
      <c r="O556" s="103">
        <f t="shared" si="3"/>
        <v>0</v>
      </c>
      <c r="P556" s="104">
        <f t="shared" si="4"/>
        <v>0</v>
      </c>
      <c r="Q556" s="147"/>
      <c r="R556" s="103"/>
      <c r="S556" s="103">
        <f t="shared" si="6"/>
        <v>0</v>
      </c>
      <c r="U556" s="107" t="str">
        <f t="shared" si="7"/>
        <v>0</v>
      </c>
    </row>
    <row r="557" ht="15.75" customHeight="1">
      <c r="A557" s="279"/>
      <c r="B557" s="280"/>
      <c r="C557" s="280"/>
      <c r="D557" s="280"/>
      <c r="E557" s="281"/>
      <c r="F557" s="281"/>
      <c r="G557" s="280"/>
      <c r="H557" s="282"/>
      <c r="I557" s="283"/>
      <c r="J557" s="280"/>
      <c r="K557" s="103"/>
      <c r="L557" s="146"/>
      <c r="M557" s="103"/>
      <c r="N557" s="103"/>
      <c r="O557" s="103">
        <f t="shared" si="3"/>
        <v>0</v>
      </c>
      <c r="P557" s="104">
        <f t="shared" si="4"/>
        <v>0</v>
      </c>
      <c r="Q557" s="147"/>
      <c r="R557" s="103"/>
      <c r="S557" s="103">
        <f t="shared" si="6"/>
        <v>0</v>
      </c>
      <c r="U557" s="107" t="str">
        <f t="shared" si="7"/>
        <v>0</v>
      </c>
    </row>
    <row r="558" ht="15.75" customHeight="1">
      <c r="A558" s="279"/>
      <c r="B558" s="280"/>
      <c r="C558" s="280"/>
      <c r="D558" s="280"/>
      <c r="E558" s="281"/>
      <c r="F558" s="281"/>
      <c r="G558" s="280"/>
      <c r="H558" s="282"/>
      <c r="I558" s="283"/>
      <c r="J558" s="280"/>
      <c r="K558" s="103"/>
      <c r="L558" s="146"/>
      <c r="M558" s="103"/>
      <c r="N558" s="103"/>
      <c r="O558" s="103">
        <f t="shared" si="3"/>
        <v>0</v>
      </c>
      <c r="P558" s="104">
        <f t="shared" si="4"/>
        <v>0</v>
      </c>
      <c r="Q558" s="147"/>
      <c r="R558" s="103"/>
      <c r="S558" s="103">
        <f t="shared" si="6"/>
        <v>0</v>
      </c>
      <c r="U558" s="107" t="str">
        <f t="shared" si="7"/>
        <v>0</v>
      </c>
    </row>
    <row r="559" ht="15.75" customHeight="1">
      <c r="A559" s="279"/>
      <c r="B559" s="280"/>
      <c r="C559" s="280"/>
      <c r="D559" s="280"/>
      <c r="E559" s="281"/>
      <c r="F559" s="281"/>
      <c r="G559" s="280"/>
      <c r="H559" s="282"/>
      <c r="I559" s="283"/>
      <c r="J559" s="280"/>
      <c r="K559" s="103"/>
      <c r="L559" s="146"/>
      <c r="M559" s="103"/>
      <c r="N559" s="103"/>
      <c r="O559" s="103">
        <f t="shared" si="3"/>
        <v>0</v>
      </c>
      <c r="P559" s="104">
        <f t="shared" si="4"/>
        <v>0</v>
      </c>
      <c r="Q559" s="147"/>
      <c r="R559" s="103"/>
      <c r="S559" s="103">
        <f t="shared" si="6"/>
        <v>0</v>
      </c>
      <c r="U559" s="107" t="str">
        <f t="shared" si="7"/>
        <v>0</v>
      </c>
    </row>
    <row r="560" ht="15.75" customHeight="1">
      <c r="A560" s="279"/>
      <c r="B560" s="280"/>
      <c r="C560" s="280"/>
      <c r="D560" s="280"/>
      <c r="E560" s="281"/>
      <c r="F560" s="281"/>
      <c r="G560" s="280"/>
      <c r="H560" s="282"/>
      <c r="I560" s="283"/>
      <c r="J560" s="280"/>
      <c r="K560" s="103"/>
      <c r="L560" s="146"/>
      <c r="M560" s="103"/>
      <c r="N560" s="103"/>
      <c r="O560" s="103">
        <f t="shared" si="3"/>
        <v>0</v>
      </c>
      <c r="P560" s="104">
        <f t="shared" si="4"/>
        <v>0</v>
      </c>
      <c r="Q560" s="147"/>
      <c r="R560" s="103"/>
      <c r="S560" s="103">
        <f t="shared" si="6"/>
        <v>0</v>
      </c>
      <c r="U560" s="107" t="str">
        <f t="shared" si="7"/>
        <v>0</v>
      </c>
    </row>
    <row r="561" ht="15.75" customHeight="1">
      <c r="A561" s="279"/>
      <c r="B561" s="280"/>
      <c r="C561" s="280"/>
      <c r="D561" s="280"/>
      <c r="E561" s="281"/>
      <c r="F561" s="281"/>
      <c r="G561" s="280"/>
      <c r="H561" s="282"/>
      <c r="I561" s="283"/>
      <c r="J561" s="280"/>
      <c r="K561" s="103"/>
      <c r="L561" s="146"/>
      <c r="M561" s="103"/>
      <c r="N561" s="103"/>
      <c r="O561" s="103">
        <f t="shared" si="3"/>
        <v>0</v>
      </c>
      <c r="P561" s="104">
        <f t="shared" si="4"/>
        <v>0</v>
      </c>
      <c r="Q561" s="147"/>
      <c r="R561" s="103"/>
      <c r="S561" s="103">
        <f t="shared" si="6"/>
        <v>0</v>
      </c>
      <c r="U561" s="107" t="str">
        <f t="shared" si="7"/>
        <v>0</v>
      </c>
    </row>
    <row r="562" ht="15.75" customHeight="1">
      <c r="A562" s="279"/>
      <c r="B562" s="280"/>
      <c r="C562" s="280"/>
      <c r="D562" s="280"/>
      <c r="E562" s="281"/>
      <c r="F562" s="281"/>
      <c r="G562" s="280"/>
      <c r="H562" s="282"/>
      <c r="I562" s="283"/>
      <c r="J562" s="280"/>
      <c r="K562" s="103"/>
      <c r="L562" s="146"/>
      <c r="M562" s="103"/>
      <c r="N562" s="103"/>
      <c r="O562" s="103">
        <f t="shared" si="3"/>
        <v>0</v>
      </c>
      <c r="P562" s="104">
        <f t="shared" si="4"/>
        <v>0</v>
      </c>
      <c r="Q562" s="147"/>
      <c r="R562" s="103"/>
      <c r="S562" s="103">
        <f t="shared" si="6"/>
        <v>0</v>
      </c>
      <c r="U562" s="107" t="str">
        <f t="shared" si="7"/>
        <v>0</v>
      </c>
    </row>
    <row r="563" ht="15.75" customHeight="1">
      <c r="A563" s="279"/>
      <c r="B563" s="280"/>
      <c r="C563" s="280"/>
      <c r="D563" s="280"/>
      <c r="E563" s="281"/>
      <c r="F563" s="281"/>
      <c r="G563" s="280"/>
      <c r="H563" s="282"/>
      <c r="I563" s="283"/>
      <c r="J563" s="280"/>
      <c r="K563" s="103"/>
      <c r="L563" s="146"/>
      <c r="M563" s="103"/>
      <c r="N563" s="103"/>
      <c r="O563" s="103">
        <f t="shared" si="3"/>
        <v>0</v>
      </c>
      <c r="P563" s="104">
        <f t="shared" si="4"/>
        <v>0</v>
      </c>
      <c r="Q563" s="147"/>
      <c r="R563" s="103"/>
      <c r="S563" s="103">
        <f t="shared" si="6"/>
        <v>0</v>
      </c>
      <c r="U563" s="107" t="str">
        <f t="shared" si="7"/>
        <v>0</v>
      </c>
    </row>
    <row r="564" ht="15.75" customHeight="1">
      <c r="A564" s="279"/>
      <c r="B564" s="280"/>
      <c r="C564" s="280"/>
      <c r="D564" s="280"/>
      <c r="E564" s="281"/>
      <c r="F564" s="281"/>
      <c r="G564" s="280"/>
      <c r="H564" s="282"/>
      <c r="I564" s="283"/>
      <c r="J564" s="280"/>
      <c r="K564" s="103"/>
      <c r="L564" s="146"/>
      <c r="M564" s="103"/>
      <c r="N564" s="103"/>
      <c r="O564" s="103">
        <f t="shared" si="3"/>
        <v>0</v>
      </c>
      <c r="P564" s="104">
        <f t="shared" si="4"/>
        <v>0</v>
      </c>
      <c r="Q564" s="147"/>
      <c r="R564" s="103"/>
      <c r="S564" s="103">
        <f t="shared" si="6"/>
        <v>0</v>
      </c>
      <c r="U564" s="107" t="str">
        <f t="shared" si="7"/>
        <v>0</v>
      </c>
    </row>
    <row r="565" ht="15.75" customHeight="1">
      <c r="A565" s="279"/>
      <c r="B565" s="280"/>
      <c r="C565" s="280"/>
      <c r="D565" s="280"/>
      <c r="E565" s="281"/>
      <c r="F565" s="281"/>
      <c r="G565" s="280"/>
      <c r="H565" s="282"/>
      <c r="I565" s="283"/>
      <c r="J565" s="280"/>
      <c r="K565" s="103"/>
      <c r="L565" s="146"/>
      <c r="M565" s="103"/>
      <c r="N565" s="103"/>
      <c r="O565" s="103">
        <f t="shared" si="3"/>
        <v>0</v>
      </c>
      <c r="P565" s="104">
        <f t="shared" si="4"/>
        <v>0</v>
      </c>
      <c r="Q565" s="147"/>
      <c r="R565" s="103"/>
      <c r="S565" s="103">
        <f t="shared" si="6"/>
        <v>0</v>
      </c>
      <c r="U565" s="107" t="str">
        <f t="shared" si="7"/>
        <v>0</v>
      </c>
    </row>
    <row r="566" ht="15.75" customHeight="1">
      <c r="A566" s="279"/>
      <c r="B566" s="280"/>
      <c r="C566" s="280"/>
      <c r="D566" s="280"/>
      <c r="E566" s="281"/>
      <c r="F566" s="281"/>
      <c r="G566" s="280"/>
      <c r="H566" s="282"/>
      <c r="I566" s="283"/>
      <c r="J566" s="280"/>
      <c r="K566" s="103"/>
      <c r="L566" s="146"/>
      <c r="M566" s="103"/>
      <c r="N566" s="103"/>
      <c r="O566" s="103">
        <f t="shared" si="3"/>
        <v>0</v>
      </c>
      <c r="P566" s="104">
        <f t="shared" si="4"/>
        <v>0</v>
      </c>
      <c r="Q566" s="147"/>
      <c r="R566" s="103"/>
      <c r="S566" s="103">
        <f t="shared" si="6"/>
        <v>0</v>
      </c>
      <c r="U566" s="107" t="str">
        <f t="shared" si="7"/>
        <v>0</v>
      </c>
    </row>
    <row r="567" ht="15.75" customHeight="1">
      <c r="A567" s="279"/>
      <c r="B567" s="280"/>
      <c r="C567" s="280"/>
      <c r="D567" s="280"/>
      <c r="E567" s="281"/>
      <c r="F567" s="281"/>
      <c r="G567" s="280"/>
      <c r="H567" s="282"/>
      <c r="I567" s="283"/>
      <c r="J567" s="280"/>
      <c r="K567" s="103"/>
      <c r="L567" s="146"/>
      <c r="M567" s="103"/>
      <c r="N567" s="103"/>
      <c r="O567" s="103">
        <f t="shared" si="3"/>
        <v>0</v>
      </c>
      <c r="P567" s="104">
        <f t="shared" si="4"/>
        <v>0</v>
      </c>
      <c r="Q567" s="147"/>
      <c r="R567" s="103"/>
      <c r="S567" s="103">
        <f t="shared" si="6"/>
        <v>0</v>
      </c>
      <c r="U567" s="107" t="str">
        <f t="shared" si="7"/>
        <v>0</v>
      </c>
    </row>
    <row r="568" ht="15.75" customHeight="1">
      <c r="A568" s="279"/>
      <c r="B568" s="280"/>
      <c r="C568" s="280"/>
      <c r="D568" s="280"/>
      <c r="E568" s="281"/>
      <c r="F568" s="281"/>
      <c r="G568" s="280"/>
      <c r="H568" s="282"/>
      <c r="I568" s="283"/>
      <c r="J568" s="280"/>
      <c r="K568" s="103"/>
      <c r="L568" s="146"/>
      <c r="M568" s="103"/>
      <c r="N568" s="103"/>
      <c r="O568" s="103">
        <f t="shared" si="3"/>
        <v>0</v>
      </c>
      <c r="P568" s="104">
        <f t="shared" si="4"/>
        <v>0</v>
      </c>
      <c r="Q568" s="147"/>
      <c r="R568" s="103"/>
      <c r="S568" s="103">
        <f t="shared" si="6"/>
        <v>0</v>
      </c>
      <c r="U568" s="107" t="str">
        <f t="shared" si="7"/>
        <v>0</v>
      </c>
    </row>
    <row r="569" ht="15.75" customHeight="1">
      <c r="A569" s="279"/>
      <c r="B569" s="280"/>
      <c r="C569" s="280"/>
      <c r="D569" s="280"/>
      <c r="E569" s="281"/>
      <c r="F569" s="281"/>
      <c r="G569" s="280"/>
      <c r="H569" s="282"/>
      <c r="I569" s="283"/>
      <c r="J569" s="280"/>
      <c r="K569" s="103"/>
      <c r="L569" s="146"/>
      <c r="M569" s="103"/>
      <c r="N569" s="103"/>
      <c r="O569" s="103">
        <f t="shared" si="3"/>
        <v>0</v>
      </c>
      <c r="P569" s="104">
        <f t="shared" si="4"/>
        <v>0</v>
      </c>
      <c r="Q569" s="147"/>
      <c r="R569" s="103"/>
      <c r="S569" s="103">
        <f t="shared" si="6"/>
        <v>0</v>
      </c>
      <c r="U569" s="107" t="str">
        <f t="shared" si="7"/>
        <v>0</v>
      </c>
    </row>
    <row r="570" ht="15.75" customHeight="1">
      <c r="A570" s="279"/>
      <c r="B570" s="280"/>
      <c r="C570" s="280"/>
      <c r="D570" s="280"/>
      <c r="E570" s="281"/>
      <c r="F570" s="281"/>
      <c r="G570" s="280"/>
      <c r="H570" s="282"/>
      <c r="I570" s="283"/>
      <c r="J570" s="280"/>
      <c r="K570" s="103"/>
      <c r="L570" s="146"/>
      <c r="M570" s="103"/>
      <c r="N570" s="103"/>
      <c r="O570" s="103">
        <f t="shared" si="3"/>
        <v>0</v>
      </c>
      <c r="P570" s="104">
        <f t="shared" si="4"/>
        <v>0</v>
      </c>
      <c r="Q570" s="147"/>
      <c r="R570" s="103"/>
      <c r="S570" s="103">
        <f t="shared" si="6"/>
        <v>0</v>
      </c>
      <c r="U570" s="107" t="str">
        <f t="shared" si="7"/>
        <v>0</v>
      </c>
    </row>
    <row r="571" ht="15.75" customHeight="1">
      <c r="A571" s="279"/>
      <c r="B571" s="280"/>
      <c r="C571" s="280"/>
      <c r="D571" s="280"/>
      <c r="E571" s="281"/>
      <c r="F571" s="281"/>
      <c r="G571" s="280"/>
      <c r="H571" s="282"/>
      <c r="I571" s="283"/>
      <c r="J571" s="280"/>
      <c r="K571" s="103"/>
      <c r="L571" s="146"/>
      <c r="M571" s="103"/>
      <c r="N571" s="103"/>
      <c r="O571" s="103">
        <f t="shared" si="3"/>
        <v>0</v>
      </c>
      <c r="P571" s="104">
        <f t="shared" si="4"/>
        <v>0</v>
      </c>
      <c r="Q571" s="147"/>
      <c r="R571" s="103"/>
      <c r="S571" s="103">
        <f t="shared" si="6"/>
        <v>0</v>
      </c>
      <c r="U571" s="107" t="str">
        <f t="shared" si="7"/>
        <v>0</v>
      </c>
    </row>
    <row r="572" ht="15.75" customHeight="1">
      <c r="A572" s="279"/>
      <c r="B572" s="280"/>
      <c r="C572" s="280"/>
      <c r="D572" s="280"/>
      <c r="E572" s="281"/>
      <c r="F572" s="281"/>
      <c r="G572" s="280"/>
      <c r="H572" s="282"/>
      <c r="I572" s="283"/>
      <c r="J572" s="280"/>
      <c r="K572" s="103"/>
      <c r="L572" s="146"/>
      <c r="M572" s="103"/>
      <c r="N572" s="103"/>
      <c r="O572" s="103">
        <f t="shared" si="3"/>
        <v>0</v>
      </c>
      <c r="P572" s="104">
        <f t="shared" si="4"/>
        <v>0</v>
      </c>
      <c r="Q572" s="147"/>
      <c r="R572" s="103"/>
      <c r="S572" s="103">
        <f t="shared" si="6"/>
        <v>0</v>
      </c>
      <c r="U572" s="107" t="str">
        <f t="shared" si="7"/>
        <v>0</v>
      </c>
    </row>
    <row r="573" ht="15.75" customHeight="1">
      <c r="A573" s="279"/>
      <c r="B573" s="280"/>
      <c r="C573" s="280"/>
      <c r="D573" s="280"/>
      <c r="E573" s="281"/>
      <c r="F573" s="281"/>
      <c r="G573" s="280"/>
      <c r="H573" s="282"/>
      <c r="I573" s="283"/>
      <c r="J573" s="280"/>
      <c r="K573" s="103"/>
      <c r="L573" s="146"/>
      <c r="M573" s="103"/>
      <c r="N573" s="103"/>
      <c r="O573" s="103">
        <f t="shared" si="3"/>
        <v>0</v>
      </c>
      <c r="P573" s="104">
        <f t="shared" si="4"/>
        <v>0</v>
      </c>
      <c r="Q573" s="147"/>
      <c r="R573" s="103"/>
      <c r="S573" s="103">
        <f t="shared" si="6"/>
        <v>0</v>
      </c>
      <c r="U573" s="107" t="str">
        <f t="shared" si="7"/>
        <v>0</v>
      </c>
    </row>
    <row r="574" ht="15.75" customHeight="1">
      <c r="A574" s="279"/>
      <c r="B574" s="280"/>
      <c r="C574" s="280"/>
      <c r="D574" s="280"/>
      <c r="E574" s="281"/>
      <c r="F574" s="281"/>
      <c r="G574" s="280"/>
      <c r="H574" s="282"/>
      <c r="I574" s="283"/>
      <c r="J574" s="280"/>
      <c r="K574" s="103"/>
      <c r="L574" s="146"/>
      <c r="M574" s="103"/>
      <c r="N574" s="103"/>
      <c r="O574" s="103">
        <f t="shared" si="3"/>
        <v>0</v>
      </c>
      <c r="P574" s="104">
        <f t="shared" si="4"/>
        <v>0</v>
      </c>
      <c r="Q574" s="147"/>
      <c r="R574" s="103"/>
      <c r="S574" s="103">
        <f t="shared" si="6"/>
        <v>0</v>
      </c>
      <c r="U574" s="107" t="str">
        <f t="shared" si="7"/>
        <v>0</v>
      </c>
    </row>
    <row r="575" ht="15.75" customHeight="1">
      <c r="A575" s="279"/>
      <c r="B575" s="280"/>
      <c r="C575" s="280"/>
      <c r="D575" s="280"/>
      <c r="E575" s="281"/>
      <c r="F575" s="281"/>
      <c r="G575" s="280"/>
      <c r="H575" s="282"/>
      <c r="I575" s="283"/>
      <c r="J575" s="280"/>
      <c r="K575" s="103"/>
      <c r="L575" s="146"/>
      <c r="M575" s="103"/>
      <c r="N575" s="103"/>
      <c r="O575" s="103">
        <f t="shared" si="3"/>
        <v>0</v>
      </c>
      <c r="P575" s="104">
        <f t="shared" si="4"/>
        <v>0</v>
      </c>
      <c r="Q575" s="147"/>
      <c r="R575" s="103"/>
      <c r="S575" s="103">
        <f t="shared" si="6"/>
        <v>0</v>
      </c>
      <c r="U575" s="107" t="str">
        <f t="shared" si="7"/>
        <v>0</v>
      </c>
    </row>
    <row r="576" ht="15.75" customHeight="1">
      <c r="A576" s="279"/>
      <c r="B576" s="280"/>
      <c r="C576" s="280"/>
      <c r="D576" s="280"/>
      <c r="E576" s="281"/>
      <c r="F576" s="281"/>
      <c r="G576" s="280"/>
      <c r="H576" s="282"/>
      <c r="I576" s="283"/>
      <c r="J576" s="280"/>
      <c r="K576" s="103"/>
      <c r="L576" s="146"/>
      <c r="M576" s="103"/>
      <c r="N576" s="103"/>
      <c r="O576" s="103">
        <f t="shared" si="3"/>
        <v>0</v>
      </c>
      <c r="P576" s="104">
        <f t="shared" si="4"/>
        <v>0</v>
      </c>
      <c r="Q576" s="147"/>
      <c r="R576" s="103"/>
      <c r="S576" s="103">
        <f t="shared" si="6"/>
        <v>0</v>
      </c>
      <c r="U576" s="107" t="str">
        <f t="shared" si="7"/>
        <v>0</v>
      </c>
    </row>
    <row r="577" ht="15.75" customHeight="1">
      <c r="A577" s="279"/>
      <c r="B577" s="280"/>
      <c r="C577" s="280"/>
      <c r="D577" s="280"/>
      <c r="E577" s="281"/>
      <c r="F577" s="281"/>
      <c r="G577" s="280"/>
      <c r="H577" s="282"/>
      <c r="I577" s="283"/>
      <c r="J577" s="280"/>
      <c r="K577" s="103"/>
      <c r="L577" s="146"/>
      <c r="M577" s="103"/>
      <c r="N577" s="103"/>
      <c r="O577" s="103">
        <f t="shared" si="3"/>
        <v>0</v>
      </c>
      <c r="P577" s="104">
        <f t="shared" si="4"/>
        <v>0</v>
      </c>
      <c r="Q577" s="147"/>
      <c r="R577" s="103"/>
      <c r="S577" s="103">
        <f t="shared" si="6"/>
        <v>0</v>
      </c>
      <c r="U577" s="107" t="str">
        <f t="shared" si="7"/>
        <v>0</v>
      </c>
    </row>
    <row r="578" ht="15.75" customHeight="1">
      <c r="A578" s="279"/>
      <c r="B578" s="280"/>
      <c r="C578" s="280"/>
      <c r="D578" s="280"/>
      <c r="E578" s="281"/>
      <c r="F578" s="281"/>
      <c r="G578" s="280"/>
      <c r="H578" s="282"/>
      <c r="I578" s="283"/>
      <c r="J578" s="280"/>
      <c r="K578" s="103"/>
      <c r="L578" s="146"/>
      <c r="M578" s="103"/>
      <c r="N578" s="103"/>
      <c r="O578" s="103">
        <f t="shared" si="3"/>
        <v>0</v>
      </c>
      <c r="P578" s="104">
        <f t="shared" si="4"/>
        <v>0</v>
      </c>
      <c r="Q578" s="147"/>
      <c r="R578" s="103"/>
      <c r="S578" s="103">
        <f t="shared" si="6"/>
        <v>0</v>
      </c>
      <c r="U578" s="107" t="str">
        <f t="shared" si="7"/>
        <v>0</v>
      </c>
    </row>
    <row r="579" ht="15.75" customHeight="1">
      <c r="A579" s="279"/>
      <c r="B579" s="280"/>
      <c r="C579" s="280"/>
      <c r="D579" s="280"/>
      <c r="E579" s="281"/>
      <c r="F579" s="281"/>
      <c r="G579" s="280"/>
      <c r="H579" s="282"/>
      <c r="I579" s="283"/>
      <c r="J579" s="280"/>
      <c r="K579" s="103"/>
      <c r="L579" s="146"/>
      <c r="M579" s="103"/>
      <c r="N579" s="103"/>
      <c r="O579" s="103">
        <f t="shared" si="3"/>
        <v>0</v>
      </c>
      <c r="P579" s="104">
        <f t="shared" si="4"/>
        <v>0</v>
      </c>
      <c r="Q579" s="147"/>
      <c r="R579" s="103"/>
      <c r="S579" s="103">
        <f t="shared" si="6"/>
        <v>0</v>
      </c>
      <c r="U579" s="107" t="str">
        <f t="shared" si="7"/>
        <v>0</v>
      </c>
    </row>
    <row r="580" ht="15.75" customHeight="1">
      <c r="A580" s="279"/>
      <c r="B580" s="280"/>
      <c r="C580" s="280"/>
      <c r="D580" s="280"/>
      <c r="E580" s="281"/>
      <c r="F580" s="281"/>
      <c r="G580" s="280"/>
      <c r="H580" s="282"/>
      <c r="I580" s="283"/>
      <c r="J580" s="280"/>
      <c r="K580" s="103"/>
      <c r="L580" s="146"/>
      <c r="M580" s="103"/>
      <c r="N580" s="103"/>
      <c r="O580" s="103">
        <f t="shared" si="3"/>
        <v>0</v>
      </c>
      <c r="P580" s="104">
        <f t="shared" si="4"/>
        <v>0</v>
      </c>
      <c r="Q580" s="147"/>
      <c r="R580" s="103"/>
      <c r="S580" s="103">
        <f t="shared" si="6"/>
        <v>0</v>
      </c>
      <c r="U580" s="107" t="str">
        <f t="shared" si="7"/>
        <v>0</v>
      </c>
    </row>
    <row r="581" ht="15.75" customHeight="1">
      <c r="A581" s="279"/>
      <c r="B581" s="280"/>
      <c r="C581" s="280"/>
      <c r="D581" s="280"/>
      <c r="E581" s="281"/>
      <c r="F581" s="281"/>
      <c r="G581" s="280"/>
      <c r="H581" s="282"/>
      <c r="I581" s="283"/>
      <c r="J581" s="280"/>
      <c r="K581" s="103"/>
      <c r="L581" s="146"/>
      <c r="M581" s="103"/>
      <c r="N581" s="103"/>
      <c r="O581" s="103">
        <f t="shared" si="3"/>
        <v>0</v>
      </c>
      <c r="P581" s="104">
        <f t="shared" si="4"/>
        <v>0</v>
      </c>
      <c r="Q581" s="147"/>
      <c r="R581" s="103"/>
      <c r="S581" s="103">
        <f t="shared" si="6"/>
        <v>0</v>
      </c>
      <c r="U581" s="107" t="str">
        <f t="shared" si="7"/>
        <v>0</v>
      </c>
    </row>
    <row r="582" ht="15.75" customHeight="1">
      <c r="A582" s="279"/>
      <c r="B582" s="280"/>
      <c r="C582" s="280"/>
      <c r="D582" s="280"/>
      <c r="E582" s="281"/>
      <c r="F582" s="281"/>
      <c r="G582" s="280"/>
      <c r="H582" s="282"/>
      <c r="I582" s="283"/>
      <c r="J582" s="280"/>
      <c r="K582" s="103"/>
      <c r="L582" s="146"/>
      <c r="M582" s="103"/>
      <c r="N582" s="103"/>
      <c r="O582" s="103">
        <f t="shared" si="3"/>
        <v>0</v>
      </c>
      <c r="P582" s="104">
        <f t="shared" si="4"/>
        <v>0</v>
      </c>
      <c r="Q582" s="147"/>
      <c r="R582" s="103"/>
      <c r="S582" s="103">
        <f t="shared" si="6"/>
        <v>0</v>
      </c>
      <c r="U582" s="107" t="str">
        <f t="shared" si="7"/>
        <v>0</v>
      </c>
    </row>
    <row r="583" ht="15.75" customHeight="1">
      <c r="A583" s="279"/>
      <c r="B583" s="280"/>
      <c r="C583" s="280"/>
      <c r="D583" s="280"/>
      <c r="E583" s="281"/>
      <c r="F583" s="281"/>
      <c r="G583" s="280"/>
      <c r="H583" s="282"/>
      <c r="I583" s="283"/>
      <c r="J583" s="280"/>
      <c r="K583" s="103"/>
      <c r="L583" s="146"/>
      <c r="M583" s="103"/>
      <c r="N583" s="103"/>
      <c r="O583" s="103">
        <f t="shared" si="3"/>
        <v>0</v>
      </c>
      <c r="P583" s="104">
        <f t="shared" si="4"/>
        <v>0</v>
      </c>
      <c r="Q583" s="147"/>
      <c r="R583" s="103"/>
      <c r="S583" s="103">
        <f t="shared" si="6"/>
        <v>0</v>
      </c>
      <c r="U583" s="107" t="str">
        <f t="shared" si="7"/>
        <v>0</v>
      </c>
    </row>
    <row r="584" ht="15.75" customHeight="1">
      <c r="A584" s="279"/>
      <c r="B584" s="280"/>
      <c r="C584" s="280"/>
      <c r="D584" s="280"/>
      <c r="E584" s="281"/>
      <c r="F584" s="281"/>
      <c r="G584" s="280"/>
      <c r="H584" s="282"/>
      <c r="I584" s="283"/>
      <c r="J584" s="280"/>
      <c r="K584" s="103"/>
      <c r="L584" s="146"/>
      <c r="M584" s="103"/>
      <c r="N584" s="103"/>
      <c r="O584" s="103">
        <f t="shared" si="3"/>
        <v>0</v>
      </c>
      <c r="P584" s="104">
        <f t="shared" si="4"/>
        <v>0</v>
      </c>
      <c r="Q584" s="147"/>
      <c r="R584" s="103"/>
      <c r="S584" s="103">
        <f t="shared" si="6"/>
        <v>0</v>
      </c>
      <c r="U584" s="107" t="str">
        <f t="shared" si="7"/>
        <v>0</v>
      </c>
    </row>
    <row r="585" ht="15.75" customHeight="1">
      <c r="A585" s="279"/>
      <c r="B585" s="280"/>
      <c r="C585" s="280"/>
      <c r="D585" s="280"/>
      <c r="E585" s="281"/>
      <c r="F585" s="281"/>
      <c r="G585" s="280"/>
      <c r="H585" s="282"/>
      <c r="I585" s="283"/>
      <c r="J585" s="280"/>
      <c r="K585" s="103"/>
      <c r="L585" s="146"/>
      <c r="M585" s="103"/>
      <c r="N585" s="103"/>
      <c r="O585" s="103">
        <f t="shared" si="3"/>
        <v>0</v>
      </c>
      <c r="P585" s="104">
        <f t="shared" si="4"/>
        <v>0</v>
      </c>
      <c r="Q585" s="147"/>
      <c r="R585" s="103"/>
      <c r="S585" s="103">
        <f t="shared" si="6"/>
        <v>0</v>
      </c>
      <c r="U585" s="107" t="str">
        <f t="shared" si="7"/>
        <v>0</v>
      </c>
    </row>
    <row r="586" ht="15.75" customHeight="1">
      <c r="A586" s="279"/>
      <c r="B586" s="280"/>
      <c r="C586" s="280"/>
      <c r="D586" s="280"/>
      <c r="E586" s="281"/>
      <c r="F586" s="281"/>
      <c r="G586" s="280"/>
      <c r="H586" s="282"/>
      <c r="I586" s="283"/>
      <c r="J586" s="280"/>
      <c r="K586" s="103"/>
      <c r="L586" s="146"/>
      <c r="M586" s="103"/>
      <c r="N586" s="103"/>
      <c r="O586" s="103">
        <f t="shared" si="3"/>
        <v>0</v>
      </c>
      <c r="P586" s="104">
        <f t="shared" si="4"/>
        <v>0</v>
      </c>
      <c r="Q586" s="147"/>
      <c r="R586" s="103"/>
      <c r="S586" s="103">
        <f t="shared" si="6"/>
        <v>0</v>
      </c>
      <c r="U586" s="107" t="str">
        <f t="shared" si="7"/>
        <v>0</v>
      </c>
    </row>
    <row r="587" ht="15.75" customHeight="1">
      <c r="A587" s="279"/>
      <c r="B587" s="280"/>
      <c r="C587" s="280"/>
      <c r="D587" s="280"/>
      <c r="E587" s="281"/>
      <c r="F587" s="281"/>
      <c r="G587" s="280"/>
      <c r="H587" s="282"/>
      <c r="I587" s="283"/>
      <c r="J587" s="280"/>
      <c r="K587" s="103"/>
      <c r="L587" s="146"/>
      <c r="M587" s="103"/>
      <c r="N587" s="103"/>
      <c r="O587" s="103">
        <f t="shared" si="3"/>
        <v>0</v>
      </c>
      <c r="P587" s="104">
        <f t="shared" si="4"/>
        <v>0</v>
      </c>
      <c r="Q587" s="147"/>
      <c r="R587" s="103"/>
      <c r="S587" s="103">
        <f t="shared" si="6"/>
        <v>0</v>
      </c>
      <c r="U587" s="107" t="str">
        <f t="shared" si="7"/>
        <v>0</v>
      </c>
    </row>
    <row r="588" ht="15.75" customHeight="1">
      <c r="A588" s="279"/>
      <c r="B588" s="280"/>
      <c r="C588" s="280"/>
      <c r="D588" s="280"/>
      <c r="E588" s="281"/>
      <c r="F588" s="281"/>
      <c r="G588" s="280"/>
      <c r="H588" s="282"/>
      <c r="I588" s="283"/>
      <c r="J588" s="280"/>
      <c r="K588" s="103"/>
      <c r="L588" s="146"/>
      <c r="M588" s="103"/>
      <c r="N588" s="103"/>
      <c r="O588" s="103">
        <f t="shared" si="3"/>
        <v>0</v>
      </c>
      <c r="P588" s="104">
        <f t="shared" si="4"/>
        <v>0</v>
      </c>
      <c r="Q588" s="147"/>
      <c r="R588" s="103"/>
      <c r="S588" s="103">
        <f t="shared" si="6"/>
        <v>0</v>
      </c>
      <c r="U588" s="107" t="str">
        <f t="shared" si="7"/>
        <v>0</v>
      </c>
    </row>
    <row r="589" ht="15.75" customHeight="1">
      <c r="A589" s="279"/>
      <c r="B589" s="280"/>
      <c r="C589" s="280"/>
      <c r="D589" s="280"/>
      <c r="E589" s="281"/>
      <c r="F589" s="281"/>
      <c r="G589" s="280"/>
      <c r="H589" s="282"/>
      <c r="I589" s="283"/>
      <c r="J589" s="280"/>
      <c r="K589" s="103"/>
      <c r="L589" s="146"/>
      <c r="M589" s="103"/>
      <c r="N589" s="103"/>
      <c r="O589" s="103">
        <f t="shared" si="3"/>
        <v>0</v>
      </c>
      <c r="P589" s="104">
        <f t="shared" si="4"/>
        <v>0</v>
      </c>
      <c r="Q589" s="147"/>
      <c r="R589" s="103"/>
      <c r="S589" s="103">
        <f t="shared" si="6"/>
        <v>0</v>
      </c>
      <c r="U589" s="107" t="str">
        <f t="shared" si="7"/>
        <v>0</v>
      </c>
    </row>
    <row r="590" ht="15.75" customHeight="1">
      <c r="A590" s="279"/>
      <c r="B590" s="280"/>
      <c r="C590" s="280"/>
      <c r="D590" s="280"/>
      <c r="E590" s="281"/>
      <c r="F590" s="281"/>
      <c r="G590" s="280"/>
      <c r="H590" s="282"/>
      <c r="I590" s="283"/>
      <c r="J590" s="280"/>
      <c r="K590" s="103"/>
      <c r="L590" s="146"/>
      <c r="M590" s="103"/>
      <c r="N590" s="103"/>
      <c r="O590" s="103">
        <f t="shared" si="3"/>
        <v>0</v>
      </c>
      <c r="P590" s="104">
        <f t="shared" si="4"/>
        <v>0</v>
      </c>
      <c r="Q590" s="147"/>
      <c r="R590" s="103"/>
      <c r="S590" s="103">
        <f t="shared" si="6"/>
        <v>0</v>
      </c>
      <c r="U590" s="107" t="str">
        <f t="shared" si="7"/>
        <v>0</v>
      </c>
    </row>
    <row r="591" ht="15.75" customHeight="1">
      <c r="A591" s="279"/>
      <c r="B591" s="280"/>
      <c r="C591" s="280"/>
      <c r="D591" s="280"/>
      <c r="E591" s="281"/>
      <c r="F591" s="281"/>
      <c r="G591" s="280"/>
      <c r="H591" s="282"/>
      <c r="I591" s="283"/>
      <c r="J591" s="280"/>
      <c r="K591" s="103"/>
      <c r="L591" s="146"/>
      <c r="M591" s="103"/>
      <c r="N591" s="103"/>
      <c r="O591" s="103">
        <f t="shared" si="3"/>
        <v>0</v>
      </c>
      <c r="P591" s="104">
        <f t="shared" si="4"/>
        <v>0</v>
      </c>
      <c r="Q591" s="147"/>
      <c r="R591" s="103"/>
      <c r="S591" s="103">
        <f t="shared" si="6"/>
        <v>0</v>
      </c>
      <c r="U591" s="107" t="str">
        <f t="shared" si="7"/>
        <v>0</v>
      </c>
    </row>
    <row r="592" ht="15.75" customHeight="1">
      <c r="A592" s="279"/>
      <c r="B592" s="280"/>
      <c r="C592" s="280"/>
      <c r="D592" s="280"/>
      <c r="E592" s="281"/>
      <c r="F592" s="281"/>
      <c r="G592" s="280"/>
      <c r="H592" s="282"/>
      <c r="I592" s="283"/>
      <c r="J592" s="280"/>
      <c r="K592" s="103"/>
      <c r="L592" s="146"/>
      <c r="M592" s="103"/>
      <c r="N592" s="103"/>
      <c r="O592" s="103">
        <f t="shared" si="3"/>
        <v>0</v>
      </c>
      <c r="P592" s="104">
        <f t="shared" si="4"/>
        <v>0</v>
      </c>
      <c r="Q592" s="147"/>
      <c r="R592" s="103"/>
      <c r="S592" s="103">
        <f t="shared" si="6"/>
        <v>0</v>
      </c>
      <c r="U592" s="107" t="str">
        <f t="shared" si="7"/>
        <v>0</v>
      </c>
    </row>
    <row r="593" ht="15.75" customHeight="1">
      <c r="A593" s="279"/>
      <c r="B593" s="280"/>
      <c r="C593" s="280"/>
      <c r="D593" s="280"/>
      <c r="E593" s="281"/>
      <c r="F593" s="281"/>
      <c r="G593" s="280"/>
      <c r="H593" s="282"/>
      <c r="I593" s="283"/>
      <c r="J593" s="280"/>
      <c r="K593" s="103"/>
      <c r="L593" s="146"/>
      <c r="M593" s="103"/>
      <c r="N593" s="103"/>
      <c r="O593" s="103">
        <f t="shared" si="3"/>
        <v>0</v>
      </c>
      <c r="P593" s="104">
        <f t="shared" si="4"/>
        <v>0</v>
      </c>
      <c r="Q593" s="147"/>
      <c r="R593" s="103"/>
      <c r="S593" s="103">
        <f t="shared" si="6"/>
        <v>0</v>
      </c>
      <c r="U593" s="107" t="str">
        <f t="shared" si="7"/>
        <v>0</v>
      </c>
    </row>
    <row r="594" ht="15.75" customHeight="1">
      <c r="A594" s="279"/>
      <c r="B594" s="280"/>
      <c r="C594" s="280"/>
      <c r="D594" s="280"/>
      <c r="E594" s="281"/>
      <c r="F594" s="281"/>
      <c r="G594" s="280"/>
      <c r="H594" s="282"/>
      <c r="I594" s="283"/>
      <c r="J594" s="280"/>
      <c r="K594" s="103"/>
      <c r="L594" s="146"/>
      <c r="M594" s="103"/>
      <c r="N594" s="103"/>
      <c r="O594" s="103">
        <f t="shared" si="3"/>
        <v>0</v>
      </c>
      <c r="P594" s="104">
        <f t="shared" si="4"/>
        <v>0</v>
      </c>
      <c r="Q594" s="147"/>
      <c r="R594" s="103"/>
      <c r="S594" s="103">
        <f t="shared" si="6"/>
        <v>0</v>
      </c>
      <c r="U594" s="107" t="str">
        <f t="shared" si="7"/>
        <v>0</v>
      </c>
    </row>
    <row r="595" ht="15.75" customHeight="1">
      <c r="A595" s="279"/>
      <c r="B595" s="280"/>
      <c r="C595" s="280"/>
      <c r="D595" s="280"/>
      <c r="E595" s="281"/>
      <c r="F595" s="281"/>
      <c r="G595" s="280"/>
      <c r="H595" s="282"/>
      <c r="I595" s="283"/>
      <c r="J595" s="280"/>
      <c r="K595" s="103"/>
      <c r="L595" s="146"/>
      <c r="M595" s="103"/>
      <c r="N595" s="103"/>
      <c r="O595" s="103">
        <f t="shared" si="3"/>
        <v>0</v>
      </c>
      <c r="P595" s="104">
        <f t="shared" si="4"/>
        <v>0</v>
      </c>
      <c r="Q595" s="147"/>
      <c r="R595" s="103"/>
      <c r="S595" s="103">
        <f t="shared" si="6"/>
        <v>0</v>
      </c>
      <c r="U595" s="107" t="str">
        <f t="shared" si="7"/>
        <v>0</v>
      </c>
    </row>
    <row r="596" ht="15.75" customHeight="1">
      <c r="A596" s="279"/>
      <c r="B596" s="280"/>
      <c r="C596" s="280"/>
      <c r="D596" s="280"/>
      <c r="E596" s="281"/>
      <c r="F596" s="281"/>
      <c r="G596" s="280"/>
      <c r="H596" s="282"/>
      <c r="I596" s="283"/>
      <c r="J596" s="280"/>
      <c r="K596" s="103"/>
      <c r="L596" s="146"/>
      <c r="M596" s="103"/>
      <c r="N596" s="103"/>
      <c r="O596" s="103">
        <f t="shared" si="3"/>
        <v>0</v>
      </c>
      <c r="P596" s="104">
        <f t="shared" si="4"/>
        <v>0</v>
      </c>
      <c r="Q596" s="147"/>
      <c r="R596" s="103"/>
      <c r="S596" s="103">
        <f t="shared" si="6"/>
        <v>0</v>
      </c>
      <c r="U596" s="107" t="str">
        <f t="shared" si="7"/>
        <v>0</v>
      </c>
    </row>
    <row r="597" ht="15.75" customHeight="1">
      <c r="A597" s="279"/>
      <c r="B597" s="280"/>
      <c r="C597" s="280"/>
      <c r="D597" s="280"/>
      <c r="E597" s="281"/>
      <c r="F597" s="281"/>
      <c r="G597" s="280"/>
      <c r="H597" s="282"/>
      <c r="I597" s="283"/>
      <c r="J597" s="280"/>
      <c r="K597" s="103"/>
      <c r="L597" s="146"/>
      <c r="M597" s="103"/>
      <c r="N597" s="103"/>
      <c r="O597" s="103">
        <f t="shared" si="3"/>
        <v>0</v>
      </c>
      <c r="P597" s="104">
        <f t="shared" si="4"/>
        <v>0</v>
      </c>
      <c r="Q597" s="147"/>
      <c r="R597" s="103"/>
      <c r="S597" s="103">
        <f t="shared" si="6"/>
        <v>0</v>
      </c>
      <c r="U597" s="107" t="str">
        <f t="shared" si="7"/>
        <v>0</v>
      </c>
    </row>
    <row r="598" ht="15.75" customHeight="1">
      <c r="A598" s="279"/>
      <c r="B598" s="280"/>
      <c r="C598" s="280"/>
      <c r="D598" s="280"/>
      <c r="E598" s="281"/>
      <c r="F598" s="281"/>
      <c r="G598" s="280"/>
      <c r="H598" s="282"/>
      <c r="I598" s="283"/>
      <c r="J598" s="280"/>
      <c r="K598" s="103"/>
      <c r="L598" s="146"/>
      <c r="M598" s="103"/>
      <c r="N598" s="103"/>
      <c r="O598" s="103">
        <f t="shared" si="3"/>
        <v>0</v>
      </c>
      <c r="P598" s="104">
        <f t="shared" si="4"/>
        <v>0</v>
      </c>
      <c r="Q598" s="147"/>
      <c r="R598" s="103"/>
      <c r="S598" s="103">
        <f t="shared" si="6"/>
        <v>0</v>
      </c>
      <c r="U598" s="107" t="str">
        <f t="shared" si="7"/>
        <v>0</v>
      </c>
    </row>
    <row r="599" ht="15.75" customHeight="1">
      <c r="A599" s="279"/>
      <c r="B599" s="280"/>
      <c r="C599" s="280"/>
      <c r="D599" s="280"/>
      <c r="E599" s="281"/>
      <c r="F599" s="281"/>
      <c r="G599" s="280"/>
      <c r="H599" s="282"/>
      <c r="I599" s="283"/>
      <c r="J599" s="280"/>
      <c r="K599" s="103"/>
      <c r="L599" s="146"/>
      <c r="M599" s="103"/>
      <c r="N599" s="103"/>
      <c r="O599" s="103">
        <f t="shared" si="3"/>
        <v>0</v>
      </c>
      <c r="P599" s="104">
        <f t="shared" si="4"/>
        <v>0</v>
      </c>
      <c r="Q599" s="147"/>
      <c r="R599" s="103"/>
      <c r="S599" s="103">
        <f t="shared" si="6"/>
        <v>0</v>
      </c>
      <c r="U599" s="107" t="str">
        <f t="shared" si="7"/>
        <v>0</v>
      </c>
    </row>
    <row r="600" ht="15.75" customHeight="1">
      <c r="A600" s="279"/>
      <c r="B600" s="280"/>
      <c r="C600" s="280"/>
      <c r="D600" s="280"/>
      <c r="E600" s="281"/>
      <c r="F600" s="281"/>
      <c r="G600" s="280"/>
      <c r="H600" s="282"/>
      <c r="I600" s="283"/>
      <c r="J600" s="280"/>
      <c r="K600" s="103"/>
      <c r="L600" s="146"/>
      <c r="M600" s="103"/>
      <c r="N600" s="103"/>
      <c r="O600" s="103">
        <f t="shared" si="3"/>
        <v>0</v>
      </c>
      <c r="P600" s="104">
        <f t="shared" si="4"/>
        <v>0</v>
      </c>
      <c r="Q600" s="147"/>
      <c r="R600" s="103"/>
      <c r="S600" s="103">
        <f t="shared" si="6"/>
        <v>0</v>
      </c>
      <c r="U600" s="107" t="str">
        <f t="shared" si="7"/>
        <v>0</v>
      </c>
    </row>
    <row r="601" ht="15.75" customHeight="1">
      <c r="A601" s="279"/>
      <c r="B601" s="280"/>
      <c r="C601" s="280"/>
      <c r="D601" s="280"/>
      <c r="E601" s="281"/>
      <c r="F601" s="281"/>
      <c r="G601" s="280"/>
      <c r="H601" s="282"/>
      <c r="I601" s="283"/>
      <c r="J601" s="280"/>
      <c r="K601" s="103"/>
      <c r="L601" s="146"/>
      <c r="M601" s="103"/>
      <c r="N601" s="103"/>
      <c r="O601" s="103">
        <f t="shared" si="3"/>
        <v>0</v>
      </c>
      <c r="P601" s="104">
        <f t="shared" si="4"/>
        <v>0</v>
      </c>
      <c r="Q601" s="147"/>
      <c r="R601" s="103"/>
      <c r="S601" s="103">
        <f t="shared" si="6"/>
        <v>0</v>
      </c>
      <c r="U601" s="107" t="str">
        <f t="shared" si="7"/>
        <v>0</v>
      </c>
    </row>
    <row r="602" ht="15.75" customHeight="1">
      <c r="A602" s="279"/>
      <c r="B602" s="280"/>
      <c r="C602" s="280"/>
      <c r="D602" s="280"/>
      <c r="E602" s="281"/>
      <c r="F602" s="281"/>
      <c r="G602" s="280"/>
      <c r="H602" s="282"/>
      <c r="I602" s="283"/>
      <c r="J602" s="280"/>
      <c r="K602" s="103"/>
      <c r="L602" s="146"/>
      <c r="M602" s="103"/>
      <c r="N602" s="103"/>
      <c r="O602" s="103">
        <f t="shared" si="3"/>
        <v>0</v>
      </c>
      <c r="P602" s="104">
        <f t="shared" si="4"/>
        <v>0</v>
      </c>
      <c r="Q602" s="147"/>
      <c r="R602" s="103"/>
      <c r="S602" s="103">
        <f t="shared" si="6"/>
        <v>0</v>
      </c>
      <c r="U602" s="107" t="str">
        <f t="shared" si="7"/>
        <v>0</v>
      </c>
    </row>
    <row r="603" ht="15.75" customHeight="1">
      <c r="A603" s="279"/>
      <c r="B603" s="280"/>
      <c r="C603" s="280"/>
      <c r="D603" s="280"/>
      <c r="E603" s="281"/>
      <c r="F603" s="281"/>
      <c r="G603" s="280"/>
      <c r="H603" s="282"/>
      <c r="I603" s="283"/>
      <c r="J603" s="280"/>
      <c r="K603" s="103"/>
      <c r="L603" s="146"/>
      <c r="M603" s="103"/>
      <c r="N603" s="103"/>
      <c r="O603" s="103">
        <f t="shared" si="3"/>
        <v>0</v>
      </c>
      <c r="P603" s="104">
        <f t="shared" si="4"/>
        <v>0</v>
      </c>
      <c r="Q603" s="147"/>
      <c r="R603" s="103"/>
      <c r="S603" s="103">
        <f t="shared" si="6"/>
        <v>0</v>
      </c>
      <c r="U603" s="107" t="str">
        <f t="shared" si="7"/>
        <v>0</v>
      </c>
    </row>
    <row r="604" ht="15.75" customHeight="1">
      <c r="A604" s="279"/>
      <c r="B604" s="280"/>
      <c r="C604" s="280"/>
      <c r="D604" s="280"/>
      <c r="E604" s="281"/>
      <c r="F604" s="281"/>
      <c r="G604" s="280"/>
      <c r="H604" s="282"/>
      <c r="I604" s="283"/>
      <c r="J604" s="280"/>
      <c r="K604" s="103"/>
      <c r="L604" s="146"/>
      <c r="M604" s="103"/>
      <c r="N604" s="103"/>
      <c r="O604" s="103">
        <f t="shared" si="3"/>
        <v>0</v>
      </c>
      <c r="P604" s="104">
        <f t="shared" si="4"/>
        <v>0</v>
      </c>
      <c r="Q604" s="147"/>
      <c r="R604" s="103"/>
      <c r="S604" s="103">
        <f t="shared" si="6"/>
        <v>0</v>
      </c>
      <c r="U604" s="107" t="str">
        <f t="shared" si="7"/>
        <v>0</v>
      </c>
    </row>
    <row r="605" ht="15.75" customHeight="1">
      <c r="A605" s="279"/>
      <c r="B605" s="280"/>
      <c r="C605" s="280"/>
      <c r="D605" s="280"/>
      <c r="E605" s="281"/>
      <c r="F605" s="281"/>
      <c r="G605" s="280"/>
      <c r="H605" s="282"/>
      <c r="I605" s="283"/>
      <c r="J605" s="280"/>
      <c r="K605" s="103"/>
      <c r="L605" s="146"/>
      <c r="M605" s="103"/>
      <c r="N605" s="103"/>
      <c r="O605" s="103">
        <f t="shared" si="3"/>
        <v>0</v>
      </c>
      <c r="P605" s="104">
        <f t="shared" si="4"/>
        <v>0</v>
      </c>
      <c r="Q605" s="147"/>
      <c r="R605" s="103"/>
      <c r="S605" s="103">
        <f t="shared" si="6"/>
        <v>0</v>
      </c>
      <c r="U605" s="107" t="str">
        <f t="shared" si="7"/>
        <v>0</v>
      </c>
    </row>
    <row r="606" ht="15.75" customHeight="1">
      <c r="A606" s="279"/>
      <c r="B606" s="280"/>
      <c r="C606" s="280"/>
      <c r="D606" s="280"/>
      <c r="E606" s="281"/>
      <c r="F606" s="281"/>
      <c r="G606" s="280"/>
      <c r="H606" s="282"/>
      <c r="I606" s="283"/>
      <c r="J606" s="280"/>
      <c r="K606" s="103"/>
      <c r="L606" s="146"/>
      <c r="M606" s="103"/>
      <c r="N606" s="103"/>
      <c r="O606" s="103">
        <f t="shared" si="3"/>
        <v>0</v>
      </c>
      <c r="P606" s="104">
        <f t="shared" si="4"/>
        <v>0</v>
      </c>
      <c r="Q606" s="147"/>
      <c r="R606" s="103"/>
      <c r="S606" s="103">
        <f t="shared" si="6"/>
        <v>0</v>
      </c>
      <c r="U606" s="107" t="str">
        <f t="shared" si="7"/>
        <v>0</v>
      </c>
    </row>
    <row r="607" ht="15.75" customHeight="1">
      <c r="A607" s="279"/>
      <c r="B607" s="280"/>
      <c r="C607" s="280"/>
      <c r="D607" s="280"/>
      <c r="E607" s="281"/>
      <c r="F607" s="281"/>
      <c r="G607" s="280"/>
      <c r="H607" s="282"/>
      <c r="I607" s="283"/>
      <c r="J607" s="280"/>
      <c r="K607" s="103"/>
      <c r="L607" s="146"/>
      <c r="M607" s="103"/>
      <c r="N607" s="103"/>
      <c r="O607" s="103">
        <f t="shared" si="3"/>
        <v>0</v>
      </c>
      <c r="P607" s="104">
        <f t="shared" si="4"/>
        <v>0</v>
      </c>
      <c r="Q607" s="147"/>
      <c r="R607" s="103"/>
      <c r="S607" s="103">
        <f t="shared" si="6"/>
        <v>0</v>
      </c>
      <c r="U607" s="107" t="str">
        <f t="shared" si="7"/>
        <v>0</v>
      </c>
    </row>
    <row r="608" ht="15.75" customHeight="1">
      <c r="A608" s="279"/>
      <c r="B608" s="280"/>
      <c r="C608" s="280"/>
      <c r="D608" s="280"/>
      <c r="E608" s="281"/>
      <c r="F608" s="281"/>
      <c r="G608" s="280"/>
      <c r="H608" s="282"/>
      <c r="I608" s="283"/>
      <c r="J608" s="280"/>
      <c r="K608" s="103"/>
      <c r="L608" s="146"/>
      <c r="M608" s="103"/>
      <c r="N608" s="103"/>
      <c r="O608" s="103">
        <f t="shared" si="3"/>
        <v>0</v>
      </c>
      <c r="P608" s="104">
        <f t="shared" si="4"/>
        <v>0</v>
      </c>
      <c r="Q608" s="147"/>
      <c r="R608" s="103"/>
      <c r="S608" s="103">
        <f t="shared" si="6"/>
        <v>0</v>
      </c>
      <c r="U608" s="107" t="str">
        <f t="shared" si="7"/>
        <v>0</v>
      </c>
    </row>
    <row r="609" ht="15.75" customHeight="1">
      <c r="A609" s="279"/>
      <c r="B609" s="280"/>
      <c r="C609" s="280"/>
      <c r="D609" s="280"/>
      <c r="E609" s="281"/>
      <c r="F609" s="281"/>
      <c r="G609" s="280"/>
      <c r="H609" s="282"/>
      <c r="I609" s="283"/>
      <c r="J609" s="280"/>
      <c r="K609" s="103"/>
      <c r="L609" s="146"/>
      <c r="M609" s="103"/>
      <c r="N609" s="103"/>
      <c r="O609" s="103">
        <f t="shared" si="3"/>
        <v>0</v>
      </c>
      <c r="P609" s="104">
        <f t="shared" si="4"/>
        <v>0</v>
      </c>
      <c r="Q609" s="147"/>
      <c r="R609" s="103"/>
      <c r="S609" s="103">
        <f t="shared" si="6"/>
        <v>0</v>
      </c>
      <c r="U609" s="107" t="str">
        <f t="shared" si="7"/>
        <v>0</v>
      </c>
    </row>
    <row r="610" ht="15.75" customHeight="1">
      <c r="A610" s="279"/>
      <c r="B610" s="280"/>
      <c r="C610" s="280"/>
      <c r="D610" s="280"/>
      <c r="E610" s="281"/>
      <c r="F610" s="281"/>
      <c r="G610" s="280"/>
      <c r="H610" s="282"/>
      <c r="I610" s="283"/>
      <c r="J610" s="280"/>
      <c r="K610" s="103"/>
      <c r="L610" s="146"/>
      <c r="M610" s="103"/>
      <c r="N610" s="103"/>
      <c r="O610" s="103">
        <f t="shared" si="3"/>
        <v>0</v>
      </c>
      <c r="P610" s="104">
        <f t="shared" si="4"/>
        <v>0</v>
      </c>
      <c r="Q610" s="147"/>
      <c r="R610" s="103"/>
      <c r="S610" s="103">
        <f t="shared" si="6"/>
        <v>0</v>
      </c>
      <c r="U610" s="107" t="str">
        <f t="shared" si="7"/>
        <v>0</v>
      </c>
    </row>
    <row r="611" ht="15.75" customHeight="1">
      <c r="A611" s="279"/>
      <c r="B611" s="280"/>
      <c r="C611" s="280"/>
      <c r="D611" s="280"/>
      <c r="E611" s="281"/>
      <c r="F611" s="281"/>
      <c r="G611" s="280"/>
      <c r="H611" s="282"/>
      <c r="I611" s="283"/>
      <c r="J611" s="280"/>
      <c r="K611" s="103"/>
      <c r="L611" s="146"/>
      <c r="M611" s="103"/>
      <c r="N611" s="103"/>
      <c r="O611" s="103">
        <f t="shared" si="3"/>
        <v>0</v>
      </c>
      <c r="P611" s="104">
        <f t="shared" si="4"/>
        <v>0</v>
      </c>
      <c r="Q611" s="147"/>
      <c r="R611" s="103"/>
      <c r="S611" s="103">
        <f t="shared" si="6"/>
        <v>0</v>
      </c>
      <c r="U611" s="107" t="str">
        <f t="shared" si="7"/>
        <v>0</v>
      </c>
    </row>
    <row r="612" ht="15.75" customHeight="1">
      <c r="A612" s="279"/>
      <c r="B612" s="280"/>
      <c r="C612" s="280"/>
      <c r="D612" s="280"/>
      <c r="E612" s="281"/>
      <c r="F612" s="281"/>
      <c r="G612" s="280"/>
      <c r="H612" s="282"/>
      <c r="I612" s="283"/>
      <c r="J612" s="280"/>
      <c r="K612" s="103"/>
      <c r="L612" s="146"/>
      <c r="M612" s="103"/>
      <c r="N612" s="103"/>
      <c r="O612" s="103">
        <f t="shared" si="3"/>
        <v>0</v>
      </c>
      <c r="P612" s="104">
        <f t="shared" si="4"/>
        <v>0</v>
      </c>
      <c r="Q612" s="147"/>
      <c r="R612" s="103"/>
      <c r="S612" s="103">
        <f t="shared" si="6"/>
        <v>0</v>
      </c>
      <c r="U612" s="107" t="str">
        <f t="shared" si="7"/>
        <v>0</v>
      </c>
    </row>
    <row r="613" ht="15.75" customHeight="1">
      <c r="A613" s="279"/>
      <c r="B613" s="280"/>
      <c r="C613" s="280"/>
      <c r="D613" s="280"/>
      <c r="E613" s="281"/>
      <c r="F613" s="281"/>
      <c r="G613" s="280"/>
      <c r="H613" s="282"/>
      <c r="I613" s="283"/>
      <c r="J613" s="280"/>
      <c r="K613" s="103"/>
      <c r="L613" s="146"/>
      <c r="M613" s="103"/>
      <c r="N613" s="103"/>
      <c r="O613" s="103">
        <f t="shared" si="3"/>
        <v>0</v>
      </c>
      <c r="P613" s="104">
        <f t="shared" si="4"/>
        <v>0</v>
      </c>
      <c r="Q613" s="147"/>
      <c r="R613" s="103"/>
      <c r="S613" s="103">
        <f t="shared" si="6"/>
        <v>0</v>
      </c>
      <c r="U613" s="107" t="str">
        <f t="shared" si="7"/>
        <v>0</v>
      </c>
    </row>
    <row r="614" ht="15.75" customHeight="1">
      <c r="A614" s="279"/>
      <c r="B614" s="280"/>
      <c r="C614" s="280"/>
      <c r="D614" s="280"/>
      <c r="E614" s="281"/>
      <c r="F614" s="281"/>
      <c r="G614" s="280"/>
      <c r="H614" s="282"/>
      <c r="I614" s="283"/>
      <c r="J614" s="280"/>
      <c r="K614" s="103"/>
      <c r="L614" s="146"/>
      <c r="M614" s="103"/>
      <c r="N614" s="103"/>
      <c r="O614" s="103">
        <f t="shared" si="3"/>
        <v>0</v>
      </c>
      <c r="P614" s="104">
        <f t="shared" si="4"/>
        <v>0</v>
      </c>
      <c r="Q614" s="147"/>
      <c r="R614" s="103"/>
      <c r="S614" s="103">
        <f t="shared" si="6"/>
        <v>0</v>
      </c>
      <c r="U614" s="107" t="str">
        <f t="shared" si="7"/>
        <v>0</v>
      </c>
    </row>
    <row r="615" ht="15.75" customHeight="1">
      <c r="A615" s="279"/>
      <c r="B615" s="280"/>
      <c r="C615" s="280"/>
      <c r="D615" s="280"/>
      <c r="E615" s="281"/>
      <c r="F615" s="281"/>
      <c r="G615" s="280"/>
      <c r="H615" s="282"/>
      <c r="I615" s="283"/>
      <c r="J615" s="280"/>
      <c r="K615" s="103"/>
      <c r="L615" s="146"/>
      <c r="M615" s="103"/>
      <c r="N615" s="103"/>
      <c r="O615" s="103">
        <f t="shared" si="3"/>
        <v>0</v>
      </c>
      <c r="P615" s="104">
        <f t="shared" si="4"/>
        <v>0</v>
      </c>
      <c r="Q615" s="147"/>
      <c r="R615" s="103"/>
      <c r="S615" s="103">
        <f t="shared" si="6"/>
        <v>0</v>
      </c>
      <c r="U615" s="107" t="str">
        <f t="shared" si="7"/>
        <v>0</v>
      </c>
    </row>
    <row r="616" ht="15.75" customHeight="1">
      <c r="A616" s="279"/>
      <c r="B616" s="280"/>
      <c r="C616" s="280"/>
      <c r="D616" s="280"/>
      <c r="E616" s="281"/>
      <c r="F616" s="281"/>
      <c r="G616" s="280"/>
      <c r="H616" s="282"/>
      <c r="I616" s="283"/>
      <c r="J616" s="280"/>
      <c r="K616" s="103"/>
      <c r="L616" s="146"/>
      <c r="M616" s="103"/>
      <c r="N616" s="103"/>
      <c r="O616" s="103">
        <f t="shared" si="3"/>
        <v>0</v>
      </c>
      <c r="P616" s="104">
        <f t="shared" si="4"/>
        <v>0</v>
      </c>
      <c r="Q616" s="147"/>
      <c r="R616" s="103"/>
      <c r="S616" s="103">
        <f t="shared" si="6"/>
        <v>0</v>
      </c>
      <c r="U616" s="107" t="str">
        <f t="shared" si="7"/>
        <v>0</v>
      </c>
    </row>
    <row r="617" ht="15.75" customHeight="1">
      <c r="A617" s="279"/>
      <c r="B617" s="280"/>
      <c r="C617" s="280"/>
      <c r="D617" s="280"/>
      <c r="E617" s="281"/>
      <c r="F617" s="281"/>
      <c r="G617" s="280"/>
      <c r="H617" s="282"/>
      <c r="I617" s="283"/>
      <c r="J617" s="280"/>
      <c r="K617" s="103"/>
      <c r="L617" s="146"/>
      <c r="M617" s="103"/>
      <c r="N617" s="103"/>
      <c r="O617" s="103">
        <f t="shared" si="3"/>
        <v>0</v>
      </c>
      <c r="P617" s="104">
        <f t="shared" si="4"/>
        <v>0</v>
      </c>
      <c r="Q617" s="147"/>
      <c r="R617" s="103"/>
      <c r="S617" s="103">
        <f t="shared" si="6"/>
        <v>0</v>
      </c>
      <c r="U617" s="107" t="str">
        <f t="shared" si="7"/>
        <v>0</v>
      </c>
    </row>
    <row r="618" ht="15.75" customHeight="1">
      <c r="A618" s="279"/>
      <c r="B618" s="280"/>
      <c r="C618" s="280"/>
      <c r="D618" s="280"/>
      <c r="E618" s="281"/>
      <c r="F618" s="281"/>
      <c r="G618" s="280"/>
      <c r="H618" s="282"/>
      <c r="I618" s="283"/>
      <c r="J618" s="280"/>
      <c r="K618" s="103"/>
      <c r="L618" s="146"/>
      <c r="M618" s="103"/>
      <c r="N618" s="103"/>
      <c r="O618" s="103">
        <f t="shared" si="3"/>
        <v>0</v>
      </c>
      <c r="P618" s="104">
        <f t="shared" si="4"/>
        <v>0</v>
      </c>
      <c r="Q618" s="147"/>
      <c r="R618" s="103"/>
      <c r="S618" s="103">
        <f t="shared" si="6"/>
        <v>0</v>
      </c>
      <c r="U618" s="107" t="str">
        <f t="shared" si="7"/>
        <v>0</v>
      </c>
    </row>
    <row r="619" ht="15.75" customHeight="1">
      <c r="A619" s="279"/>
      <c r="B619" s="280"/>
      <c r="C619" s="280"/>
      <c r="D619" s="280"/>
      <c r="E619" s="281"/>
      <c r="F619" s="281"/>
      <c r="G619" s="280"/>
      <c r="H619" s="282"/>
      <c r="I619" s="283"/>
      <c r="J619" s="280"/>
      <c r="K619" s="103"/>
      <c r="L619" s="146"/>
      <c r="M619" s="103"/>
      <c r="N619" s="103"/>
      <c r="O619" s="103">
        <f t="shared" si="3"/>
        <v>0</v>
      </c>
      <c r="P619" s="104">
        <f t="shared" si="4"/>
        <v>0</v>
      </c>
      <c r="Q619" s="147"/>
      <c r="R619" s="103"/>
      <c r="S619" s="103">
        <f t="shared" si="6"/>
        <v>0</v>
      </c>
      <c r="U619" s="107" t="str">
        <f t="shared" si="7"/>
        <v>0</v>
      </c>
    </row>
    <row r="620" ht="15.75" customHeight="1">
      <c r="A620" s="279"/>
      <c r="B620" s="280"/>
      <c r="C620" s="280"/>
      <c r="D620" s="280"/>
      <c r="E620" s="281"/>
      <c r="F620" s="281"/>
      <c r="G620" s="280"/>
      <c r="H620" s="282"/>
      <c r="I620" s="283"/>
      <c r="J620" s="280"/>
      <c r="K620" s="103"/>
      <c r="L620" s="146"/>
      <c r="M620" s="103"/>
      <c r="N620" s="103"/>
      <c r="O620" s="103">
        <f t="shared" si="3"/>
        <v>0</v>
      </c>
      <c r="P620" s="104">
        <f t="shared" si="4"/>
        <v>0</v>
      </c>
      <c r="Q620" s="147"/>
      <c r="R620" s="103"/>
      <c r="S620" s="103">
        <f t="shared" si="6"/>
        <v>0</v>
      </c>
      <c r="U620" s="107" t="str">
        <f t="shared" si="7"/>
        <v>0</v>
      </c>
    </row>
    <row r="621" ht="15.75" customHeight="1">
      <c r="A621" s="279"/>
      <c r="B621" s="280"/>
      <c r="C621" s="280"/>
      <c r="D621" s="280"/>
      <c r="E621" s="281"/>
      <c r="F621" s="281"/>
      <c r="G621" s="280"/>
      <c r="H621" s="282"/>
      <c r="I621" s="283"/>
      <c r="J621" s="280"/>
      <c r="K621" s="103"/>
      <c r="L621" s="146"/>
      <c r="M621" s="103"/>
      <c r="N621" s="103"/>
      <c r="O621" s="103">
        <f t="shared" si="3"/>
        <v>0</v>
      </c>
      <c r="P621" s="104">
        <f t="shared" si="4"/>
        <v>0</v>
      </c>
      <c r="Q621" s="147"/>
      <c r="R621" s="103"/>
      <c r="S621" s="103">
        <f t="shared" si="6"/>
        <v>0</v>
      </c>
      <c r="U621" s="107" t="str">
        <f t="shared" si="7"/>
        <v>0</v>
      </c>
    </row>
    <row r="622" ht="15.75" customHeight="1">
      <c r="A622" s="279"/>
      <c r="B622" s="280"/>
      <c r="C622" s="280"/>
      <c r="D622" s="280"/>
      <c r="E622" s="281"/>
      <c r="F622" s="281"/>
      <c r="G622" s="280"/>
      <c r="H622" s="282"/>
      <c r="I622" s="283"/>
      <c r="J622" s="280"/>
      <c r="K622" s="103"/>
      <c r="L622" s="146"/>
      <c r="M622" s="103"/>
      <c r="N622" s="103"/>
      <c r="O622" s="103">
        <f t="shared" si="3"/>
        <v>0</v>
      </c>
      <c r="P622" s="104">
        <f t="shared" si="4"/>
        <v>0</v>
      </c>
      <c r="Q622" s="147"/>
      <c r="R622" s="103"/>
      <c r="S622" s="103">
        <f t="shared" si="6"/>
        <v>0</v>
      </c>
      <c r="U622" s="107" t="str">
        <f t="shared" si="7"/>
        <v>0</v>
      </c>
    </row>
    <row r="623" ht="15.75" customHeight="1">
      <c r="A623" s="279"/>
      <c r="B623" s="280"/>
      <c r="C623" s="280"/>
      <c r="D623" s="280"/>
      <c r="E623" s="281"/>
      <c r="F623" s="281"/>
      <c r="G623" s="280"/>
      <c r="H623" s="282"/>
      <c r="I623" s="283"/>
      <c r="J623" s="280"/>
      <c r="K623" s="103"/>
      <c r="L623" s="146"/>
      <c r="M623" s="103"/>
      <c r="N623" s="103"/>
      <c r="O623" s="103">
        <f t="shared" si="3"/>
        <v>0</v>
      </c>
      <c r="P623" s="104">
        <f t="shared" si="4"/>
        <v>0</v>
      </c>
      <c r="Q623" s="147"/>
      <c r="R623" s="103"/>
      <c r="S623" s="103">
        <f t="shared" si="6"/>
        <v>0</v>
      </c>
      <c r="U623" s="107" t="str">
        <f t="shared" si="7"/>
        <v>0</v>
      </c>
    </row>
    <row r="624" ht="15.75" customHeight="1">
      <c r="A624" s="279"/>
      <c r="B624" s="280"/>
      <c r="C624" s="280"/>
      <c r="D624" s="280"/>
      <c r="E624" s="281"/>
      <c r="F624" s="281"/>
      <c r="G624" s="280"/>
      <c r="H624" s="282"/>
      <c r="I624" s="283"/>
      <c r="J624" s="280"/>
      <c r="K624" s="103"/>
      <c r="L624" s="146"/>
      <c r="M624" s="103"/>
      <c r="N624" s="103"/>
      <c r="O624" s="103">
        <f t="shared" si="3"/>
        <v>0</v>
      </c>
      <c r="P624" s="104">
        <f t="shared" si="4"/>
        <v>0</v>
      </c>
      <c r="Q624" s="147"/>
      <c r="R624" s="103"/>
      <c r="S624" s="103">
        <f t="shared" si="6"/>
        <v>0</v>
      </c>
      <c r="U624" s="107" t="str">
        <f t="shared" si="7"/>
        <v>0</v>
      </c>
    </row>
    <row r="625" ht="15.75" customHeight="1">
      <c r="A625" s="279"/>
      <c r="B625" s="280"/>
      <c r="C625" s="280"/>
      <c r="D625" s="280"/>
      <c r="E625" s="281"/>
      <c r="F625" s="281"/>
      <c r="G625" s="280"/>
      <c r="H625" s="282"/>
      <c r="I625" s="283"/>
      <c r="J625" s="280"/>
      <c r="K625" s="103"/>
      <c r="L625" s="146"/>
      <c r="M625" s="103"/>
      <c r="N625" s="103"/>
      <c r="O625" s="103">
        <f t="shared" si="3"/>
        <v>0</v>
      </c>
      <c r="P625" s="104">
        <f t="shared" si="4"/>
        <v>0</v>
      </c>
      <c r="Q625" s="147"/>
      <c r="R625" s="103"/>
      <c r="S625" s="103">
        <f t="shared" si="6"/>
        <v>0</v>
      </c>
      <c r="U625" s="107" t="str">
        <f t="shared" si="7"/>
        <v>0</v>
      </c>
    </row>
    <row r="626" ht="15.75" customHeight="1">
      <c r="A626" s="279"/>
      <c r="B626" s="280"/>
      <c r="C626" s="280"/>
      <c r="D626" s="280"/>
      <c r="E626" s="281"/>
      <c r="F626" s="281"/>
      <c r="G626" s="280"/>
      <c r="H626" s="282"/>
      <c r="I626" s="283"/>
      <c r="J626" s="280"/>
      <c r="K626" s="103"/>
      <c r="L626" s="146"/>
      <c r="M626" s="103"/>
      <c r="N626" s="103"/>
      <c r="O626" s="103">
        <f t="shared" si="3"/>
        <v>0</v>
      </c>
      <c r="P626" s="104">
        <f t="shared" si="4"/>
        <v>0</v>
      </c>
      <c r="Q626" s="147"/>
      <c r="R626" s="103"/>
      <c r="S626" s="103">
        <f t="shared" si="6"/>
        <v>0</v>
      </c>
      <c r="U626" s="107" t="str">
        <f t="shared" si="7"/>
        <v>0</v>
      </c>
    </row>
    <row r="627" ht="15.75" customHeight="1">
      <c r="A627" s="279"/>
      <c r="B627" s="280"/>
      <c r="C627" s="280"/>
      <c r="D627" s="280"/>
      <c r="E627" s="281"/>
      <c r="F627" s="281"/>
      <c r="G627" s="280"/>
      <c r="H627" s="282"/>
      <c r="I627" s="283"/>
      <c r="J627" s="280"/>
      <c r="K627" s="103"/>
      <c r="L627" s="146"/>
      <c r="M627" s="103"/>
      <c r="N627" s="103"/>
      <c r="O627" s="103">
        <f t="shared" si="3"/>
        <v>0</v>
      </c>
      <c r="P627" s="104">
        <f t="shared" si="4"/>
        <v>0</v>
      </c>
      <c r="Q627" s="147"/>
      <c r="R627" s="103"/>
      <c r="S627" s="103">
        <f t="shared" si="6"/>
        <v>0</v>
      </c>
      <c r="U627" s="107" t="str">
        <f t="shared" si="7"/>
        <v>0</v>
      </c>
    </row>
    <row r="628" ht="15.75" customHeight="1">
      <c r="A628" s="279"/>
      <c r="B628" s="280"/>
      <c r="C628" s="280"/>
      <c r="D628" s="280"/>
      <c r="E628" s="281"/>
      <c r="F628" s="281"/>
      <c r="G628" s="280"/>
      <c r="H628" s="282"/>
      <c r="I628" s="283"/>
      <c r="J628" s="280"/>
      <c r="K628" s="103"/>
      <c r="L628" s="146"/>
      <c r="M628" s="103"/>
      <c r="N628" s="103"/>
      <c r="O628" s="103">
        <f t="shared" si="3"/>
        <v>0</v>
      </c>
      <c r="P628" s="104">
        <f t="shared" si="4"/>
        <v>0</v>
      </c>
      <c r="Q628" s="147"/>
      <c r="R628" s="103"/>
      <c r="S628" s="103">
        <f t="shared" si="6"/>
        <v>0</v>
      </c>
      <c r="U628" s="107" t="str">
        <f t="shared" si="7"/>
        <v>0</v>
      </c>
    </row>
    <row r="629" ht="15.75" customHeight="1">
      <c r="A629" s="279"/>
      <c r="B629" s="280"/>
      <c r="C629" s="280"/>
      <c r="D629" s="280"/>
      <c r="E629" s="281"/>
      <c r="F629" s="281"/>
      <c r="G629" s="280"/>
      <c r="H629" s="282"/>
      <c r="I629" s="283"/>
      <c r="J629" s="280"/>
      <c r="K629" s="103"/>
      <c r="L629" s="146"/>
      <c r="M629" s="103"/>
      <c r="N629" s="103"/>
      <c r="O629" s="103">
        <f t="shared" si="3"/>
        <v>0</v>
      </c>
      <c r="P629" s="104">
        <f t="shared" si="4"/>
        <v>0</v>
      </c>
      <c r="Q629" s="147"/>
      <c r="R629" s="103"/>
      <c r="S629" s="103">
        <f t="shared" si="6"/>
        <v>0</v>
      </c>
      <c r="U629" s="107" t="str">
        <f t="shared" si="7"/>
        <v>0</v>
      </c>
    </row>
    <row r="630" ht="15.75" customHeight="1">
      <c r="A630" s="279"/>
      <c r="B630" s="280"/>
      <c r="C630" s="280"/>
      <c r="D630" s="280"/>
      <c r="E630" s="281"/>
      <c r="F630" s="281"/>
      <c r="G630" s="280"/>
      <c r="H630" s="282"/>
      <c r="I630" s="283"/>
      <c r="J630" s="280"/>
      <c r="K630" s="103"/>
      <c r="L630" s="146"/>
      <c r="M630" s="103"/>
      <c r="N630" s="103"/>
      <c r="O630" s="103">
        <f t="shared" si="3"/>
        <v>0</v>
      </c>
      <c r="P630" s="104">
        <f t="shared" si="4"/>
        <v>0</v>
      </c>
      <c r="Q630" s="147"/>
      <c r="R630" s="103"/>
      <c r="S630" s="103">
        <f t="shared" si="6"/>
        <v>0</v>
      </c>
      <c r="U630" s="107" t="str">
        <f t="shared" si="7"/>
        <v>0</v>
      </c>
    </row>
    <row r="631" ht="15.75" customHeight="1">
      <c r="A631" s="279"/>
      <c r="B631" s="280"/>
      <c r="C631" s="280"/>
      <c r="D631" s="280"/>
      <c r="E631" s="281"/>
      <c r="F631" s="281"/>
      <c r="G631" s="280"/>
      <c r="H631" s="282"/>
      <c r="I631" s="283"/>
      <c r="J631" s="280"/>
      <c r="K631" s="103"/>
      <c r="L631" s="146"/>
      <c r="M631" s="103"/>
      <c r="N631" s="103"/>
      <c r="O631" s="103">
        <f t="shared" si="3"/>
        <v>0</v>
      </c>
      <c r="P631" s="104">
        <f t="shared" si="4"/>
        <v>0</v>
      </c>
      <c r="Q631" s="147"/>
      <c r="R631" s="103"/>
      <c r="S631" s="103">
        <f t="shared" si="6"/>
        <v>0</v>
      </c>
      <c r="U631" s="107" t="str">
        <f t="shared" si="7"/>
        <v>0</v>
      </c>
    </row>
    <row r="632" ht="15.75" customHeight="1">
      <c r="A632" s="279"/>
      <c r="B632" s="280"/>
      <c r="C632" s="280"/>
      <c r="D632" s="280"/>
      <c r="E632" s="281"/>
      <c r="F632" s="281"/>
      <c r="G632" s="280"/>
      <c r="H632" s="282"/>
      <c r="I632" s="283"/>
      <c r="J632" s="280"/>
      <c r="K632" s="103"/>
      <c r="L632" s="146"/>
      <c r="M632" s="103"/>
      <c r="N632" s="103"/>
      <c r="O632" s="103">
        <f t="shared" si="3"/>
        <v>0</v>
      </c>
      <c r="P632" s="104">
        <f t="shared" si="4"/>
        <v>0</v>
      </c>
      <c r="Q632" s="147"/>
      <c r="R632" s="103"/>
      <c r="S632" s="103">
        <f t="shared" si="6"/>
        <v>0</v>
      </c>
      <c r="U632" s="107" t="str">
        <f t="shared" si="7"/>
        <v>0</v>
      </c>
    </row>
    <row r="633" ht="15.75" customHeight="1">
      <c r="A633" s="279"/>
      <c r="B633" s="280"/>
      <c r="C633" s="280"/>
      <c r="D633" s="280"/>
      <c r="E633" s="281"/>
      <c r="F633" s="281"/>
      <c r="G633" s="280"/>
      <c r="H633" s="282"/>
      <c r="I633" s="283"/>
      <c r="J633" s="280"/>
      <c r="K633" s="103"/>
      <c r="L633" s="146"/>
      <c r="M633" s="103"/>
      <c r="N633" s="103"/>
      <c r="O633" s="103">
        <f t="shared" si="3"/>
        <v>0</v>
      </c>
      <c r="P633" s="104">
        <f t="shared" si="4"/>
        <v>0</v>
      </c>
      <c r="Q633" s="147"/>
      <c r="R633" s="103"/>
      <c r="S633" s="103">
        <f t="shared" si="6"/>
        <v>0</v>
      </c>
      <c r="U633" s="107" t="str">
        <f t="shared" si="7"/>
        <v>0</v>
      </c>
    </row>
    <row r="634" ht="15.75" customHeight="1">
      <c r="A634" s="279"/>
      <c r="B634" s="280"/>
      <c r="C634" s="280"/>
      <c r="D634" s="280"/>
      <c r="E634" s="281"/>
      <c r="F634" s="281"/>
      <c r="G634" s="280"/>
      <c r="H634" s="282"/>
      <c r="I634" s="283"/>
      <c r="J634" s="280"/>
      <c r="K634" s="103"/>
      <c r="L634" s="146"/>
      <c r="M634" s="103"/>
      <c r="N634" s="103"/>
      <c r="O634" s="103">
        <f t="shared" si="3"/>
        <v>0</v>
      </c>
      <c r="P634" s="104">
        <f t="shared" si="4"/>
        <v>0</v>
      </c>
      <c r="Q634" s="147"/>
      <c r="R634" s="103"/>
      <c r="S634" s="103">
        <f t="shared" si="6"/>
        <v>0</v>
      </c>
      <c r="U634" s="107" t="str">
        <f t="shared" si="7"/>
        <v>0</v>
      </c>
    </row>
    <row r="635" ht="15.75" customHeight="1">
      <c r="A635" s="279"/>
      <c r="B635" s="280"/>
      <c r="C635" s="280"/>
      <c r="D635" s="280"/>
      <c r="E635" s="281"/>
      <c r="F635" s="281"/>
      <c r="G635" s="280"/>
      <c r="H635" s="282"/>
      <c r="I635" s="283"/>
      <c r="J635" s="280"/>
      <c r="K635" s="103"/>
      <c r="L635" s="146"/>
      <c r="M635" s="103"/>
      <c r="N635" s="103"/>
      <c r="O635" s="103">
        <f t="shared" si="3"/>
        <v>0</v>
      </c>
      <c r="P635" s="104">
        <f t="shared" si="4"/>
        <v>0</v>
      </c>
      <c r="Q635" s="147"/>
      <c r="R635" s="103"/>
      <c r="S635" s="103">
        <f t="shared" si="6"/>
        <v>0</v>
      </c>
      <c r="U635" s="107" t="str">
        <f t="shared" si="7"/>
        <v>0</v>
      </c>
    </row>
    <row r="636" ht="15.75" customHeight="1">
      <c r="A636" s="279"/>
      <c r="B636" s="280"/>
      <c r="C636" s="280"/>
      <c r="D636" s="280"/>
      <c r="E636" s="281"/>
      <c r="F636" s="281"/>
      <c r="G636" s="280"/>
      <c r="H636" s="282"/>
      <c r="I636" s="283"/>
      <c r="J636" s="280"/>
      <c r="K636" s="103"/>
      <c r="L636" s="146"/>
      <c r="M636" s="103"/>
      <c r="N636" s="103"/>
      <c r="O636" s="103">
        <f t="shared" si="3"/>
        <v>0</v>
      </c>
      <c r="P636" s="104">
        <f t="shared" si="4"/>
        <v>0</v>
      </c>
      <c r="Q636" s="147"/>
      <c r="R636" s="103"/>
      <c r="S636" s="103">
        <f t="shared" si="6"/>
        <v>0</v>
      </c>
      <c r="U636" s="107" t="str">
        <f t="shared" si="7"/>
        <v>0</v>
      </c>
    </row>
    <row r="637" ht="15.75" customHeight="1">
      <c r="A637" s="279"/>
      <c r="B637" s="280"/>
      <c r="C637" s="280"/>
      <c r="D637" s="280"/>
      <c r="E637" s="281"/>
      <c r="F637" s="281"/>
      <c r="G637" s="280"/>
      <c r="H637" s="282"/>
      <c r="I637" s="283"/>
      <c r="J637" s="280"/>
      <c r="K637" s="103"/>
      <c r="L637" s="146"/>
      <c r="M637" s="103"/>
      <c r="N637" s="103"/>
      <c r="O637" s="103">
        <f t="shared" si="3"/>
        <v>0</v>
      </c>
      <c r="P637" s="104">
        <f t="shared" si="4"/>
        <v>0</v>
      </c>
      <c r="Q637" s="147"/>
      <c r="R637" s="103"/>
      <c r="S637" s="103">
        <f t="shared" si="6"/>
        <v>0</v>
      </c>
      <c r="U637" s="107" t="str">
        <f t="shared" si="7"/>
        <v>0</v>
      </c>
    </row>
    <row r="638" ht="15.75" customHeight="1">
      <c r="A638" s="279"/>
      <c r="B638" s="280"/>
      <c r="C638" s="280"/>
      <c r="D638" s="280"/>
      <c r="E638" s="281"/>
      <c r="F638" s="281"/>
      <c r="G638" s="280"/>
      <c r="H638" s="282"/>
      <c r="I638" s="283"/>
      <c r="J638" s="280"/>
      <c r="K638" s="103"/>
      <c r="L638" s="146"/>
      <c r="M638" s="103"/>
      <c r="N638" s="103"/>
      <c r="O638" s="103">
        <f t="shared" si="3"/>
        <v>0</v>
      </c>
      <c r="P638" s="104">
        <f t="shared" si="4"/>
        <v>0</v>
      </c>
      <c r="Q638" s="147"/>
      <c r="R638" s="103"/>
      <c r="S638" s="103">
        <f t="shared" si="6"/>
        <v>0</v>
      </c>
      <c r="U638" s="107" t="str">
        <f t="shared" si="7"/>
        <v>0</v>
      </c>
    </row>
    <row r="639" ht="15.75" customHeight="1">
      <c r="A639" s="279"/>
      <c r="B639" s="280"/>
      <c r="C639" s="280"/>
      <c r="D639" s="280"/>
      <c r="E639" s="281"/>
      <c r="F639" s="281"/>
      <c r="G639" s="280"/>
      <c r="H639" s="282"/>
      <c r="I639" s="283"/>
      <c r="J639" s="280"/>
      <c r="K639" s="103"/>
      <c r="L639" s="146"/>
      <c r="M639" s="103"/>
      <c r="N639" s="103"/>
      <c r="O639" s="103">
        <f t="shared" si="3"/>
        <v>0</v>
      </c>
      <c r="P639" s="104">
        <f t="shared" si="4"/>
        <v>0</v>
      </c>
      <c r="Q639" s="147"/>
      <c r="R639" s="103"/>
      <c r="S639" s="103">
        <f t="shared" si="6"/>
        <v>0</v>
      </c>
      <c r="U639" s="107" t="str">
        <f t="shared" si="7"/>
        <v>0</v>
      </c>
    </row>
    <row r="640" ht="15.75" customHeight="1">
      <c r="A640" s="279"/>
      <c r="B640" s="280"/>
      <c r="C640" s="280"/>
      <c r="D640" s="280"/>
      <c r="E640" s="281"/>
      <c r="F640" s="281"/>
      <c r="G640" s="280"/>
      <c r="H640" s="282"/>
      <c r="I640" s="283"/>
      <c r="J640" s="280"/>
      <c r="K640" s="103"/>
      <c r="L640" s="146"/>
      <c r="M640" s="103"/>
      <c r="N640" s="103"/>
      <c r="O640" s="103">
        <f t="shared" si="3"/>
        <v>0</v>
      </c>
      <c r="P640" s="104">
        <f t="shared" si="4"/>
        <v>0</v>
      </c>
      <c r="Q640" s="147"/>
      <c r="R640" s="103"/>
      <c r="S640" s="103">
        <f t="shared" si="6"/>
        <v>0</v>
      </c>
      <c r="U640" s="107" t="str">
        <f t="shared" si="7"/>
        <v>0</v>
      </c>
    </row>
    <row r="641" ht="15.75" customHeight="1">
      <c r="A641" s="279"/>
      <c r="B641" s="280"/>
      <c r="C641" s="280"/>
      <c r="D641" s="280"/>
      <c r="E641" s="281"/>
      <c r="F641" s="281"/>
      <c r="G641" s="280"/>
      <c r="H641" s="282"/>
      <c r="I641" s="283"/>
      <c r="J641" s="280"/>
      <c r="K641" s="103"/>
      <c r="L641" s="146"/>
      <c r="M641" s="103"/>
      <c r="N641" s="103"/>
      <c r="O641" s="103">
        <f t="shared" si="3"/>
        <v>0</v>
      </c>
      <c r="P641" s="104">
        <f t="shared" si="4"/>
        <v>0</v>
      </c>
      <c r="Q641" s="147"/>
      <c r="R641" s="103"/>
      <c r="S641" s="103">
        <f t="shared" si="6"/>
        <v>0</v>
      </c>
      <c r="U641" s="107" t="str">
        <f t="shared" si="7"/>
        <v>0</v>
      </c>
    </row>
    <row r="642" ht="15.75" customHeight="1">
      <c r="A642" s="279"/>
      <c r="B642" s="280"/>
      <c r="C642" s="280"/>
      <c r="D642" s="280"/>
      <c r="E642" s="281"/>
      <c r="F642" s="281"/>
      <c r="G642" s="280"/>
      <c r="H642" s="282"/>
      <c r="I642" s="283"/>
      <c r="J642" s="280"/>
      <c r="K642" s="103"/>
      <c r="L642" s="146"/>
      <c r="M642" s="103"/>
      <c r="N642" s="103"/>
      <c r="O642" s="103">
        <f t="shared" si="3"/>
        <v>0</v>
      </c>
      <c r="P642" s="104">
        <f t="shared" si="4"/>
        <v>0</v>
      </c>
      <c r="Q642" s="147"/>
      <c r="R642" s="103"/>
      <c r="S642" s="103">
        <f t="shared" si="6"/>
        <v>0</v>
      </c>
      <c r="U642" s="107" t="str">
        <f t="shared" si="7"/>
        <v>0</v>
      </c>
    </row>
    <row r="643" ht="15.75" customHeight="1">
      <c r="A643" s="279"/>
      <c r="B643" s="280"/>
      <c r="C643" s="280"/>
      <c r="D643" s="280"/>
      <c r="E643" s="281"/>
      <c r="F643" s="281"/>
      <c r="G643" s="280"/>
      <c r="H643" s="282"/>
      <c r="I643" s="283"/>
      <c r="J643" s="280"/>
      <c r="K643" s="103"/>
      <c r="L643" s="146"/>
      <c r="M643" s="103"/>
      <c r="N643" s="103"/>
      <c r="O643" s="103">
        <f t="shared" si="3"/>
        <v>0</v>
      </c>
      <c r="P643" s="104">
        <f t="shared" si="4"/>
        <v>0</v>
      </c>
      <c r="Q643" s="147"/>
      <c r="R643" s="103"/>
      <c r="S643" s="103">
        <f t="shared" si="6"/>
        <v>0</v>
      </c>
      <c r="U643" s="107" t="str">
        <f t="shared" si="7"/>
        <v>0</v>
      </c>
    </row>
    <row r="644" ht="15.75" customHeight="1">
      <c r="A644" s="279"/>
      <c r="B644" s="280"/>
      <c r="C644" s="280"/>
      <c r="D644" s="280"/>
      <c r="E644" s="281"/>
      <c r="F644" s="281"/>
      <c r="G644" s="280"/>
      <c r="H644" s="282"/>
      <c r="I644" s="283"/>
      <c r="J644" s="280"/>
      <c r="K644" s="103"/>
      <c r="L644" s="146"/>
      <c r="M644" s="103"/>
      <c r="N644" s="103"/>
      <c r="O644" s="103">
        <f t="shared" si="3"/>
        <v>0</v>
      </c>
      <c r="P644" s="104">
        <f t="shared" si="4"/>
        <v>0</v>
      </c>
      <c r="Q644" s="147"/>
      <c r="R644" s="103"/>
      <c r="S644" s="103">
        <f t="shared" si="6"/>
        <v>0</v>
      </c>
      <c r="U644" s="107" t="str">
        <f t="shared" si="7"/>
        <v>0</v>
      </c>
    </row>
    <row r="645" ht="15.75" customHeight="1">
      <c r="A645" s="279"/>
      <c r="B645" s="280"/>
      <c r="C645" s="280"/>
      <c r="D645" s="280"/>
      <c r="E645" s="281"/>
      <c r="F645" s="281"/>
      <c r="G645" s="280"/>
      <c r="H645" s="282"/>
      <c r="I645" s="283"/>
      <c r="J645" s="280"/>
      <c r="K645" s="103"/>
      <c r="L645" s="146"/>
      <c r="M645" s="103"/>
      <c r="N645" s="103"/>
      <c r="O645" s="103">
        <f t="shared" si="3"/>
        <v>0</v>
      </c>
      <c r="P645" s="104">
        <f t="shared" si="4"/>
        <v>0</v>
      </c>
      <c r="Q645" s="147"/>
      <c r="R645" s="103"/>
      <c r="S645" s="103">
        <f t="shared" si="6"/>
        <v>0</v>
      </c>
      <c r="U645" s="107" t="str">
        <f t="shared" si="7"/>
        <v>0</v>
      </c>
    </row>
    <row r="646" ht="15.75" customHeight="1">
      <c r="A646" s="279"/>
      <c r="B646" s="280"/>
      <c r="C646" s="280"/>
      <c r="D646" s="280"/>
      <c r="E646" s="281"/>
      <c r="F646" s="281"/>
      <c r="G646" s="280"/>
      <c r="H646" s="282"/>
      <c r="I646" s="283"/>
      <c r="J646" s="280"/>
      <c r="K646" s="103"/>
      <c r="L646" s="146"/>
      <c r="M646" s="103"/>
      <c r="N646" s="103"/>
      <c r="O646" s="103">
        <f t="shared" si="3"/>
        <v>0</v>
      </c>
      <c r="P646" s="104">
        <f t="shared" si="4"/>
        <v>0</v>
      </c>
      <c r="Q646" s="147"/>
      <c r="R646" s="103"/>
      <c r="S646" s="103">
        <f t="shared" si="6"/>
        <v>0</v>
      </c>
      <c r="U646" s="107" t="str">
        <f t="shared" si="7"/>
        <v>0</v>
      </c>
    </row>
    <row r="647" ht="15.75" customHeight="1">
      <c r="A647" s="279"/>
      <c r="B647" s="280"/>
      <c r="C647" s="280"/>
      <c r="D647" s="280"/>
      <c r="E647" s="281"/>
      <c r="F647" s="281"/>
      <c r="G647" s="280"/>
      <c r="H647" s="282"/>
      <c r="I647" s="283"/>
      <c r="J647" s="280"/>
      <c r="K647" s="103"/>
      <c r="L647" s="146"/>
      <c r="M647" s="103"/>
      <c r="N647" s="103"/>
      <c r="O647" s="103">
        <f t="shared" si="3"/>
        <v>0</v>
      </c>
      <c r="P647" s="104">
        <f t="shared" si="4"/>
        <v>0</v>
      </c>
      <c r="Q647" s="147"/>
      <c r="R647" s="103"/>
      <c r="S647" s="103">
        <f t="shared" si="6"/>
        <v>0</v>
      </c>
      <c r="U647" s="107" t="str">
        <f t="shared" si="7"/>
        <v>0</v>
      </c>
    </row>
    <row r="648" ht="15.75" customHeight="1">
      <c r="A648" s="279"/>
      <c r="B648" s="280"/>
      <c r="C648" s="280"/>
      <c r="D648" s="280"/>
      <c r="E648" s="281"/>
      <c r="F648" s="281"/>
      <c r="G648" s="280"/>
      <c r="H648" s="282"/>
      <c r="I648" s="283"/>
      <c r="J648" s="280"/>
      <c r="K648" s="103"/>
      <c r="L648" s="146"/>
      <c r="M648" s="103"/>
      <c r="N648" s="103"/>
      <c r="O648" s="103">
        <f t="shared" si="3"/>
        <v>0</v>
      </c>
      <c r="P648" s="104">
        <f t="shared" si="4"/>
        <v>0</v>
      </c>
      <c r="Q648" s="147"/>
      <c r="R648" s="103"/>
      <c r="S648" s="103">
        <f t="shared" si="6"/>
        <v>0</v>
      </c>
      <c r="U648" s="107" t="str">
        <f t="shared" si="7"/>
        <v>0</v>
      </c>
    </row>
    <row r="649" ht="15.75" customHeight="1">
      <c r="A649" s="279"/>
      <c r="B649" s="280"/>
      <c r="C649" s="280"/>
      <c r="D649" s="280"/>
      <c r="E649" s="281"/>
      <c r="F649" s="281"/>
      <c r="G649" s="280"/>
      <c r="H649" s="282"/>
      <c r="I649" s="283"/>
      <c r="J649" s="280"/>
      <c r="K649" s="103"/>
      <c r="L649" s="146"/>
      <c r="M649" s="103"/>
      <c r="N649" s="103"/>
      <c r="O649" s="103">
        <f t="shared" si="3"/>
        <v>0</v>
      </c>
      <c r="P649" s="104">
        <f t="shared" si="4"/>
        <v>0</v>
      </c>
      <c r="Q649" s="147"/>
      <c r="R649" s="103"/>
      <c r="S649" s="103">
        <f t="shared" si="6"/>
        <v>0</v>
      </c>
      <c r="U649" s="107" t="str">
        <f t="shared" si="7"/>
        <v>0</v>
      </c>
    </row>
    <row r="650" ht="15.75" customHeight="1">
      <c r="A650" s="279"/>
      <c r="B650" s="280"/>
      <c r="C650" s="280"/>
      <c r="D650" s="280"/>
      <c r="E650" s="281"/>
      <c r="F650" s="281"/>
      <c r="G650" s="280"/>
      <c r="H650" s="282"/>
      <c r="I650" s="283"/>
      <c r="J650" s="280"/>
      <c r="K650" s="103"/>
      <c r="L650" s="146"/>
      <c r="M650" s="103"/>
      <c r="N650" s="103"/>
      <c r="O650" s="103">
        <f t="shared" si="3"/>
        <v>0</v>
      </c>
      <c r="P650" s="104">
        <f t="shared" si="4"/>
        <v>0</v>
      </c>
      <c r="Q650" s="147"/>
      <c r="R650" s="103"/>
      <c r="S650" s="103">
        <f t="shared" si="6"/>
        <v>0</v>
      </c>
      <c r="U650" s="107" t="str">
        <f t="shared" si="7"/>
        <v>0</v>
      </c>
    </row>
    <row r="651" ht="15.75" customHeight="1">
      <c r="A651" s="279"/>
      <c r="B651" s="280"/>
      <c r="C651" s="280"/>
      <c r="D651" s="280"/>
      <c r="E651" s="281"/>
      <c r="F651" s="281"/>
      <c r="G651" s="280"/>
      <c r="H651" s="282"/>
      <c r="I651" s="283"/>
      <c r="J651" s="280"/>
      <c r="K651" s="103"/>
      <c r="L651" s="146"/>
      <c r="M651" s="103"/>
      <c r="N651" s="103"/>
      <c r="O651" s="103">
        <f t="shared" si="3"/>
        <v>0</v>
      </c>
      <c r="P651" s="104">
        <f t="shared" si="4"/>
        <v>0</v>
      </c>
      <c r="Q651" s="147"/>
      <c r="R651" s="103"/>
      <c r="S651" s="103">
        <f t="shared" si="6"/>
        <v>0</v>
      </c>
      <c r="U651" s="107" t="str">
        <f t="shared" si="7"/>
        <v>0</v>
      </c>
    </row>
    <row r="652" ht="15.75" customHeight="1">
      <c r="A652" s="279"/>
      <c r="B652" s="280"/>
      <c r="C652" s="280"/>
      <c r="D652" s="280"/>
      <c r="E652" s="281"/>
      <c r="F652" s="281"/>
      <c r="G652" s="280"/>
      <c r="H652" s="282"/>
      <c r="I652" s="283"/>
      <c r="J652" s="280"/>
      <c r="K652" s="103"/>
      <c r="L652" s="146"/>
      <c r="M652" s="103"/>
      <c r="N652" s="103"/>
      <c r="O652" s="103">
        <f t="shared" si="3"/>
        <v>0</v>
      </c>
      <c r="P652" s="104">
        <f t="shared" si="4"/>
        <v>0</v>
      </c>
      <c r="Q652" s="147"/>
      <c r="R652" s="103"/>
      <c r="S652" s="103">
        <f t="shared" si="6"/>
        <v>0</v>
      </c>
      <c r="U652" s="107" t="str">
        <f t="shared" si="7"/>
        <v>0</v>
      </c>
    </row>
    <row r="653" ht="15.75" customHeight="1">
      <c r="A653" s="279"/>
      <c r="B653" s="280"/>
      <c r="C653" s="280"/>
      <c r="D653" s="280"/>
      <c r="E653" s="281"/>
      <c r="F653" s="281"/>
      <c r="G653" s="280"/>
      <c r="H653" s="282"/>
      <c r="I653" s="283"/>
      <c r="J653" s="280"/>
      <c r="K653" s="103"/>
      <c r="L653" s="146"/>
      <c r="M653" s="103"/>
      <c r="N653" s="103"/>
      <c r="O653" s="103">
        <f t="shared" si="3"/>
        <v>0</v>
      </c>
      <c r="P653" s="104">
        <f t="shared" si="4"/>
        <v>0</v>
      </c>
      <c r="Q653" s="147"/>
      <c r="R653" s="103"/>
      <c r="S653" s="103">
        <f t="shared" si="6"/>
        <v>0</v>
      </c>
      <c r="U653" s="107" t="str">
        <f t="shared" si="7"/>
        <v>0</v>
      </c>
    </row>
    <row r="654" ht="15.75" customHeight="1">
      <c r="A654" s="279"/>
      <c r="B654" s="280"/>
      <c r="C654" s="280"/>
      <c r="D654" s="280"/>
      <c r="E654" s="281"/>
      <c r="F654" s="281"/>
      <c r="G654" s="280"/>
      <c r="H654" s="282"/>
      <c r="I654" s="283"/>
      <c r="J654" s="280"/>
      <c r="K654" s="103"/>
      <c r="L654" s="146"/>
      <c r="M654" s="103"/>
      <c r="N654" s="103"/>
      <c r="O654" s="103">
        <f t="shared" si="3"/>
        <v>0</v>
      </c>
      <c r="P654" s="104">
        <f t="shared" si="4"/>
        <v>0</v>
      </c>
      <c r="Q654" s="147"/>
      <c r="R654" s="103"/>
      <c r="S654" s="103">
        <f t="shared" si="6"/>
        <v>0</v>
      </c>
      <c r="U654" s="107" t="str">
        <f t="shared" si="7"/>
        <v>0</v>
      </c>
    </row>
    <row r="655" ht="15.75" customHeight="1">
      <c r="A655" s="279"/>
      <c r="B655" s="280"/>
      <c r="C655" s="280"/>
      <c r="D655" s="280"/>
      <c r="E655" s="281"/>
      <c r="F655" s="281"/>
      <c r="G655" s="280"/>
      <c r="H655" s="282"/>
      <c r="I655" s="283"/>
      <c r="J655" s="280"/>
      <c r="K655" s="103"/>
      <c r="L655" s="146"/>
      <c r="M655" s="103"/>
      <c r="N655" s="103"/>
      <c r="O655" s="103">
        <f t="shared" si="3"/>
        <v>0</v>
      </c>
      <c r="P655" s="104">
        <f t="shared" si="4"/>
        <v>0</v>
      </c>
      <c r="Q655" s="147"/>
      <c r="R655" s="103"/>
      <c r="S655" s="103">
        <f t="shared" si="6"/>
        <v>0</v>
      </c>
      <c r="U655" s="107" t="str">
        <f t="shared" si="7"/>
        <v>0</v>
      </c>
    </row>
    <row r="656" ht="15.75" customHeight="1">
      <c r="A656" s="279"/>
      <c r="B656" s="280"/>
      <c r="C656" s="280"/>
      <c r="D656" s="280"/>
      <c r="E656" s="281"/>
      <c r="F656" s="281"/>
      <c r="G656" s="280"/>
      <c r="H656" s="282"/>
      <c r="I656" s="283"/>
      <c r="J656" s="280"/>
      <c r="K656" s="103"/>
      <c r="L656" s="146"/>
      <c r="M656" s="103"/>
      <c r="N656" s="103"/>
      <c r="O656" s="103">
        <f t="shared" si="3"/>
        <v>0</v>
      </c>
      <c r="P656" s="104">
        <f t="shared" si="4"/>
        <v>0</v>
      </c>
      <c r="Q656" s="147"/>
      <c r="R656" s="103"/>
      <c r="S656" s="103">
        <f t="shared" si="6"/>
        <v>0</v>
      </c>
      <c r="U656" s="107" t="str">
        <f t="shared" si="7"/>
        <v>0</v>
      </c>
    </row>
    <row r="657" ht="15.75" customHeight="1">
      <c r="A657" s="279"/>
      <c r="B657" s="280"/>
      <c r="C657" s="280"/>
      <c r="D657" s="280"/>
      <c r="E657" s="281"/>
      <c r="F657" s="281"/>
      <c r="G657" s="280"/>
      <c r="H657" s="282"/>
      <c r="I657" s="283"/>
      <c r="J657" s="280"/>
      <c r="K657" s="103"/>
      <c r="L657" s="146"/>
      <c r="M657" s="103"/>
      <c r="N657" s="103"/>
      <c r="O657" s="103">
        <f t="shared" si="3"/>
        <v>0</v>
      </c>
      <c r="P657" s="104">
        <f t="shared" si="4"/>
        <v>0</v>
      </c>
      <c r="Q657" s="147"/>
      <c r="R657" s="103"/>
      <c r="S657" s="103">
        <f t="shared" si="6"/>
        <v>0</v>
      </c>
      <c r="U657" s="107" t="str">
        <f t="shared" si="7"/>
        <v>0</v>
      </c>
    </row>
    <row r="658" ht="15.75" customHeight="1">
      <c r="A658" s="279"/>
      <c r="B658" s="280"/>
      <c r="C658" s="280"/>
      <c r="D658" s="280"/>
      <c r="E658" s="281"/>
      <c r="F658" s="281"/>
      <c r="G658" s="280"/>
      <c r="H658" s="282"/>
      <c r="I658" s="283"/>
      <c r="J658" s="280"/>
      <c r="K658" s="103"/>
      <c r="L658" s="146"/>
      <c r="M658" s="103"/>
      <c r="N658" s="103"/>
      <c r="O658" s="103">
        <f t="shared" si="3"/>
        <v>0</v>
      </c>
      <c r="P658" s="104">
        <f t="shared" si="4"/>
        <v>0</v>
      </c>
      <c r="Q658" s="147"/>
      <c r="R658" s="103"/>
      <c r="S658" s="103">
        <f t="shared" si="6"/>
        <v>0</v>
      </c>
      <c r="U658" s="107" t="str">
        <f t="shared" si="7"/>
        <v>0</v>
      </c>
    </row>
    <row r="659" ht="15.75" customHeight="1">
      <c r="A659" s="279"/>
      <c r="B659" s="280"/>
      <c r="C659" s="280"/>
      <c r="D659" s="280"/>
      <c r="E659" s="281"/>
      <c r="F659" s="281"/>
      <c r="G659" s="280"/>
      <c r="H659" s="282"/>
      <c r="I659" s="283"/>
      <c r="J659" s="280"/>
      <c r="K659" s="103"/>
      <c r="L659" s="146"/>
      <c r="M659" s="103"/>
      <c r="N659" s="103"/>
      <c r="O659" s="103">
        <f t="shared" si="3"/>
        <v>0</v>
      </c>
      <c r="P659" s="104">
        <f t="shared" si="4"/>
        <v>0</v>
      </c>
      <c r="Q659" s="147"/>
      <c r="R659" s="103"/>
      <c r="S659" s="103">
        <f t="shared" si="6"/>
        <v>0</v>
      </c>
      <c r="U659" s="107" t="str">
        <f t="shared" si="7"/>
        <v>0</v>
      </c>
    </row>
    <row r="660" ht="15.75" customHeight="1">
      <c r="A660" s="279"/>
      <c r="B660" s="280"/>
      <c r="C660" s="280"/>
      <c r="D660" s="280"/>
      <c r="E660" s="281"/>
      <c r="F660" s="281"/>
      <c r="G660" s="280"/>
      <c r="H660" s="282"/>
      <c r="I660" s="283"/>
      <c r="J660" s="280"/>
      <c r="K660" s="103"/>
      <c r="L660" s="146"/>
      <c r="M660" s="103"/>
      <c r="N660" s="103"/>
      <c r="O660" s="103">
        <f t="shared" si="3"/>
        <v>0</v>
      </c>
      <c r="P660" s="104">
        <f t="shared" si="4"/>
        <v>0</v>
      </c>
      <c r="Q660" s="147"/>
      <c r="R660" s="103"/>
      <c r="S660" s="103">
        <f t="shared" si="6"/>
        <v>0</v>
      </c>
      <c r="U660" s="107" t="str">
        <f t="shared" si="7"/>
        <v>0</v>
      </c>
    </row>
    <row r="661" ht="15.75" customHeight="1">
      <c r="A661" s="279"/>
      <c r="B661" s="280"/>
      <c r="C661" s="280"/>
      <c r="D661" s="280"/>
      <c r="E661" s="281"/>
      <c r="F661" s="281"/>
      <c r="G661" s="280"/>
      <c r="H661" s="282"/>
      <c r="I661" s="283"/>
      <c r="J661" s="280"/>
      <c r="K661" s="103"/>
      <c r="L661" s="146"/>
      <c r="M661" s="103"/>
      <c r="N661" s="103"/>
      <c r="O661" s="103">
        <f t="shared" si="3"/>
        <v>0</v>
      </c>
      <c r="P661" s="104">
        <f t="shared" si="4"/>
        <v>0</v>
      </c>
      <c r="Q661" s="147"/>
      <c r="R661" s="103"/>
      <c r="S661" s="103">
        <f t="shared" si="6"/>
        <v>0</v>
      </c>
      <c r="U661" s="107" t="str">
        <f t="shared" si="7"/>
        <v>0</v>
      </c>
    </row>
    <row r="662" ht="15.75" customHeight="1">
      <c r="A662" s="279"/>
      <c r="B662" s="280"/>
      <c r="C662" s="280"/>
      <c r="D662" s="280"/>
      <c r="E662" s="281"/>
      <c r="F662" s="281"/>
      <c r="G662" s="280"/>
      <c r="H662" s="282"/>
      <c r="I662" s="283"/>
      <c r="J662" s="280"/>
      <c r="K662" s="103"/>
      <c r="L662" s="146"/>
      <c r="M662" s="103"/>
      <c r="N662" s="103"/>
      <c r="O662" s="103">
        <f t="shared" si="3"/>
        <v>0</v>
      </c>
      <c r="P662" s="104">
        <f t="shared" si="4"/>
        <v>0</v>
      </c>
      <c r="Q662" s="147"/>
      <c r="R662" s="103"/>
      <c r="S662" s="103">
        <f t="shared" si="6"/>
        <v>0</v>
      </c>
      <c r="U662" s="107" t="str">
        <f t="shared" si="7"/>
        <v>0</v>
      </c>
    </row>
    <row r="663" ht="15.75" customHeight="1">
      <c r="A663" s="279"/>
      <c r="B663" s="280"/>
      <c r="C663" s="280"/>
      <c r="D663" s="280"/>
      <c r="E663" s="281"/>
      <c r="F663" s="281"/>
      <c r="G663" s="280"/>
      <c r="H663" s="282"/>
      <c r="I663" s="283"/>
      <c r="J663" s="280"/>
      <c r="K663" s="103"/>
      <c r="L663" s="146"/>
      <c r="M663" s="103"/>
      <c r="N663" s="103"/>
      <c r="O663" s="103">
        <f t="shared" si="3"/>
        <v>0</v>
      </c>
      <c r="P663" s="104">
        <f t="shared" si="4"/>
        <v>0</v>
      </c>
      <c r="Q663" s="147"/>
      <c r="R663" s="103"/>
      <c r="S663" s="103">
        <f t="shared" si="6"/>
        <v>0</v>
      </c>
      <c r="U663" s="107" t="str">
        <f t="shared" si="7"/>
        <v>0</v>
      </c>
    </row>
    <row r="664" ht="15.75" customHeight="1">
      <c r="A664" s="279"/>
      <c r="B664" s="280"/>
      <c r="C664" s="280"/>
      <c r="D664" s="280"/>
      <c r="E664" s="281"/>
      <c r="F664" s="281"/>
      <c r="G664" s="280"/>
      <c r="H664" s="282"/>
      <c r="I664" s="283"/>
      <c r="J664" s="280"/>
      <c r="K664" s="103"/>
      <c r="L664" s="146"/>
      <c r="M664" s="103"/>
      <c r="N664" s="103"/>
      <c r="O664" s="103">
        <f t="shared" si="3"/>
        <v>0</v>
      </c>
      <c r="P664" s="104">
        <f t="shared" si="4"/>
        <v>0</v>
      </c>
      <c r="Q664" s="147"/>
      <c r="R664" s="103"/>
      <c r="S664" s="103">
        <f t="shared" si="6"/>
        <v>0</v>
      </c>
      <c r="U664" s="107" t="str">
        <f t="shared" si="7"/>
        <v>0</v>
      </c>
    </row>
    <row r="665" ht="15.75" customHeight="1">
      <c r="A665" s="279"/>
      <c r="B665" s="280"/>
      <c r="C665" s="280"/>
      <c r="D665" s="280"/>
      <c r="E665" s="281"/>
      <c r="F665" s="281"/>
      <c r="G665" s="280"/>
      <c r="H665" s="282"/>
      <c r="I665" s="283"/>
      <c r="J665" s="280"/>
      <c r="K665" s="103"/>
      <c r="L665" s="146"/>
      <c r="M665" s="103"/>
      <c r="N665" s="103"/>
      <c r="O665" s="103">
        <f t="shared" si="3"/>
        <v>0</v>
      </c>
      <c r="P665" s="104">
        <f t="shared" si="4"/>
        <v>0</v>
      </c>
      <c r="Q665" s="147"/>
      <c r="R665" s="103"/>
      <c r="S665" s="103">
        <f t="shared" si="6"/>
        <v>0</v>
      </c>
      <c r="U665" s="107" t="str">
        <f t="shared" si="7"/>
        <v>0</v>
      </c>
    </row>
    <row r="666" ht="15.75" customHeight="1">
      <c r="A666" s="279"/>
      <c r="B666" s="280"/>
      <c r="C666" s="280"/>
      <c r="D666" s="280"/>
      <c r="E666" s="281"/>
      <c r="F666" s="281"/>
      <c r="G666" s="280"/>
      <c r="H666" s="282"/>
      <c r="I666" s="283"/>
      <c r="J666" s="280"/>
      <c r="K666" s="103"/>
      <c r="L666" s="146"/>
      <c r="M666" s="103"/>
      <c r="N666" s="103"/>
      <c r="O666" s="103">
        <f t="shared" si="3"/>
        <v>0</v>
      </c>
      <c r="P666" s="104">
        <f t="shared" si="4"/>
        <v>0</v>
      </c>
      <c r="Q666" s="147"/>
      <c r="R666" s="103"/>
      <c r="S666" s="103">
        <f t="shared" si="6"/>
        <v>0</v>
      </c>
      <c r="U666" s="107" t="str">
        <f t="shared" si="7"/>
        <v>0</v>
      </c>
    </row>
    <row r="667" ht="15.75" customHeight="1">
      <c r="A667" s="279"/>
      <c r="B667" s="280"/>
      <c r="C667" s="280"/>
      <c r="D667" s="280"/>
      <c r="E667" s="281"/>
      <c r="F667" s="281"/>
      <c r="G667" s="280"/>
      <c r="H667" s="282"/>
      <c r="I667" s="283"/>
      <c r="J667" s="280"/>
      <c r="K667" s="103"/>
      <c r="L667" s="146"/>
      <c r="M667" s="103"/>
      <c r="N667" s="103"/>
      <c r="O667" s="103">
        <f t="shared" si="3"/>
        <v>0</v>
      </c>
      <c r="P667" s="104">
        <f t="shared" si="4"/>
        <v>0</v>
      </c>
      <c r="Q667" s="147"/>
      <c r="R667" s="103"/>
      <c r="S667" s="103">
        <f t="shared" si="6"/>
        <v>0</v>
      </c>
      <c r="U667" s="107" t="str">
        <f t="shared" si="7"/>
        <v>0</v>
      </c>
    </row>
    <row r="668" ht="15.75" customHeight="1">
      <c r="A668" s="279"/>
      <c r="B668" s="280"/>
      <c r="C668" s="280"/>
      <c r="D668" s="280"/>
      <c r="E668" s="281"/>
      <c r="F668" s="281"/>
      <c r="G668" s="280"/>
      <c r="H668" s="282"/>
      <c r="I668" s="283"/>
      <c r="J668" s="280"/>
      <c r="K668" s="103"/>
      <c r="L668" s="146"/>
      <c r="M668" s="103"/>
      <c r="N668" s="103"/>
      <c r="O668" s="103">
        <f t="shared" si="3"/>
        <v>0</v>
      </c>
      <c r="P668" s="104">
        <f t="shared" si="4"/>
        <v>0</v>
      </c>
      <c r="Q668" s="147"/>
      <c r="R668" s="103"/>
      <c r="S668" s="103">
        <f t="shared" si="6"/>
        <v>0</v>
      </c>
      <c r="U668" s="107" t="str">
        <f t="shared" si="7"/>
        <v>0</v>
      </c>
    </row>
    <row r="669" ht="15.75" customHeight="1">
      <c r="A669" s="279"/>
      <c r="B669" s="280"/>
      <c r="C669" s="280"/>
      <c r="D669" s="280"/>
      <c r="E669" s="281"/>
      <c r="F669" s="281"/>
      <c r="G669" s="280"/>
      <c r="H669" s="282"/>
      <c r="I669" s="283"/>
      <c r="J669" s="280"/>
      <c r="K669" s="103"/>
      <c r="L669" s="146"/>
      <c r="M669" s="103"/>
      <c r="N669" s="103"/>
      <c r="O669" s="103">
        <f t="shared" si="3"/>
        <v>0</v>
      </c>
      <c r="P669" s="104">
        <f t="shared" si="4"/>
        <v>0</v>
      </c>
      <c r="Q669" s="147"/>
      <c r="R669" s="103"/>
      <c r="S669" s="103">
        <f t="shared" si="6"/>
        <v>0</v>
      </c>
      <c r="U669" s="107" t="str">
        <f t="shared" si="7"/>
        <v>0</v>
      </c>
    </row>
    <row r="670" ht="15.75" customHeight="1">
      <c r="A670" s="279"/>
      <c r="B670" s="280"/>
      <c r="C670" s="280"/>
      <c r="D670" s="280"/>
      <c r="E670" s="281"/>
      <c r="F670" s="281"/>
      <c r="G670" s="280"/>
      <c r="H670" s="282"/>
      <c r="I670" s="283"/>
      <c r="J670" s="280"/>
      <c r="K670" s="103"/>
      <c r="L670" s="146"/>
      <c r="M670" s="103"/>
      <c r="N670" s="103"/>
      <c r="O670" s="103">
        <f t="shared" si="3"/>
        <v>0</v>
      </c>
      <c r="P670" s="104">
        <f t="shared" si="4"/>
        <v>0</v>
      </c>
      <c r="Q670" s="147"/>
      <c r="R670" s="103"/>
      <c r="S670" s="103">
        <f t="shared" si="6"/>
        <v>0</v>
      </c>
      <c r="U670" s="107" t="str">
        <f t="shared" si="7"/>
        <v>0</v>
      </c>
    </row>
    <row r="671" ht="15.75" customHeight="1">
      <c r="A671" s="279"/>
      <c r="B671" s="280"/>
      <c r="C671" s="280"/>
      <c r="D671" s="280"/>
      <c r="E671" s="281"/>
      <c r="F671" s="281"/>
      <c r="G671" s="280"/>
      <c r="H671" s="282"/>
      <c r="I671" s="283"/>
      <c r="J671" s="280"/>
      <c r="K671" s="103"/>
      <c r="L671" s="146"/>
      <c r="M671" s="103"/>
      <c r="N671" s="103"/>
      <c r="O671" s="103">
        <f t="shared" si="3"/>
        <v>0</v>
      </c>
      <c r="P671" s="104">
        <f t="shared" si="4"/>
        <v>0</v>
      </c>
      <c r="Q671" s="147"/>
      <c r="R671" s="103"/>
      <c r="S671" s="103">
        <f t="shared" si="6"/>
        <v>0</v>
      </c>
      <c r="U671" s="107" t="str">
        <f t="shared" si="7"/>
        <v>0</v>
      </c>
    </row>
    <row r="672" ht="15.75" customHeight="1">
      <c r="A672" s="279"/>
      <c r="B672" s="280"/>
      <c r="C672" s="280"/>
      <c r="D672" s="280"/>
      <c r="E672" s="281"/>
      <c r="F672" s="281"/>
      <c r="G672" s="280"/>
      <c r="H672" s="282"/>
      <c r="I672" s="283"/>
      <c r="J672" s="280"/>
      <c r="K672" s="103"/>
      <c r="L672" s="146"/>
      <c r="M672" s="103"/>
      <c r="N672" s="103"/>
      <c r="O672" s="103">
        <f t="shared" si="3"/>
        <v>0</v>
      </c>
      <c r="P672" s="104">
        <f t="shared" si="4"/>
        <v>0</v>
      </c>
      <c r="Q672" s="147"/>
      <c r="R672" s="103"/>
      <c r="S672" s="103">
        <f t="shared" si="6"/>
        <v>0</v>
      </c>
      <c r="U672" s="107" t="str">
        <f t="shared" si="7"/>
        <v>0</v>
      </c>
    </row>
    <row r="673" ht="15.75" customHeight="1">
      <c r="A673" s="279"/>
      <c r="B673" s="280"/>
      <c r="C673" s="280"/>
      <c r="D673" s="280"/>
      <c r="E673" s="281"/>
      <c r="F673" s="281"/>
      <c r="G673" s="280"/>
      <c r="H673" s="282"/>
      <c r="I673" s="283"/>
      <c r="J673" s="280"/>
      <c r="K673" s="103"/>
      <c r="L673" s="146"/>
      <c r="M673" s="103"/>
      <c r="N673" s="103"/>
      <c r="O673" s="103">
        <f t="shared" si="3"/>
        <v>0</v>
      </c>
      <c r="P673" s="104">
        <f t="shared" si="4"/>
        <v>0</v>
      </c>
      <c r="Q673" s="147"/>
      <c r="R673" s="103"/>
      <c r="S673" s="103">
        <f t="shared" si="6"/>
        <v>0</v>
      </c>
      <c r="U673" s="107" t="str">
        <f t="shared" si="7"/>
        <v>0</v>
      </c>
    </row>
    <row r="674" ht="15.75" customHeight="1">
      <c r="A674" s="279"/>
      <c r="B674" s="280"/>
      <c r="C674" s="280"/>
      <c r="D674" s="280"/>
      <c r="E674" s="281"/>
      <c r="F674" s="281"/>
      <c r="G674" s="280"/>
      <c r="H674" s="282"/>
      <c r="I674" s="283"/>
      <c r="J674" s="280"/>
      <c r="K674" s="103"/>
      <c r="L674" s="146"/>
      <c r="M674" s="103"/>
      <c r="N674" s="103"/>
      <c r="O674" s="103">
        <f t="shared" si="3"/>
        <v>0</v>
      </c>
      <c r="P674" s="104">
        <f t="shared" si="4"/>
        <v>0</v>
      </c>
      <c r="Q674" s="147"/>
      <c r="R674" s="103"/>
      <c r="S674" s="103">
        <f t="shared" si="6"/>
        <v>0</v>
      </c>
      <c r="U674" s="107" t="str">
        <f t="shared" si="7"/>
        <v>0</v>
      </c>
    </row>
    <row r="675" ht="15.75" customHeight="1">
      <c r="A675" s="279"/>
      <c r="B675" s="280"/>
      <c r="C675" s="280"/>
      <c r="D675" s="280"/>
      <c r="E675" s="281"/>
      <c r="F675" s="281"/>
      <c r="G675" s="280"/>
      <c r="H675" s="282"/>
      <c r="I675" s="283"/>
      <c r="J675" s="280"/>
      <c r="K675" s="103"/>
      <c r="L675" s="146"/>
      <c r="M675" s="103"/>
      <c r="N675" s="103"/>
      <c r="O675" s="103">
        <f t="shared" si="3"/>
        <v>0</v>
      </c>
      <c r="P675" s="104">
        <f t="shared" si="4"/>
        <v>0</v>
      </c>
      <c r="Q675" s="147"/>
      <c r="R675" s="103"/>
      <c r="S675" s="103">
        <f t="shared" si="6"/>
        <v>0</v>
      </c>
      <c r="U675" s="107" t="str">
        <f t="shared" si="7"/>
        <v>0</v>
      </c>
    </row>
    <row r="676" ht="15.75" customHeight="1">
      <c r="A676" s="279"/>
      <c r="B676" s="280"/>
      <c r="C676" s="280"/>
      <c r="D676" s="280"/>
      <c r="E676" s="281"/>
      <c r="F676" s="281"/>
      <c r="G676" s="280"/>
      <c r="H676" s="282"/>
      <c r="I676" s="283"/>
      <c r="J676" s="280"/>
      <c r="K676" s="103"/>
      <c r="L676" s="146"/>
      <c r="M676" s="103"/>
      <c r="N676" s="103"/>
      <c r="O676" s="103">
        <f t="shared" si="3"/>
        <v>0</v>
      </c>
      <c r="P676" s="104">
        <f t="shared" si="4"/>
        <v>0</v>
      </c>
      <c r="Q676" s="147"/>
      <c r="R676" s="103"/>
      <c r="S676" s="103">
        <f t="shared" si="6"/>
        <v>0</v>
      </c>
      <c r="U676" s="107" t="str">
        <f t="shared" si="7"/>
        <v>0</v>
      </c>
    </row>
    <row r="677" ht="15.75" customHeight="1">
      <c r="A677" s="279"/>
      <c r="B677" s="280"/>
      <c r="C677" s="280"/>
      <c r="D677" s="280"/>
      <c r="E677" s="281"/>
      <c r="F677" s="281"/>
      <c r="G677" s="280"/>
      <c r="H677" s="282"/>
      <c r="I677" s="283"/>
      <c r="J677" s="280"/>
      <c r="K677" s="103"/>
      <c r="L677" s="146"/>
      <c r="M677" s="103"/>
      <c r="N677" s="103"/>
      <c r="O677" s="103">
        <f t="shared" si="3"/>
        <v>0</v>
      </c>
      <c r="P677" s="104">
        <f t="shared" si="4"/>
        <v>0</v>
      </c>
      <c r="Q677" s="147"/>
      <c r="R677" s="103"/>
      <c r="S677" s="103">
        <f t="shared" si="6"/>
        <v>0</v>
      </c>
      <c r="U677" s="107" t="str">
        <f t="shared" si="7"/>
        <v>0</v>
      </c>
    </row>
    <row r="678" ht="15.75" customHeight="1">
      <c r="A678" s="279"/>
      <c r="B678" s="280"/>
      <c r="C678" s="280"/>
      <c r="D678" s="280"/>
      <c r="E678" s="281"/>
      <c r="F678" s="281"/>
      <c r="G678" s="280"/>
      <c r="H678" s="282"/>
      <c r="I678" s="283"/>
      <c r="J678" s="280"/>
      <c r="K678" s="103"/>
      <c r="L678" s="146"/>
      <c r="M678" s="103"/>
      <c r="N678" s="103"/>
      <c r="O678" s="103">
        <f t="shared" si="3"/>
        <v>0</v>
      </c>
      <c r="P678" s="104">
        <f t="shared" si="4"/>
        <v>0</v>
      </c>
      <c r="Q678" s="147"/>
      <c r="R678" s="103"/>
      <c r="S678" s="103">
        <f t="shared" si="6"/>
        <v>0</v>
      </c>
      <c r="U678" s="107" t="str">
        <f t="shared" si="7"/>
        <v>0</v>
      </c>
    </row>
    <row r="679" ht="15.75" customHeight="1">
      <c r="A679" s="279"/>
      <c r="B679" s="280"/>
      <c r="C679" s="280"/>
      <c r="D679" s="280"/>
      <c r="E679" s="281"/>
      <c r="F679" s="281"/>
      <c r="G679" s="280"/>
      <c r="H679" s="282"/>
      <c r="I679" s="283"/>
      <c r="J679" s="280"/>
      <c r="K679" s="103"/>
      <c r="L679" s="146"/>
      <c r="M679" s="103"/>
      <c r="N679" s="103"/>
      <c r="O679" s="103">
        <f t="shared" si="3"/>
        <v>0</v>
      </c>
      <c r="P679" s="104">
        <f t="shared" si="4"/>
        <v>0</v>
      </c>
      <c r="Q679" s="147"/>
      <c r="R679" s="103"/>
      <c r="S679" s="103">
        <f t="shared" si="6"/>
        <v>0</v>
      </c>
      <c r="U679" s="107" t="str">
        <f t="shared" si="7"/>
        <v>0</v>
      </c>
    </row>
    <row r="680" ht="15.75" customHeight="1">
      <c r="A680" s="279"/>
      <c r="B680" s="280"/>
      <c r="C680" s="280"/>
      <c r="D680" s="280"/>
      <c r="E680" s="281"/>
      <c r="F680" s="281"/>
      <c r="G680" s="280"/>
      <c r="H680" s="282"/>
      <c r="I680" s="283"/>
      <c r="J680" s="280"/>
      <c r="K680" s="103"/>
      <c r="L680" s="146"/>
      <c r="M680" s="103"/>
      <c r="N680" s="103"/>
      <c r="O680" s="103">
        <f t="shared" si="3"/>
        <v>0</v>
      </c>
      <c r="P680" s="104">
        <f t="shared" si="4"/>
        <v>0</v>
      </c>
      <c r="Q680" s="147"/>
      <c r="R680" s="103"/>
      <c r="S680" s="103">
        <f t="shared" si="6"/>
        <v>0</v>
      </c>
      <c r="U680" s="107" t="str">
        <f t="shared" si="7"/>
        <v>0</v>
      </c>
    </row>
    <row r="681" ht="15.75" customHeight="1">
      <c r="A681" s="279"/>
      <c r="B681" s="280"/>
      <c r="C681" s="280"/>
      <c r="D681" s="280"/>
      <c r="E681" s="281"/>
      <c r="F681" s="281"/>
      <c r="G681" s="280"/>
      <c r="H681" s="282"/>
      <c r="I681" s="283"/>
      <c r="J681" s="280"/>
      <c r="K681" s="103"/>
      <c r="L681" s="146"/>
      <c r="M681" s="103"/>
      <c r="N681" s="103"/>
      <c r="O681" s="103">
        <f t="shared" si="3"/>
        <v>0</v>
      </c>
      <c r="P681" s="104">
        <f t="shared" si="4"/>
        <v>0</v>
      </c>
      <c r="Q681" s="147"/>
      <c r="R681" s="103"/>
      <c r="S681" s="103">
        <f t="shared" si="6"/>
        <v>0</v>
      </c>
      <c r="U681" s="107" t="str">
        <f t="shared" si="7"/>
        <v>0</v>
      </c>
    </row>
    <row r="682" ht="15.75" customHeight="1">
      <c r="A682" s="279"/>
      <c r="B682" s="280"/>
      <c r="C682" s="280"/>
      <c r="D682" s="280"/>
      <c r="E682" s="281"/>
      <c r="F682" s="281"/>
      <c r="G682" s="280"/>
      <c r="H682" s="282"/>
      <c r="I682" s="283"/>
      <c r="J682" s="280"/>
      <c r="K682" s="103"/>
      <c r="L682" s="146"/>
      <c r="M682" s="103"/>
      <c r="N682" s="103"/>
      <c r="O682" s="103">
        <f t="shared" si="3"/>
        <v>0</v>
      </c>
      <c r="P682" s="104">
        <f t="shared" si="4"/>
        <v>0</v>
      </c>
      <c r="Q682" s="147"/>
      <c r="R682" s="103"/>
      <c r="S682" s="103">
        <f t="shared" si="6"/>
        <v>0</v>
      </c>
      <c r="U682" s="107" t="str">
        <f t="shared" si="7"/>
        <v>0</v>
      </c>
    </row>
    <row r="683" ht="15.75" customHeight="1">
      <c r="A683" s="279"/>
      <c r="B683" s="280"/>
      <c r="C683" s="280"/>
      <c r="D683" s="280"/>
      <c r="E683" s="281"/>
      <c r="F683" s="281"/>
      <c r="G683" s="280"/>
      <c r="H683" s="282"/>
      <c r="I683" s="283"/>
      <c r="J683" s="280"/>
      <c r="K683" s="103"/>
      <c r="L683" s="146"/>
      <c r="M683" s="103"/>
      <c r="N683" s="103"/>
      <c r="O683" s="103">
        <f t="shared" si="3"/>
        <v>0</v>
      </c>
      <c r="P683" s="104">
        <f t="shared" si="4"/>
        <v>0</v>
      </c>
      <c r="Q683" s="147"/>
      <c r="R683" s="103"/>
      <c r="S683" s="103">
        <f t="shared" si="6"/>
        <v>0</v>
      </c>
      <c r="U683" s="107" t="str">
        <f t="shared" si="7"/>
        <v>0</v>
      </c>
    </row>
    <row r="684" ht="15.75" customHeight="1">
      <c r="A684" s="279"/>
      <c r="B684" s="280"/>
      <c r="C684" s="280"/>
      <c r="D684" s="280"/>
      <c r="E684" s="281"/>
      <c r="F684" s="281"/>
      <c r="G684" s="280"/>
      <c r="H684" s="282"/>
      <c r="I684" s="283"/>
      <c r="J684" s="280"/>
      <c r="K684" s="103"/>
      <c r="L684" s="146"/>
      <c r="M684" s="103"/>
      <c r="N684" s="103"/>
      <c r="O684" s="103">
        <f t="shared" si="3"/>
        <v>0</v>
      </c>
      <c r="P684" s="104">
        <f t="shared" si="4"/>
        <v>0</v>
      </c>
      <c r="Q684" s="147"/>
      <c r="R684" s="103"/>
      <c r="S684" s="103">
        <f t="shared" si="6"/>
        <v>0</v>
      </c>
      <c r="U684" s="107" t="str">
        <f t="shared" si="7"/>
        <v>0</v>
      </c>
    </row>
    <row r="685" ht="15.75" customHeight="1">
      <c r="A685" s="279"/>
      <c r="B685" s="280"/>
      <c r="C685" s="280"/>
      <c r="D685" s="280"/>
      <c r="E685" s="281"/>
      <c r="F685" s="281"/>
      <c r="G685" s="280"/>
      <c r="H685" s="282"/>
      <c r="I685" s="283"/>
      <c r="J685" s="280"/>
      <c r="K685" s="103"/>
      <c r="L685" s="146"/>
      <c r="M685" s="103"/>
      <c r="N685" s="103"/>
      <c r="O685" s="103">
        <f t="shared" si="3"/>
        <v>0</v>
      </c>
      <c r="P685" s="104">
        <f t="shared" si="4"/>
        <v>0</v>
      </c>
      <c r="Q685" s="147"/>
      <c r="R685" s="103"/>
      <c r="S685" s="103">
        <f t="shared" si="6"/>
        <v>0</v>
      </c>
      <c r="U685" s="107" t="str">
        <f t="shared" si="7"/>
        <v>0</v>
      </c>
    </row>
    <row r="686" ht="15.75" customHeight="1">
      <c r="A686" s="279"/>
      <c r="B686" s="280"/>
      <c r="C686" s="280"/>
      <c r="D686" s="280"/>
      <c r="E686" s="281"/>
      <c r="F686" s="281"/>
      <c r="G686" s="280"/>
      <c r="H686" s="282"/>
      <c r="I686" s="283"/>
      <c r="J686" s="280"/>
      <c r="K686" s="103"/>
      <c r="L686" s="146"/>
      <c r="M686" s="103"/>
      <c r="N686" s="103"/>
      <c r="O686" s="103">
        <f t="shared" si="3"/>
        <v>0</v>
      </c>
      <c r="P686" s="104">
        <f t="shared" si="4"/>
        <v>0</v>
      </c>
      <c r="Q686" s="147"/>
      <c r="R686" s="103"/>
      <c r="S686" s="103">
        <f t="shared" si="6"/>
        <v>0</v>
      </c>
      <c r="U686" s="107" t="str">
        <f t="shared" si="7"/>
        <v>0</v>
      </c>
    </row>
    <row r="687" ht="15.75" customHeight="1">
      <c r="A687" s="279"/>
      <c r="B687" s="280"/>
      <c r="C687" s="280"/>
      <c r="D687" s="280"/>
      <c r="E687" s="281"/>
      <c r="F687" s="281"/>
      <c r="G687" s="280"/>
      <c r="H687" s="282"/>
      <c r="I687" s="283"/>
      <c r="J687" s="280"/>
      <c r="K687" s="103"/>
      <c r="L687" s="146"/>
      <c r="M687" s="103"/>
      <c r="N687" s="103"/>
      <c r="O687" s="103">
        <f t="shared" si="3"/>
        <v>0</v>
      </c>
      <c r="P687" s="104">
        <f t="shared" si="4"/>
        <v>0</v>
      </c>
      <c r="Q687" s="147"/>
      <c r="R687" s="103"/>
      <c r="S687" s="103">
        <f t="shared" si="6"/>
        <v>0</v>
      </c>
      <c r="U687" s="107" t="str">
        <f t="shared" si="7"/>
        <v>0</v>
      </c>
    </row>
    <row r="688" ht="15.75" customHeight="1">
      <c r="A688" s="279"/>
      <c r="B688" s="280"/>
      <c r="C688" s="280"/>
      <c r="D688" s="280"/>
      <c r="E688" s="281"/>
      <c r="F688" s="281"/>
      <c r="G688" s="280"/>
      <c r="H688" s="282"/>
      <c r="I688" s="283"/>
      <c r="J688" s="280"/>
      <c r="K688" s="103"/>
      <c r="L688" s="146"/>
      <c r="M688" s="103"/>
      <c r="N688" s="103"/>
      <c r="O688" s="103">
        <f t="shared" si="3"/>
        <v>0</v>
      </c>
      <c r="P688" s="104">
        <f t="shared" si="4"/>
        <v>0</v>
      </c>
      <c r="Q688" s="147"/>
      <c r="R688" s="103"/>
      <c r="S688" s="103">
        <f t="shared" si="6"/>
        <v>0</v>
      </c>
      <c r="U688" s="107" t="str">
        <f t="shared" si="7"/>
        <v>0</v>
      </c>
    </row>
    <row r="689" ht="15.75" customHeight="1">
      <c r="A689" s="279"/>
      <c r="B689" s="280"/>
      <c r="C689" s="280"/>
      <c r="D689" s="280"/>
      <c r="E689" s="281"/>
      <c r="F689" s="281"/>
      <c r="G689" s="280"/>
      <c r="H689" s="282"/>
      <c r="I689" s="283"/>
      <c r="J689" s="280"/>
      <c r="K689" s="103"/>
      <c r="L689" s="146"/>
      <c r="M689" s="103"/>
      <c r="N689" s="103"/>
      <c r="O689" s="103">
        <f t="shared" si="3"/>
        <v>0</v>
      </c>
      <c r="P689" s="104">
        <f t="shared" si="4"/>
        <v>0</v>
      </c>
      <c r="Q689" s="147"/>
      <c r="R689" s="103"/>
      <c r="S689" s="103">
        <f t="shared" si="6"/>
        <v>0</v>
      </c>
      <c r="U689" s="107" t="str">
        <f t="shared" si="7"/>
        <v>0</v>
      </c>
    </row>
    <row r="690" ht="15.75" customHeight="1">
      <c r="A690" s="279"/>
      <c r="B690" s="280"/>
      <c r="C690" s="280"/>
      <c r="D690" s="280"/>
      <c r="E690" s="281"/>
      <c r="F690" s="281"/>
      <c r="G690" s="280"/>
      <c r="H690" s="282"/>
      <c r="I690" s="283"/>
      <c r="J690" s="280"/>
      <c r="K690" s="103"/>
      <c r="L690" s="146"/>
      <c r="M690" s="103"/>
      <c r="N690" s="103"/>
      <c r="O690" s="103">
        <f t="shared" si="3"/>
        <v>0</v>
      </c>
      <c r="P690" s="104">
        <f t="shared" si="4"/>
        <v>0</v>
      </c>
      <c r="Q690" s="147"/>
      <c r="R690" s="103"/>
      <c r="S690" s="103">
        <f t="shared" si="6"/>
        <v>0</v>
      </c>
      <c r="U690" s="107" t="str">
        <f t="shared" si="7"/>
        <v>0</v>
      </c>
    </row>
    <row r="691" ht="15.75" customHeight="1">
      <c r="A691" s="279"/>
      <c r="B691" s="280"/>
      <c r="C691" s="280"/>
      <c r="D691" s="280"/>
      <c r="E691" s="281"/>
      <c r="F691" s="281"/>
      <c r="G691" s="280"/>
      <c r="H691" s="282"/>
      <c r="I691" s="283"/>
      <c r="J691" s="280"/>
      <c r="K691" s="103"/>
      <c r="L691" s="146"/>
      <c r="M691" s="103"/>
      <c r="N691" s="103"/>
      <c r="O691" s="103">
        <f t="shared" si="3"/>
        <v>0</v>
      </c>
      <c r="P691" s="104">
        <f t="shared" si="4"/>
        <v>0</v>
      </c>
      <c r="Q691" s="147"/>
      <c r="R691" s="103"/>
      <c r="S691" s="103">
        <f t="shared" si="6"/>
        <v>0</v>
      </c>
      <c r="U691" s="107" t="str">
        <f t="shared" si="7"/>
        <v>0</v>
      </c>
    </row>
    <row r="692" ht="15.75" customHeight="1">
      <c r="A692" s="279"/>
      <c r="B692" s="280"/>
      <c r="C692" s="280"/>
      <c r="D692" s="280"/>
      <c r="E692" s="281"/>
      <c r="F692" s="281"/>
      <c r="G692" s="280"/>
      <c r="H692" s="282"/>
      <c r="I692" s="283"/>
      <c r="J692" s="280"/>
      <c r="K692" s="103"/>
      <c r="L692" s="146"/>
      <c r="M692" s="103"/>
      <c r="N692" s="103"/>
      <c r="O692" s="103">
        <f t="shared" si="3"/>
        <v>0</v>
      </c>
      <c r="P692" s="104">
        <f t="shared" si="4"/>
        <v>0</v>
      </c>
      <c r="Q692" s="147"/>
      <c r="R692" s="103"/>
      <c r="S692" s="103">
        <f t="shared" si="6"/>
        <v>0</v>
      </c>
      <c r="U692" s="107" t="str">
        <f t="shared" si="7"/>
        <v>0</v>
      </c>
    </row>
    <row r="693" ht="15.75" customHeight="1">
      <c r="A693" s="279"/>
      <c r="B693" s="280"/>
      <c r="C693" s="280"/>
      <c r="D693" s="280"/>
      <c r="E693" s="281"/>
      <c r="F693" s="281"/>
      <c r="G693" s="280"/>
      <c r="H693" s="282"/>
      <c r="I693" s="283"/>
      <c r="J693" s="280"/>
      <c r="K693" s="103"/>
      <c r="L693" s="146"/>
      <c r="M693" s="103"/>
      <c r="N693" s="103"/>
      <c r="O693" s="103">
        <f t="shared" si="3"/>
        <v>0</v>
      </c>
      <c r="P693" s="104">
        <f t="shared" si="4"/>
        <v>0</v>
      </c>
      <c r="Q693" s="147"/>
      <c r="R693" s="103"/>
      <c r="S693" s="103">
        <f t="shared" si="6"/>
        <v>0</v>
      </c>
      <c r="U693" s="107" t="str">
        <f t="shared" si="7"/>
        <v>0</v>
      </c>
    </row>
    <row r="694" ht="15.75" customHeight="1">
      <c r="A694" s="279"/>
      <c r="B694" s="280"/>
      <c r="C694" s="280"/>
      <c r="D694" s="280"/>
      <c r="E694" s="281"/>
      <c r="F694" s="281"/>
      <c r="G694" s="280"/>
      <c r="H694" s="282"/>
      <c r="I694" s="283"/>
      <c r="J694" s="280"/>
      <c r="K694" s="103"/>
      <c r="L694" s="146"/>
      <c r="M694" s="103"/>
      <c r="N694" s="103"/>
      <c r="O694" s="103">
        <f t="shared" si="3"/>
        <v>0</v>
      </c>
      <c r="P694" s="104">
        <f t="shared" si="4"/>
        <v>0</v>
      </c>
      <c r="Q694" s="147"/>
      <c r="R694" s="103"/>
      <c r="S694" s="103">
        <f t="shared" si="6"/>
        <v>0</v>
      </c>
      <c r="U694" s="107" t="str">
        <f t="shared" si="7"/>
        <v>0</v>
      </c>
    </row>
    <row r="695" ht="15.75" customHeight="1">
      <c r="A695" s="279"/>
      <c r="B695" s="280"/>
      <c r="C695" s="280"/>
      <c r="D695" s="280"/>
      <c r="E695" s="281"/>
      <c r="F695" s="281"/>
      <c r="G695" s="280"/>
      <c r="H695" s="282"/>
      <c r="I695" s="283"/>
      <c r="J695" s="280"/>
      <c r="K695" s="103"/>
      <c r="L695" s="146"/>
      <c r="M695" s="103"/>
      <c r="N695" s="103"/>
      <c r="O695" s="103">
        <f t="shared" si="3"/>
        <v>0</v>
      </c>
      <c r="P695" s="104">
        <f t="shared" si="4"/>
        <v>0</v>
      </c>
      <c r="Q695" s="147"/>
      <c r="R695" s="103"/>
      <c r="S695" s="103">
        <f t="shared" si="6"/>
        <v>0</v>
      </c>
      <c r="U695" s="107" t="str">
        <f t="shared" si="7"/>
        <v>0</v>
      </c>
    </row>
    <row r="696" ht="15.75" customHeight="1">
      <c r="A696" s="279"/>
      <c r="B696" s="280"/>
      <c r="C696" s="280"/>
      <c r="D696" s="280"/>
      <c r="E696" s="281"/>
      <c r="F696" s="281"/>
      <c r="G696" s="280"/>
      <c r="H696" s="282"/>
      <c r="I696" s="283"/>
      <c r="J696" s="280"/>
      <c r="K696" s="103"/>
      <c r="L696" s="146"/>
      <c r="M696" s="103"/>
      <c r="N696" s="103"/>
      <c r="O696" s="103">
        <f t="shared" si="3"/>
        <v>0</v>
      </c>
      <c r="P696" s="104">
        <f t="shared" si="4"/>
        <v>0</v>
      </c>
      <c r="Q696" s="147"/>
      <c r="R696" s="103"/>
      <c r="S696" s="103">
        <f t="shared" si="6"/>
        <v>0</v>
      </c>
      <c r="U696" s="107" t="str">
        <f t="shared" si="7"/>
        <v>0</v>
      </c>
    </row>
    <row r="697" ht="15.75" customHeight="1">
      <c r="A697" s="279"/>
      <c r="B697" s="280"/>
      <c r="C697" s="280"/>
      <c r="D697" s="280"/>
      <c r="E697" s="281"/>
      <c r="F697" s="281"/>
      <c r="G697" s="280"/>
      <c r="H697" s="282"/>
      <c r="I697" s="283"/>
      <c r="J697" s="280"/>
      <c r="K697" s="103"/>
      <c r="L697" s="146"/>
      <c r="M697" s="103"/>
      <c r="N697" s="103"/>
      <c r="O697" s="103">
        <f t="shared" si="3"/>
        <v>0</v>
      </c>
      <c r="P697" s="104">
        <f t="shared" si="4"/>
        <v>0</v>
      </c>
      <c r="Q697" s="147"/>
      <c r="R697" s="103"/>
      <c r="S697" s="103">
        <f t="shared" si="6"/>
        <v>0</v>
      </c>
      <c r="U697" s="107" t="str">
        <f t="shared" si="7"/>
        <v>0</v>
      </c>
    </row>
    <row r="698" ht="15.75" customHeight="1">
      <c r="A698" s="279"/>
      <c r="B698" s="280"/>
      <c r="C698" s="280"/>
      <c r="D698" s="280"/>
      <c r="E698" s="281"/>
      <c r="F698" s="281"/>
      <c r="G698" s="280"/>
      <c r="H698" s="282"/>
      <c r="I698" s="283"/>
      <c r="J698" s="280"/>
      <c r="K698" s="103"/>
      <c r="L698" s="146"/>
      <c r="M698" s="103"/>
      <c r="N698" s="103"/>
      <c r="O698" s="103">
        <f t="shared" si="3"/>
        <v>0</v>
      </c>
      <c r="P698" s="104">
        <f t="shared" si="4"/>
        <v>0</v>
      </c>
      <c r="Q698" s="147"/>
      <c r="R698" s="103"/>
      <c r="S698" s="103">
        <f t="shared" si="6"/>
        <v>0</v>
      </c>
      <c r="U698" s="107" t="str">
        <f t="shared" si="7"/>
        <v>0</v>
      </c>
    </row>
    <row r="699" ht="15.75" customHeight="1">
      <c r="A699" s="279"/>
      <c r="B699" s="280"/>
      <c r="C699" s="280"/>
      <c r="D699" s="280"/>
      <c r="E699" s="281"/>
      <c r="F699" s="281"/>
      <c r="G699" s="280"/>
      <c r="H699" s="282"/>
      <c r="I699" s="283"/>
      <c r="J699" s="280"/>
      <c r="K699" s="103"/>
      <c r="L699" s="146"/>
      <c r="M699" s="103"/>
      <c r="N699" s="103"/>
      <c r="O699" s="103">
        <f t="shared" si="3"/>
        <v>0</v>
      </c>
      <c r="P699" s="104">
        <f t="shared" si="4"/>
        <v>0</v>
      </c>
      <c r="Q699" s="147"/>
      <c r="R699" s="103"/>
      <c r="S699" s="103">
        <f t="shared" si="6"/>
        <v>0</v>
      </c>
      <c r="U699" s="107" t="str">
        <f t="shared" si="7"/>
        <v>0</v>
      </c>
    </row>
    <row r="700" ht="15.75" customHeight="1">
      <c r="A700" s="279"/>
      <c r="B700" s="280"/>
      <c r="C700" s="280"/>
      <c r="D700" s="280"/>
      <c r="E700" s="281"/>
      <c r="F700" s="281"/>
      <c r="G700" s="280"/>
      <c r="H700" s="282"/>
      <c r="I700" s="283"/>
      <c r="J700" s="280"/>
      <c r="K700" s="103"/>
      <c r="L700" s="146"/>
      <c r="M700" s="103"/>
      <c r="N700" s="103"/>
      <c r="O700" s="103">
        <f t="shared" si="3"/>
        <v>0</v>
      </c>
      <c r="P700" s="104">
        <f t="shared" si="4"/>
        <v>0</v>
      </c>
      <c r="Q700" s="147"/>
      <c r="R700" s="103"/>
      <c r="S700" s="103">
        <f t="shared" si="6"/>
        <v>0</v>
      </c>
      <c r="U700" s="107" t="str">
        <f t="shared" si="7"/>
        <v>0</v>
      </c>
    </row>
    <row r="701" ht="15.75" customHeight="1">
      <c r="A701" s="279"/>
      <c r="B701" s="280"/>
      <c r="C701" s="280"/>
      <c r="D701" s="280"/>
      <c r="E701" s="281"/>
      <c r="F701" s="281"/>
      <c r="G701" s="280"/>
      <c r="H701" s="282"/>
      <c r="I701" s="283"/>
      <c r="J701" s="280"/>
      <c r="K701" s="103"/>
      <c r="L701" s="146"/>
      <c r="M701" s="103"/>
      <c r="N701" s="103"/>
      <c r="O701" s="103">
        <f t="shared" si="3"/>
        <v>0</v>
      </c>
      <c r="P701" s="104">
        <f t="shared" si="4"/>
        <v>0</v>
      </c>
      <c r="Q701" s="147"/>
      <c r="R701" s="103"/>
      <c r="S701" s="103">
        <f t="shared" si="6"/>
        <v>0</v>
      </c>
      <c r="U701" s="107" t="str">
        <f t="shared" si="7"/>
        <v>0</v>
      </c>
    </row>
    <row r="702" ht="15.75" customHeight="1">
      <c r="A702" s="279"/>
      <c r="B702" s="280"/>
      <c r="C702" s="280"/>
      <c r="D702" s="280"/>
      <c r="E702" s="281"/>
      <c r="F702" s="281"/>
      <c r="G702" s="280"/>
      <c r="H702" s="282"/>
      <c r="I702" s="283"/>
      <c r="J702" s="280"/>
      <c r="K702" s="103"/>
      <c r="L702" s="146"/>
      <c r="M702" s="103"/>
      <c r="N702" s="103"/>
      <c r="O702" s="103">
        <f t="shared" si="3"/>
        <v>0</v>
      </c>
      <c r="P702" s="104">
        <f t="shared" si="4"/>
        <v>0</v>
      </c>
      <c r="Q702" s="147"/>
      <c r="R702" s="103"/>
      <c r="S702" s="103">
        <f t="shared" si="6"/>
        <v>0</v>
      </c>
      <c r="U702" s="107" t="str">
        <f t="shared" si="7"/>
        <v>0</v>
      </c>
    </row>
    <row r="703" ht="15.75" customHeight="1">
      <c r="A703" s="279"/>
      <c r="B703" s="280"/>
      <c r="C703" s="280"/>
      <c r="D703" s="280"/>
      <c r="E703" s="281"/>
      <c r="F703" s="281"/>
      <c r="G703" s="280"/>
      <c r="H703" s="282"/>
      <c r="I703" s="283"/>
      <c r="J703" s="280"/>
      <c r="K703" s="103"/>
      <c r="L703" s="146"/>
      <c r="M703" s="103"/>
      <c r="N703" s="103"/>
      <c r="O703" s="103">
        <f t="shared" si="3"/>
        <v>0</v>
      </c>
      <c r="P703" s="104">
        <f t="shared" si="4"/>
        <v>0</v>
      </c>
      <c r="Q703" s="147"/>
      <c r="R703" s="103"/>
      <c r="S703" s="103">
        <f t="shared" si="6"/>
        <v>0</v>
      </c>
      <c r="U703" s="107" t="str">
        <f t="shared" si="7"/>
        <v>0</v>
      </c>
    </row>
    <row r="704" ht="15.75" customHeight="1">
      <c r="A704" s="279"/>
      <c r="B704" s="280"/>
      <c r="C704" s="280"/>
      <c r="D704" s="280"/>
      <c r="E704" s="281"/>
      <c r="F704" s="281"/>
      <c r="G704" s="280"/>
      <c r="H704" s="282"/>
      <c r="I704" s="283"/>
      <c r="J704" s="280"/>
      <c r="K704" s="103"/>
      <c r="L704" s="146"/>
      <c r="M704" s="103"/>
      <c r="N704" s="103"/>
      <c r="O704" s="103">
        <f t="shared" si="3"/>
        <v>0</v>
      </c>
      <c r="P704" s="104">
        <f t="shared" si="4"/>
        <v>0</v>
      </c>
      <c r="Q704" s="147"/>
      <c r="R704" s="103"/>
      <c r="S704" s="103">
        <f t="shared" si="6"/>
        <v>0</v>
      </c>
      <c r="U704" s="107" t="str">
        <f t="shared" si="7"/>
        <v>0</v>
      </c>
    </row>
    <row r="705" ht="15.75" customHeight="1">
      <c r="A705" s="279"/>
      <c r="B705" s="280"/>
      <c r="C705" s="280"/>
      <c r="D705" s="280"/>
      <c r="E705" s="281"/>
      <c r="F705" s="281"/>
      <c r="G705" s="280"/>
      <c r="H705" s="282"/>
      <c r="I705" s="283"/>
      <c r="J705" s="280"/>
      <c r="K705" s="103"/>
      <c r="L705" s="146"/>
      <c r="M705" s="103"/>
      <c r="N705" s="103"/>
      <c r="O705" s="103">
        <f t="shared" si="3"/>
        <v>0</v>
      </c>
      <c r="P705" s="104">
        <f t="shared" si="4"/>
        <v>0</v>
      </c>
      <c r="Q705" s="147"/>
      <c r="R705" s="103"/>
      <c r="S705" s="103">
        <f t="shared" si="6"/>
        <v>0</v>
      </c>
      <c r="U705" s="107" t="str">
        <f t="shared" si="7"/>
        <v>0</v>
      </c>
    </row>
    <row r="706" ht="15.75" customHeight="1">
      <c r="A706" s="279"/>
      <c r="B706" s="280"/>
      <c r="C706" s="280"/>
      <c r="D706" s="280"/>
      <c r="E706" s="281"/>
      <c r="F706" s="281"/>
      <c r="G706" s="280"/>
      <c r="H706" s="282"/>
      <c r="I706" s="283"/>
      <c r="J706" s="280"/>
      <c r="K706" s="103"/>
      <c r="L706" s="146"/>
      <c r="M706" s="103"/>
      <c r="N706" s="103"/>
      <c r="O706" s="103">
        <f t="shared" si="3"/>
        <v>0</v>
      </c>
      <c r="P706" s="104">
        <f t="shared" si="4"/>
        <v>0</v>
      </c>
      <c r="Q706" s="147"/>
      <c r="R706" s="103"/>
      <c r="S706" s="103">
        <f t="shared" si="6"/>
        <v>0</v>
      </c>
      <c r="U706" s="107" t="str">
        <f t="shared" si="7"/>
        <v>0</v>
      </c>
    </row>
    <row r="707" ht="15.75" customHeight="1">
      <c r="A707" s="279"/>
      <c r="B707" s="280"/>
      <c r="C707" s="280"/>
      <c r="D707" s="280"/>
      <c r="E707" s="281"/>
      <c r="F707" s="281"/>
      <c r="G707" s="280"/>
      <c r="H707" s="282"/>
      <c r="I707" s="283"/>
      <c r="J707" s="280"/>
      <c r="K707" s="103"/>
      <c r="L707" s="146"/>
      <c r="M707" s="103"/>
      <c r="N707" s="103"/>
      <c r="O707" s="103">
        <f t="shared" si="3"/>
        <v>0</v>
      </c>
      <c r="P707" s="104">
        <f t="shared" si="4"/>
        <v>0</v>
      </c>
      <c r="Q707" s="147"/>
      <c r="R707" s="103"/>
      <c r="S707" s="103">
        <f t="shared" si="6"/>
        <v>0</v>
      </c>
      <c r="U707" s="107" t="str">
        <f t="shared" si="7"/>
        <v>0</v>
      </c>
    </row>
    <row r="708" ht="15.75" customHeight="1">
      <c r="A708" s="279"/>
      <c r="B708" s="280"/>
      <c r="C708" s="280"/>
      <c r="D708" s="280"/>
      <c r="E708" s="281"/>
      <c r="F708" s="281"/>
      <c r="G708" s="280"/>
      <c r="H708" s="282"/>
      <c r="I708" s="283"/>
      <c r="J708" s="280"/>
      <c r="K708" s="103"/>
      <c r="L708" s="146"/>
      <c r="M708" s="103"/>
      <c r="N708" s="103"/>
      <c r="O708" s="103">
        <f t="shared" si="3"/>
        <v>0</v>
      </c>
      <c r="P708" s="104">
        <f t="shared" si="4"/>
        <v>0</v>
      </c>
      <c r="Q708" s="147"/>
      <c r="R708" s="103"/>
      <c r="S708" s="103">
        <f t="shared" si="6"/>
        <v>0</v>
      </c>
      <c r="U708" s="107" t="str">
        <f t="shared" si="7"/>
        <v>0</v>
      </c>
    </row>
    <row r="709" ht="15.75" customHeight="1">
      <c r="A709" s="279"/>
      <c r="B709" s="280"/>
      <c r="C709" s="280"/>
      <c r="D709" s="280"/>
      <c r="E709" s="281"/>
      <c r="F709" s="281"/>
      <c r="G709" s="280"/>
      <c r="H709" s="282"/>
      <c r="I709" s="283"/>
      <c r="J709" s="280"/>
      <c r="K709" s="103"/>
      <c r="L709" s="146"/>
      <c r="M709" s="103"/>
      <c r="N709" s="103"/>
      <c r="O709" s="103">
        <f t="shared" si="3"/>
        <v>0</v>
      </c>
      <c r="P709" s="104">
        <f t="shared" si="4"/>
        <v>0</v>
      </c>
      <c r="Q709" s="147"/>
      <c r="R709" s="103"/>
      <c r="S709" s="103">
        <f t="shared" si="6"/>
        <v>0</v>
      </c>
      <c r="U709" s="107" t="str">
        <f t="shared" si="7"/>
        <v>0</v>
      </c>
    </row>
    <row r="710" ht="15.75" customHeight="1">
      <c r="A710" s="279"/>
      <c r="B710" s="280"/>
      <c r="C710" s="280"/>
      <c r="D710" s="280"/>
      <c r="E710" s="281"/>
      <c r="F710" s="281"/>
      <c r="G710" s="280"/>
      <c r="H710" s="282"/>
      <c r="I710" s="283"/>
      <c r="J710" s="280"/>
      <c r="K710" s="103"/>
      <c r="L710" s="146"/>
      <c r="M710" s="103"/>
      <c r="N710" s="103"/>
      <c r="O710" s="103">
        <f t="shared" si="3"/>
        <v>0</v>
      </c>
      <c r="P710" s="104">
        <f t="shared" si="4"/>
        <v>0</v>
      </c>
      <c r="Q710" s="147"/>
      <c r="R710" s="103"/>
      <c r="S710" s="103">
        <f t="shared" si="6"/>
        <v>0</v>
      </c>
      <c r="U710" s="107" t="str">
        <f t="shared" si="7"/>
        <v>0</v>
      </c>
    </row>
    <row r="711" ht="15.75" customHeight="1">
      <c r="A711" s="279"/>
      <c r="B711" s="280"/>
      <c r="C711" s="280"/>
      <c r="D711" s="280"/>
      <c r="E711" s="281"/>
      <c r="F711" s="281"/>
      <c r="G711" s="280"/>
      <c r="H711" s="282"/>
      <c r="I711" s="283"/>
      <c r="J711" s="280"/>
      <c r="K711" s="103"/>
      <c r="L711" s="146"/>
      <c r="M711" s="103"/>
      <c r="N711" s="103"/>
      <c r="O711" s="103">
        <f t="shared" si="3"/>
        <v>0</v>
      </c>
      <c r="P711" s="104">
        <f t="shared" si="4"/>
        <v>0</v>
      </c>
      <c r="Q711" s="147"/>
      <c r="R711" s="103"/>
      <c r="S711" s="103">
        <f t="shared" si="6"/>
        <v>0</v>
      </c>
      <c r="U711" s="107" t="str">
        <f t="shared" si="7"/>
        <v>0</v>
      </c>
    </row>
    <row r="712" ht="15.75" customHeight="1">
      <c r="A712" s="279"/>
      <c r="B712" s="280"/>
      <c r="C712" s="280"/>
      <c r="D712" s="280"/>
      <c r="E712" s="281"/>
      <c r="F712" s="281"/>
      <c r="G712" s="280"/>
      <c r="H712" s="282"/>
      <c r="I712" s="283"/>
      <c r="J712" s="280"/>
      <c r="K712" s="103"/>
      <c r="L712" s="146"/>
      <c r="M712" s="103"/>
      <c r="N712" s="103"/>
      <c r="O712" s="103">
        <f t="shared" si="3"/>
        <v>0</v>
      </c>
      <c r="P712" s="104">
        <f t="shared" si="4"/>
        <v>0</v>
      </c>
      <c r="Q712" s="147"/>
      <c r="R712" s="103"/>
      <c r="S712" s="103">
        <f t="shared" si="6"/>
        <v>0</v>
      </c>
      <c r="U712" s="107" t="str">
        <f t="shared" si="7"/>
        <v>0</v>
      </c>
    </row>
    <row r="713" ht="15.75" customHeight="1">
      <c r="A713" s="279"/>
      <c r="B713" s="280"/>
      <c r="C713" s="280"/>
      <c r="D713" s="280"/>
      <c r="E713" s="281"/>
      <c r="F713" s="281"/>
      <c r="G713" s="280"/>
      <c r="H713" s="282"/>
      <c r="I713" s="283"/>
      <c r="J713" s="280"/>
      <c r="K713" s="103"/>
      <c r="L713" s="146"/>
      <c r="M713" s="103"/>
      <c r="N713" s="103"/>
      <c r="O713" s="103">
        <f t="shared" si="3"/>
        <v>0</v>
      </c>
      <c r="P713" s="104">
        <f t="shared" si="4"/>
        <v>0</v>
      </c>
      <c r="Q713" s="147"/>
      <c r="R713" s="103"/>
      <c r="S713" s="103">
        <f t="shared" si="6"/>
        <v>0</v>
      </c>
      <c r="U713" s="107" t="str">
        <f t="shared" si="7"/>
        <v>0</v>
      </c>
    </row>
    <row r="714" ht="15.75" customHeight="1">
      <c r="A714" s="279"/>
      <c r="B714" s="280"/>
      <c r="C714" s="280"/>
      <c r="D714" s="280"/>
      <c r="E714" s="281"/>
      <c r="F714" s="281"/>
      <c r="G714" s="280"/>
      <c r="H714" s="282"/>
      <c r="I714" s="283"/>
      <c r="J714" s="280"/>
      <c r="K714" s="103"/>
      <c r="L714" s="146"/>
      <c r="M714" s="103"/>
      <c r="N714" s="103"/>
      <c r="O714" s="103">
        <f t="shared" si="3"/>
        <v>0</v>
      </c>
      <c r="P714" s="104">
        <f t="shared" si="4"/>
        <v>0</v>
      </c>
      <c r="Q714" s="147"/>
      <c r="R714" s="103"/>
      <c r="S714" s="103">
        <f t="shared" si="6"/>
        <v>0</v>
      </c>
      <c r="U714" s="107" t="str">
        <f t="shared" si="7"/>
        <v>0</v>
      </c>
    </row>
    <row r="715" ht="15.75" customHeight="1">
      <c r="A715" s="279"/>
      <c r="B715" s="280"/>
      <c r="C715" s="280"/>
      <c r="D715" s="280"/>
      <c r="E715" s="281"/>
      <c r="F715" s="281"/>
      <c r="G715" s="280"/>
      <c r="H715" s="282"/>
      <c r="I715" s="283"/>
      <c r="J715" s="280"/>
      <c r="K715" s="103"/>
      <c r="L715" s="146"/>
      <c r="M715" s="103"/>
      <c r="N715" s="103"/>
      <c r="O715" s="103">
        <f t="shared" si="3"/>
        <v>0</v>
      </c>
      <c r="P715" s="104">
        <f t="shared" si="4"/>
        <v>0</v>
      </c>
      <c r="Q715" s="147"/>
      <c r="R715" s="103"/>
      <c r="S715" s="103">
        <f t="shared" si="6"/>
        <v>0</v>
      </c>
      <c r="U715" s="107" t="str">
        <f t="shared" si="7"/>
        <v>0</v>
      </c>
    </row>
    <row r="716" ht="15.75" customHeight="1">
      <c r="A716" s="279"/>
      <c r="B716" s="280"/>
      <c r="C716" s="280"/>
      <c r="D716" s="280"/>
      <c r="E716" s="281"/>
      <c r="F716" s="281"/>
      <c r="G716" s="280"/>
      <c r="H716" s="282"/>
      <c r="I716" s="283"/>
      <c r="J716" s="280"/>
      <c r="K716" s="103"/>
      <c r="L716" s="146"/>
      <c r="M716" s="103"/>
      <c r="N716" s="103"/>
      <c r="O716" s="103">
        <f t="shared" si="3"/>
        <v>0</v>
      </c>
      <c r="P716" s="104">
        <f t="shared" si="4"/>
        <v>0</v>
      </c>
      <c r="Q716" s="147"/>
      <c r="R716" s="103"/>
      <c r="S716" s="103">
        <f t="shared" si="6"/>
        <v>0</v>
      </c>
      <c r="U716" s="107" t="str">
        <f t="shared" si="7"/>
        <v>0</v>
      </c>
    </row>
    <row r="717" ht="15.75" customHeight="1">
      <c r="A717" s="279"/>
      <c r="B717" s="280"/>
      <c r="C717" s="280"/>
      <c r="D717" s="280"/>
      <c r="E717" s="281"/>
      <c r="F717" s="281"/>
      <c r="G717" s="280"/>
      <c r="H717" s="282"/>
      <c r="I717" s="283"/>
      <c r="J717" s="280"/>
      <c r="K717" s="103"/>
      <c r="L717" s="146"/>
      <c r="M717" s="103"/>
      <c r="N717" s="103"/>
      <c r="O717" s="103">
        <f t="shared" si="3"/>
        <v>0</v>
      </c>
      <c r="P717" s="104">
        <f t="shared" si="4"/>
        <v>0</v>
      </c>
      <c r="Q717" s="147"/>
      <c r="R717" s="103"/>
      <c r="S717" s="103">
        <f t="shared" si="6"/>
        <v>0</v>
      </c>
      <c r="U717" s="107" t="str">
        <f t="shared" si="7"/>
        <v>0</v>
      </c>
    </row>
    <row r="718" ht="15.75" customHeight="1">
      <c r="A718" s="279"/>
      <c r="B718" s="280"/>
      <c r="C718" s="280"/>
      <c r="D718" s="280"/>
      <c r="E718" s="281"/>
      <c r="F718" s="281"/>
      <c r="G718" s="280"/>
      <c r="H718" s="282"/>
      <c r="I718" s="283"/>
      <c r="J718" s="280"/>
      <c r="K718" s="103"/>
      <c r="L718" s="146"/>
      <c r="M718" s="103"/>
      <c r="N718" s="103"/>
      <c r="O718" s="103">
        <f t="shared" si="3"/>
        <v>0</v>
      </c>
      <c r="P718" s="104">
        <f t="shared" si="4"/>
        <v>0</v>
      </c>
      <c r="Q718" s="147"/>
      <c r="R718" s="103"/>
      <c r="S718" s="103">
        <f t="shared" si="6"/>
        <v>0</v>
      </c>
      <c r="U718" s="107" t="str">
        <f t="shared" si="7"/>
        <v>0</v>
      </c>
    </row>
    <row r="719" ht="15.75" customHeight="1">
      <c r="A719" s="279"/>
      <c r="B719" s="280"/>
      <c r="C719" s="280"/>
      <c r="D719" s="280"/>
      <c r="E719" s="281"/>
      <c r="F719" s="281"/>
      <c r="G719" s="280"/>
      <c r="H719" s="282"/>
      <c r="I719" s="283"/>
      <c r="J719" s="280"/>
      <c r="K719" s="103"/>
      <c r="L719" s="146"/>
      <c r="M719" s="103"/>
      <c r="N719" s="103"/>
      <c r="O719" s="103">
        <f t="shared" si="3"/>
        <v>0</v>
      </c>
      <c r="P719" s="104">
        <f t="shared" si="4"/>
        <v>0</v>
      </c>
      <c r="Q719" s="147"/>
      <c r="R719" s="103"/>
      <c r="S719" s="103">
        <f t="shared" si="6"/>
        <v>0</v>
      </c>
      <c r="U719" s="107" t="str">
        <f t="shared" si="7"/>
        <v>0</v>
      </c>
    </row>
    <row r="720" ht="15.75" customHeight="1">
      <c r="A720" s="279"/>
      <c r="B720" s="280"/>
      <c r="C720" s="280"/>
      <c r="D720" s="280"/>
      <c r="E720" s="281"/>
      <c r="F720" s="281"/>
      <c r="G720" s="280"/>
      <c r="H720" s="282"/>
      <c r="I720" s="283"/>
      <c r="J720" s="280"/>
      <c r="K720" s="103"/>
      <c r="L720" s="146"/>
      <c r="M720" s="103"/>
      <c r="N720" s="103"/>
      <c r="O720" s="103">
        <f t="shared" si="3"/>
        <v>0</v>
      </c>
      <c r="P720" s="104">
        <f t="shared" si="4"/>
        <v>0</v>
      </c>
      <c r="Q720" s="147"/>
      <c r="R720" s="103"/>
      <c r="S720" s="103">
        <f t="shared" si="6"/>
        <v>0</v>
      </c>
      <c r="U720" s="107" t="str">
        <f t="shared" si="7"/>
        <v>0</v>
      </c>
    </row>
    <row r="721" ht="15.75" customHeight="1">
      <c r="A721" s="279"/>
      <c r="B721" s="280"/>
      <c r="C721" s="280"/>
      <c r="D721" s="280"/>
      <c r="E721" s="281"/>
      <c r="F721" s="281"/>
      <c r="G721" s="280"/>
      <c r="H721" s="282"/>
      <c r="I721" s="283"/>
      <c r="J721" s="280"/>
      <c r="K721" s="103"/>
      <c r="L721" s="146"/>
      <c r="M721" s="103"/>
      <c r="N721" s="103"/>
      <c r="O721" s="103">
        <f t="shared" si="3"/>
        <v>0</v>
      </c>
      <c r="P721" s="104">
        <f t="shared" si="4"/>
        <v>0</v>
      </c>
      <c r="Q721" s="147"/>
      <c r="R721" s="103"/>
      <c r="S721" s="103">
        <f t="shared" si="6"/>
        <v>0</v>
      </c>
      <c r="U721" s="107" t="str">
        <f t="shared" si="7"/>
        <v>0</v>
      </c>
    </row>
    <row r="722" ht="15.75" customHeight="1">
      <c r="A722" s="279"/>
      <c r="B722" s="280"/>
      <c r="C722" s="280"/>
      <c r="D722" s="280"/>
      <c r="E722" s="281"/>
      <c r="F722" s="281"/>
      <c r="G722" s="280"/>
      <c r="H722" s="282"/>
      <c r="I722" s="283"/>
      <c r="J722" s="280"/>
      <c r="K722" s="103"/>
      <c r="L722" s="146"/>
      <c r="M722" s="103"/>
      <c r="N722" s="103"/>
      <c r="O722" s="103">
        <f t="shared" si="3"/>
        <v>0</v>
      </c>
      <c r="P722" s="104">
        <f t="shared" si="4"/>
        <v>0</v>
      </c>
      <c r="Q722" s="147"/>
      <c r="R722" s="103"/>
      <c r="S722" s="103">
        <f t="shared" si="6"/>
        <v>0</v>
      </c>
      <c r="U722" s="107" t="str">
        <f t="shared" si="7"/>
        <v>0</v>
      </c>
    </row>
    <row r="723" ht="15.75" customHeight="1">
      <c r="A723" s="279"/>
      <c r="B723" s="280"/>
      <c r="C723" s="280"/>
      <c r="D723" s="280"/>
      <c r="E723" s="281"/>
      <c r="F723" s="281"/>
      <c r="G723" s="280"/>
      <c r="H723" s="282"/>
      <c r="I723" s="283"/>
      <c r="J723" s="280"/>
      <c r="K723" s="103"/>
      <c r="L723" s="146"/>
      <c r="M723" s="103"/>
      <c r="N723" s="103"/>
      <c r="O723" s="103">
        <f t="shared" si="3"/>
        <v>0</v>
      </c>
      <c r="P723" s="104">
        <f t="shared" si="4"/>
        <v>0</v>
      </c>
      <c r="Q723" s="147"/>
      <c r="R723" s="103"/>
      <c r="S723" s="103">
        <f t="shared" si="6"/>
        <v>0</v>
      </c>
      <c r="U723" s="107" t="str">
        <f t="shared" si="7"/>
        <v>0</v>
      </c>
    </row>
    <row r="724" ht="15.75" customHeight="1">
      <c r="A724" s="279"/>
      <c r="B724" s="280"/>
      <c r="C724" s="280"/>
      <c r="D724" s="280"/>
      <c r="E724" s="281"/>
      <c r="F724" s="281"/>
      <c r="G724" s="280"/>
      <c r="H724" s="282"/>
      <c r="I724" s="283"/>
      <c r="J724" s="280"/>
      <c r="K724" s="103"/>
      <c r="L724" s="146"/>
      <c r="M724" s="103"/>
      <c r="N724" s="103"/>
      <c r="O724" s="103">
        <f t="shared" si="3"/>
        <v>0</v>
      </c>
      <c r="P724" s="104">
        <f t="shared" si="4"/>
        <v>0</v>
      </c>
      <c r="Q724" s="147"/>
      <c r="R724" s="103"/>
      <c r="S724" s="103">
        <f t="shared" si="6"/>
        <v>0</v>
      </c>
      <c r="U724" s="107" t="str">
        <f t="shared" si="7"/>
        <v>0</v>
      </c>
    </row>
    <row r="725" ht="15.75" customHeight="1">
      <c r="A725" s="279"/>
      <c r="B725" s="280"/>
      <c r="C725" s="280"/>
      <c r="D725" s="280"/>
      <c r="E725" s="281"/>
      <c r="F725" s="281"/>
      <c r="G725" s="280"/>
      <c r="H725" s="282"/>
      <c r="I725" s="283"/>
      <c r="J725" s="280"/>
      <c r="K725" s="103"/>
      <c r="L725" s="146"/>
      <c r="M725" s="103"/>
      <c r="N725" s="103"/>
      <c r="O725" s="103">
        <f t="shared" si="3"/>
        <v>0</v>
      </c>
      <c r="P725" s="104">
        <f t="shared" si="4"/>
        <v>0</v>
      </c>
      <c r="Q725" s="147"/>
      <c r="R725" s="103"/>
      <c r="S725" s="103">
        <f t="shared" si="6"/>
        <v>0</v>
      </c>
      <c r="U725" s="107" t="str">
        <f t="shared" si="7"/>
        <v>0</v>
      </c>
    </row>
    <row r="726" ht="15.75" customHeight="1">
      <c r="A726" s="279"/>
      <c r="B726" s="280"/>
      <c r="C726" s="280"/>
      <c r="D726" s="280"/>
      <c r="E726" s="281"/>
      <c r="F726" s="281"/>
      <c r="G726" s="280"/>
      <c r="H726" s="282"/>
      <c r="I726" s="283"/>
      <c r="J726" s="280"/>
      <c r="K726" s="103"/>
      <c r="L726" s="146"/>
      <c r="M726" s="103"/>
      <c r="N726" s="103"/>
      <c r="O726" s="103">
        <f t="shared" si="3"/>
        <v>0</v>
      </c>
      <c r="P726" s="104">
        <f t="shared" si="4"/>
        <v>0</v>
      </c>
      <c r="Q726" s="147"/>
      <c r="R726" s="103"/>
      <c r="S726" s="103">
        <f t="shared" si="6"/>
        <v>0</v>
      </c>
      <c r="U726" s="107" t="str">
        <f t="shared" si="7"/>
        <v>0</v>
      </c>
    </row>
    <row r="727" ht="15.75" customHeight="1">
      <c r="A727" s="279"/>
      <c r="B727" s="280"/>
      <c r="C727" s="280"/>
      <c r="D727" s="280"/>
      <c r="E727" s="281"/>
      <c r="F727" s="281"/>
      <c r="G727" s="280"/>
      <c r="H727" s="282"/>
      <c r="I727" s="283"/>
      <c r="J727" s="280"/>
      <c r="K727" s="103"/>
      <c r="L727" s="146"/>
      <c r="M727" s="103"/>
      <c r="N727" s="103"/>
      <c r="O727" s="103">
        <f t="shared" si="3"/>
        <v>0</v>
      </c>
      <c r="P727" s="104">
        <f t="shared" si="4"/>
        <v>0</v>
      </c>
      <c r="Q727" s="147"/>
      <c r="R727" s="103"/>
      <c r="S727" s="103">
        <f t="shared" si="6"/>
        <v>0</v>
      </c>
      <c r="U727" s="107" t="str">
        <f t="shared" si="7"/>
        <v>0</v>
      </c>
    </row>
    <row r="728" ht="15.75" customHeight="1">
      <c r="A728" s="279"/>
      <c r="B728" s="280"/>
      <c r="C728" s="280"/>
      <c r="D728" s="280"/>
      <c r="E728" s="281"/>
      <c r="F728" s="281"/>
      <c r="G728" s="280"/>
      <c r="H728" s="282"/>
      <c r="I728" s="283"/>
      <c r="J728" s="280"/>
      <c r="K728" s="103"/>
      <c r="L728" s="146"/>
      <c r="M728" s="103"/>
      <c r="N728" s="103"/>
      <c r="O728" s="103">
        <f t="shared" si="3"/>
        <v>0</v>
      </c>
      <c r="P728" s="104">
        <f t="shared" si="4"/>
        <v>0</v>
      </c>
      <c r="Q728" s="147"/>
      <c r="R728" s="103"/>
      <c r="S728" s="103">
        <f t="shared" si="6"/>
        <v>0</v>
      </c>
      <c r="U728" s="107" t="str">
        <f t="shared" si="7"/>
        <v>0</v>
      </c>
    </row>
    <row r="729" ht="15.75" customHeight="1">
      <c r="A729" s="279"/>
      <c r="B729" s="280"/>
      <c r="C729" s="280"/>
      <c r="D729" s="280"/>
      <c r="E729" s="281"/>
      <c r="F729" s="281"/>
      <c r="G729" s="280"/>
      <c r="H729" s="282"/>
      <c r="I729" s="283"/>
      <c r="J729" s="280"/>
      <c r="K729" s="103"/>
      <c r="L729" s="146"/>
      <c r="M729" s="103"/>
      <c r="N729" s="103"/>
      <c r="O729" s="103">
        <f t="shared" si="3"/>
        <v>0</v>
      </c>
      <c r="P729" s="104">
        <f t="shared" si="4"/>
        <v>0</v>
      </c>
      <c r="Q729" s="147"/>
      <c r="R729" s="103"/>
      <c r="S729" s="103">
        <f t="shared" si="6"/>
        <v>0</v>
      </c>
      <c r="U729" s="107" t="str">
        <f t="shared" si="7"/>
        <v>0</v>
      </c>
    </row>
    <row r="730" ht="15.75" customHeight="1">
      <c r="A730" s="279"/>
      <c r="B730" s="280"/>
      <c r="C730" s="280"/>
      <c r="D730" s="280"/>
      <c r="E730" s="281"/>
      <c r="F730" s="281"/>
      <c r="G730" s="280"/>
      <c r="H730" s="282"/>
      <c r="I730" s="283"/>
      <c r="J730" s="280"/>
      <c r="K730" s="103"/>
      <c r="L730" s="146"/>
      <c r="M730" s="103"/>
      <c r="N730" s="103"/>
      <c r="O730" s="103">
        <f t="shared" si="3"/>
        <v>0</v>
      </c>
      <c r="P730" s="104">
        <f t="shared" si="4"/>
        <v>0</v>
      </c>
      <c r="Q730" s="147"/>
      <c r="R730" s="103"/>
      <c r="S730" s="103">
        <f t="shared" si="6"/>
        <v>0</v>
      </c>
      <c r="U730" s="107" t="str">
        <f t="shared" si="7"/>
        <v>0</v>
      </c>
    </row>
    <row r="731" ht="15.75" customHeight="1">
      <c r="A731" s="279"/>
      <c r="B731" s="280"/>
      <c r="C731" s="280"/>
      <c r="D731" s="280"/>
      <c r="E731" s="281"/>
      <c r="F731" s="281"/>
      <c r="G731" s="280"/>
      <c r="H731" s="282"/>
      <c r="I731" s="283"/>
      <c r="J731" s="280"/>
      <c r="K731" s="103"/>
      <c r="L731" s="146"/>
      <c r="M731" s="103"/>
      <c r="N731" s="103"/>
      <c r="O731" s="103">
        <f t="shared" si="3"/>
        <v>0</v>
      </c>
      <c r="P731" s="104">
        <f t="shared" si="4"/>
        <v>0</v>
      </c>
      <c r="Q731" s="147"/>
      <c r="R731" s="103"/>
      <c r="S731" s="103">
        <f t="shared" si="6"/>
        <v>0</v>
      </c>
      <c r="U731" s="107" t="str">
        <f t="shared" si="7"/>
        <v>0</v>
      </c>
    </row>
    <row r="732" ht="15.75" customHeight="1">
      <c r="A732" s="279"/>
      <c r="B732" s="280"/>
      <c r="C732" s="280"/>
      <c r="D732" s="280"/>
      <c r="E732" s="281"/>
      <c r="F732" s="281"/>
      <c r="G732" s="280"/>
      <c r="H732" s="282"/>
      <c r="I732" s="283"/>
      <c r="J732" s="280"/>
      <c r="K732" s="103"/>
      <c r="L732" s="146"/>
      <c r="M732" s="103"/>
      <c r="N732" s="103"/>
      <c r="O732" s="103">
        <f t="shared" si="3"/>
        <v>0</v>
      </c>
      <c r="P732" s="104">
        <f t="shared" si="4"/>
        <v>0</v>
      </c>
      <c r="Q732" s="147"/>
      <c r="R732" s="103"/>
      <c r="S732" s="103">
        <f t="shared" si="6"/>
        <v>0</v>
      </c>
      <c r="U732" s="107" t="str">
        <f t="shared" si="7"/>
        <v>0</v>
      </c>
    </row>
    <row r="733" ht="15.75" customHeight="1">
      <c r="A733" s="279"/>
      <c r="B733" s="280"/>
      <c r="C733" s="280"/>
      <c r="D733" s="280"/>
      <c r="E733" s="281"/>
      <c r="F733" s="281"/>
      <c r="G733" s="280"/>
      <c r="H733" s="282"/>
      <c r="I733" s="283"/>
      <c r="J733" s="280"/>
      <c r="K733" s="103"/>
      <c r="L733" s="146"/>
      <c r="M733" s="103"/>
      <c r="N733" s="103"/>
      <c r="O733" s="103">
        <f t="shared" si="3"/>
        <v>0</v>
      </c>
      <c r="P733" s="104">
        <f t="shared" si="4"/>
        <v>0</v>
      </c>
      <c r="Q733" s="147"/>
      <c r="R733" s="103"/>
      <c r="S733" s="103">
        <f t="shared" si="6"/>
        <v>0</v>
      </c>
      <c r="U733" s="107" t="str">
        <f t="shared" si="7"/>
        <v>0</v>
      </c>
    </row>
    <row r="734" ht="15.75" customHeight="1">
      <c r="A734" s="279"/>
      <c r="B734" s="280"/>
      <c r="C734" s="280"/>
      <c r="D734" s="280"/>
      <c r="E734" s="281"/>
      <c r="F734" s="281"/>
      <c r="G734" s="280"/>
      <c r="H734" s="282"/>
      <c r="I734" s="283"/>
      <c r="J734" s="280"/>
      <c r="K734" s="103"/>
      <c r="L734" s="146"/>
      <c r="M734" s="103"/>
      <c r="N734" s="103"/>
      <c r="O734" s="103">
        <f t="shared" si="3"/>
        <v>0</v>
      </c>
      <c r="P734" s="104">
        <f t="shared" si="4"/>
        <v>0</v>
      </c>
      <c r="Q734" s="147"/>
      <c r="R734" s="103"/>
      <c r="S734" s="103">
        <f t="shared" si="6"/>
        <v>0</v>
      </c>
      <c r="U734" s="107" t="str">
        <f t="shared" si="7"/>
        <v>0</v>
      </c>
    </row>
    <row r="735" ht="15.75" customHeight="1">
      <c r="A735" s="279"/>
      <c r="B735" s="280"/>
      <c r="C735" s="280"/>
      <c r="D735" s="280"/>
      <c r="E735" s="281"/>
      <c r="F735" s="281"/>
      <c r="G735" s="280"/>
      <c r="H735" s="282"/>
      <c r="I735" s="283"/>
      <c r="J735" s="280"/>
      <c r="K735" s="103"/>
      <c r="L735" s="146"/>
      <c r="M735" s="103"/>
      <c r="N735" s="103"/>
      <c r="O735" s="103">
        <f t="shared" si="3"/>
        <v>0</v>
      </c>
      <c r="P735" s="104">
        <f t="shared" si="4"/>
        <v>0</v>
      </c>
      <c r="Q735" s="147"/>
      <c r="R735" s="103"/>
      <c r="S735" s="103">
        <f t="shared" si="6"/>
        <v>0</v>
      </c>
      <c r="U735" s="107" t="str">
        <f t="shared" si="7"/>
        <v>0</v>
      </c>
    </row>
    <row r="736" ht="15.75" customHeight="1">
      <c r="A736" s="279"/>
      <c r="B736" s="280"/>
      <c r="C736" s="280"/>
      <c r="D736" s="280"/>
      <c r="E736" s="281"/>
      <c r="F736" s="281"/>
      <c r="G736" s="280"/>
      <c r="H736" s="282"/>
      <c r="I736" s="283"/>
      <c r="J736" s="280"/>
      <c r="K736" s="103"/>
      <c r="L736" s="146"/>
      <c r="M736" s="103"/>
      <c r="N736" s="103"/>
      <c r="O736" s="103">
        <f t="shared" si="3"/>
        <v>0</v>
      </c>
      <c r="P736" s="104">
        <f t="shared" si="4"/>
        <v>0</v>
      </c>
      <c r="Q736" s="147"/>
      <c r="R736" s="103"/>
      <c r="S736" s="103">
        <f t="shared" si="6"/>
        <v>0</v>
      </c>
      <c r="U736" s="107" t="str">
        <f t="shared" si="7"/>
        <v>0</v>
      </c>
    </row>
    <row r="737" ht="15.75" customHeight="1">
      <c r="A737" s="279"/>
      <c r="B737" s="280"/>
      <c r="C737" s="280"/>
      <c r="D737" s="280"/>
      <c r="E737" s="281"/>
      <c r="F737" s="281"/>
      <c r="G737" s="280"/>
      <c r="H737" s="282"/>
      <c r="I737" s="283"/>
      <c r="J737" s="280"/>
      <c r="K737" s="103"/>
      <c r="L737" s="146"/>
      <c r="M737" s="103"/>
      <c r="N737" s="103"/>
      <c r="O737" s="103">
        <f t="shared" si="3"/>
        <v>0</v>
      </c>
      <c r="P737" s="104">
        <f t="shared" si="4"/>
        <v>0</v>
      </c>
      <c r="Q737" s="147"/>
      <c r="R737" s="103"/>
      <c r="S737" s="103">
        <f t="shared" si="6"/>
        <v>0</v>
      </c>
      <c r="U737" s="107" t="str">
        <f t="shared" si="7"/>
        <v>0</v>
      </c>
    </row>
    <row r="738" ht="15.75" customHeight="1">
      <c r="A738" s="279"/>
      <c r="B738" s="280"/>
      <c r="C738" s="280"/>
      <c r="D738" s="280"/>
      <c r="E738" s="281"/>
      <c r="F738" s="281"/>
      <c r="G738" s="280"/>
      <c r="H738" s="282"/>
      <c r="I738" s="283"/>
      <c r="J738" s="280"/>
      <c r="K738" s="103"/>
      <c r="L738" s="146"/>
      <c r="M738" s="103"/>
      <c r="N738" s="103"/>
      <c r="O738" s="103">
        <f t="shared" si="3"/>
        <v>0</v>
      </c>
      <c r="P738" s="104">
        <f t="shared" si="4"/>
        <v>0</v>
      </c>
      <c r="Q738" s="147"/>
      <c r="R738" s="103"/>
      <c r="S738" s="103">
        <f t="shared" si="6"/>
        <v>0</v>
      </c>
      <c r="U738" s="107" t="str">
        <f t="shared" si="7"/>
        <v>0</v>
      </c>
    </row>
    <row r="739" ht="15.75" customHeight="1">
      <c r="A739" s="279"/>
      <c r="B739" s="280"/>
      <c r="C739" s="280"/>
      <c r="D739" s="280"/>
      <c r="E739" s="281"/>
      <c r="F739" s="281"/>
      <c r="G739" s="280"/>
      <c r="H739" s="282"/>
      <c r="I739" s="283"/>
      <c r="J739" s="280"/>
      <c r="K739" s="103"/>
      <c r="L739" s="146"/>
      <c r="M739" s="103"/>
      <c r="N739" s="103"/>
      <c r="O739" s="103">
        <f t="shared" si="3"/>
        <v>0</v>
      </c>
      <c r="P739" s="104">
        <f t="shared" si="4"/>
        <v>0</v>
      </c>
      <c r="Q739" s="147"/>
      <c r="R739" s="103"/>
      <c r="S739" s="103">
        <f t="shared" si="6"/>
        <v>0</v>
      </c>
      <c r="U739" s="107" t="str">
        <f t="shared" si="7"/>
        <v>0</v>
      </c>
    </row>
    <row r="740" ht="15.75" customHeight="1">
      <c r="A740" s="279"/>
      <c r="B740" s="280"/>
      <c r="C740" s="280"/>
      <c r="D740" s="280"/>
      <c r="E740" s="281"/>
      <c r="F740" s="281"/>
      <c r="G740" s="280"/>
      <c r="H740" s="282"/>
      <c r="I740" s="283"/>
      <c r="J740" s="280"/>
      <c r="K740" s="103"/>
      <c r="L740" s="146"/>
      <c r="M740" s="103"/>
      <c r="N740" s="103"/>
      <c r="O740" s="103">
        <f t="shared" si="3"/>
        <v>0</v>
      </c>
      <c r="P740" s="104">
        <f t="shared" si="4"/>
        <v>0</v>
      </c>
      <c r="Q740" s="147"/>
      <c r="R740" s="103"/>
      <c r="S740" s="103">
        <f t="shared" si="6"/>
        <v>0</v>
      </c>
      <c r="U740" s="107" t="str">
        <f t="shared" si="7"/>
        <v>0</v>
      </c>
    </row>
    <row r="741" ht="15.75" customHeight="1">
      <c r="A741" s="279"/>
      <c r="B741" s="280"/>
      <c r="C741" s="280"/>
      <c r="D741" s="280"/>
      <c r="E741" s="281"/>
      <c r="F741" s="281"/>
      <c r="G741" s="280"/>
      <c r="H741" s="282"/>
      <c r="I741" s="283"/>
      <c r="J741" s="280"/>
      <c r="K741" s="103"/>
      <c r="L741" s="146"/>
      <c r="M741" s="103"/>
      <c r="N741" s="103"/>
      <c r="O741" s="103">
        <f t="shared" si="3"/>
        <v>0</v>
      </c>
      <c r="P741" s="104">
        <f t="shared" si="4"/>
        <v>0</v>
      </c>
      <c r="Q741" s="147"/>
      <c r="R741" s="103"/>
      <c r="S741" s="103">
        <f t="shared" si="6"/>
        <v>0</v>
      </c>
      <c r="U741" s="107" t="str">
        <f t="shared" si="7"/>
        <v>0</v>
      </c>
    </row>
    <row r="742" ht="15.75" customHeight="1">
      <c r="A742" s="279"/>
      <c r="B742" s="280"/>
      <c r="C742" s="280"/>
      <c r="D742" s="280"/>
      <c r="E742" s="281"/>
      <c r="F742" s="281"/>
      <c r="G742" s="280"/>
      <c r="H742" s="282"/>
      <c r="I742" s="283"/>
      <c r="J742" s="280"/>
      <c r="K742" s="103"/>
      <c r="L742" s="146"/>
      <c r="M742" s="103"/>
      <c r="N742" s="103"/>
      <c r="O742" s="103">
        <f t="shared" si="3"/>
        <v>0</v>
      </c>
      <c r="P742" s="104">
        <f t="shared" si="4"/>
        <v>0</v>
      </c>
      <c r="Q742" s="147"/>
      <c r="R742" s="103"/>
      <c r="S742" s="103">
        <f t="shared" si="6"/>
        <v>0</v>
      </c>
      <c r="U742" s="107" t="str">
        <f t="shared" si="7"/>
        <v>0</v>
      </c>
    </row>
    <row r="743" ht="15.75" customHeight="1">
      <c r="A743" s="279"/>
      <c r="B743" s="280"/>
      <c r="C743" s="280"/>
      <c r="D743" s="280"/>
      <c r="E743" s="281"/>
      <c r="F743" s="281"/>
      <c r="G743" s="280"/>
      <c r="H743" s="282"/>
      <c r="I743" s="283"/>
      <c r="J743" s="280"/>
      <c r="K743" s="103"/>
      <c r="L743" s="146"/>
      <c r="M743" s="103"/>
      <c r="N743" s="103"/>
      <c r="O743" s="103">
        <f t="shared" si="3"/>
        <v>0</v>
      </c>
      <c r="P743" s="104">
        <f t="shared" si="4"/>
        <v>0</v>
      </c>
      <c r="Q743" s="147"/>
      <c r="R743" s="103"/>
      <c r="S743" s="103">
        <f t="shared" si="6"/>
        <v>0</v>
      </c>
      <c r="U743" s="107" t="str">
        <f t="shared" si="7"/>
        <v>0</v>
      </c>
    </row>
    <row r="744" ht="15.75" customHeight="1">
      <c r="A744" s="279"/>
      <c r="B744" s="280"/>
      <c r="C744" s="280"/>
      <c r="D744" s="280"/>
      <c r="E744" s="281"/>
      <c r="F744" s="281"/>
      <c r="G744" s="280"/>
      <c r="H744" s="282"/>
      <c r="I744" s="283"/>
      <c r="J744" s="280"/>
      <c r="K744" s="103"/>
      <c r="L744" s="146"/>
      <c r="M744" s="103"/>
      <c r="N744" s="103"/>
      <c r="O744" s="103">
        <f t="shared" si="3"/>
        <v>0</v>
      </c>
      <c r="P744" s="104">
        <f t="shared" si="4"/>
        <v>0</v>
      </c>
      <c r="Q744" s="147"/>
      <c r="R744" s="103"/>
      <c r="S744" s="103">
        <f t="shared" si="6"/>
        <v>0</v>
      </c>
      <c r="U744" s="107" t="str">
        <f t="shared" si="7"/>
        <v>0</v>
      </c>
    </row>
    <row r="745" ht="15.75" customHeight="1">
      <c r="A745" s="279"/>
      <c r="B745" s="280"/>
      <c r="C745" s="280"/>
      <c r="D745" s="280"/>
      <c r="E745" s="281"/>
      <c r="F745" s="281"/>
      <c r="G745" s="280"/>
      <c r="H745" s="282"/>
      <c r="I745" s="283"/>
      <c r="J745" s="280"/>
      <c r="K745" s="103"/>
      <c r="L745" s="146"/>
      <c r="M745" s="103"/>
      <c r="N745" s="103"/>
      <c r="O745" s="103">
        <f t="shared" si="3"/>
        <v>0</v>
      </c>
      <c r="P745" s="104">
        <f t="shared" si="4"/>
        <v>0</v>
      </c>
      <c r="Q745" s="147"/>
      <c r="R745" s="103"/>
      <c r="S745" s="103">
        <f t="shared" si="6"/>
        <v>0</v>
      </c>
      <c r="U745" s="107" t="str">
        <f t="shared" si="7"/>
        <v>0</v>
      </c>
    </row>
    <row r="746" ht="15.75" customHeight="1">
      <c r="A746" s="279"/>
      <c r="B746" s="280"/>
      <c r="C746" s="280"/>
      <c r="D746" s="280"/>
      <c r="E746" s="281"/>
      <c r="F746" s="281"/>
      <c r="G746" s="280"/>
      <c r="H746" s="282"/>
      <c r="I746" s="283"/>
      <c r="J746" s="280"/>
      <c r="K746" s="103"/>
      <c r="L746" s="146"/>
      <c r="M746" s="103"/>
      <c r="N746" s="103"/>
      <c r="O746" s="103">
        <f t="shared" si="3"/>
        <v>0</v>
      </c>
      <c r="P746" s="104">
        <f t="shared" si="4"/>
        <v>0</v>
      </c>
      <c r="Q746" s="147"/>
      <c r="R746" s="103"/>
      <c r="S746" s="103">
        <f t="shared" si="6"/>
        <v>0</v>
      </c>
      <c r="U746" s="107" t="str">
        <f t="shared" si="7"/>
        <v>0</v>
      </c>
    </row>
    <row r="747" ht="15.75" customHeight="1">
      <c r="A747" s="279"/>
      <c r="B747" s="280"/>
      <c r="C747" s="280"/>
      <c r="D747" s="280"/>
      <c r="E747" s="281"/>
      <c r="F747" s="281"/>
      <c r="G747" s="280"/>
      <c r="H747" s="282"/>
      <c r="I747" s="283"/>
      <c r="J747" s="280"/>
      <c r="K747" s="103"/>
      <c r="L747" s="146"/>
      <c r="M747" s="103"/>
      <c r="N747" s="103"/>
      <c r="O747" s="103">
        <f t="shared" si="3"/>
        <v>0</v>
      </c>
      <c r="P747" s="104">
        <f t="shared" si="4"/>
        <v>0</v>
      </c>
      <c r="Q747" s="147"/>
      <c r="R747" s="103"/>
      <c r="S747" s="103">
        <f t="shared" si="6"/>
        <v>0</v>
      </c>
      <c r="U747" s="107" t="str">
        <f t="shared" si="7"/>
        <v>0</v>
      </c>
    </row>
    <row r="748" ht="15.75" customHeight="1">
      <c r="A748" s="279"/>
      <c r="B748" s="280"/>
      <c r="C748" s="280"/>
      <c r="D748" s="280"/>
      <c r="E748" s="281"/>
      <c r="F748" s="281"/>
      <c r="G748" s="280"/>
      <c r="H748" s="282"/>
      <c r="I748" s="283"/>
      <c r="J748" s="280"/>
      <c r="K748" s="103"/>
      <c r="L748" s="146"/>
      <c r="M748" s="103"/>
      <c r="N748" s="103"/>
      <c r="O748" s="103">
        <f t="shared" si="3"/>
        <v>0</v>
      </c>
      <c r="P748" s="104">
        <f t="shared" si="4"/>
        <v>0</v>
      </c>
      <c r="Q748" s="147"/>
      <c r="R748" s="103"/>
      <c r="S748" s="103">
        <f t="shared" si="6"/>
        <v>0</v>
      </c>
      <c r="U748" s="107" t="str">
        <f t="shared" si="7"/>
        <v>0</v>
      </c>
    </row>
    <row r="749" ht="15.75" customHeight="1">
      <c r="A749" s="279"/>
      <c r="B749" s="280"/>
      <c r="C749" s="280"/>
      <c r="D749" s="280"/>
      <c r="E749" s="281"/>
      <c r="F749" s="281"/>
      <c r="G749" s="280"/>
      <c r="H749" s="282"/>
      <c r="I749" s="283"/>
      <c r="J749" s="280"/>
      <c r="K749" s="103"/>
      <c r="L749" s="146"/>
      <c r="M749" s="103"/>
      <c r="N749" s="103"/>
      <c r="O749" s="103">
        <f t="shared" si="3"/>
        <v>0</v>
      </c>
      <c r="P749" s="104">
        <f t="shared" si="4"/>
        <v>0</v>
      </c>
      <c r="Q749" s="147"/>
      <c r="R749" s="103"/>
      <c r="S749" s="103">
        <f t="shared" si="6"/>
        <v>0</v>
      </c>
      <c r="U749" s="107" t="str">
        <f t="shared" si="7"/>
        <v>0</v>
      </c>
    </row>
    <row r="750" ht="15.75" customHeight="1">
      <c r="A750" s="279"/>
      <c r="B750" s="280"/>
      <c r="C750" s="280"/>
      <c r="D750" s="280"/>
      <c r="E750" s="281"/>
      <c r="F750" s="281"/>
      <c r="G750" s="280"/>
      <c r="H750" s="282"/>
      <c r="I750" s="283"/>
      <c r="J750" s="280"/>
      <c r="K750" s="103"/>
      <c r="L750" s="146"/>
      <c r="M750" s="103"/>
      <c r="N750" s="103"/>
      <c r="O750" s="103">
        <f t="shared" si="3"/>
        <v>0</v>
      </c>
      <c r="P750" s="104">
        <f t="shared" si="4"/>
        <v>0</v>
      </c>
      <c r="Q750" s="147"/>
      <c r="R750" s="103"/>
      <c r="S750" s="103">
        <f t="shared" si="6"/>
        <v>0</v>
      </c>
      <c r="U750" s="107" t="str">
        <f t="shared" si="7"/>
        <v>0</v>
      </c>
    </row>
    <row r="751" ht="15.75" customHeight="1">
      <c r="A751" s="279"/>
      <c r="B751" s="280"/>
      <c r="C751" s="280"/>
      <c r="D751" s="280"/>
      <c r="E751" s="281"/>
      <c r="F751" s="281"/>
      <c r="G751" s="280"/>
      <c r="H751" s="282"/>
      <c r="I751" s="283"/>
      <c r="J751" s="280"/>
      <c r="K751" s="103"/>
      <c r="L751" s="146"/>
      <c r="M751" s="103"/>
      <c r="N751" s="103"/>
      <c r="O751" s="103">
        <f t="shared" si="3"/>
        <v>0</v>
      </c>
      <c r="P751" s="104">
        <f t="shared" si="4"/>
        <v>0</v>
      </c>
      <c r="Q751" s="147"/>
      <c r="R751" s="103"/>
      <c r="S751" s="103">
        <f t="shared" si="6"/>
        <v>0</v>
      </c>
      <c r="U751" s="107" t="str">
        <f t="shared" si="7"/>
        <v>0</v>
      </c>
    </row>
    <row r="752" ht="15.75" customHeight="1">
      <c r="A752" s="279"/>
      <c r="B752" s="280"/>
      <c r="C752" s="280"/>
      <c r="D752" s="280"/>
      <c r="E752" s="281"/>
      <c r="F752" s="281"/>
      <c r="G752" s="280"/>
      <c r="H752" s="282"/>
      <c r="I752" s="283"/>
      <c r="J752" s="280"/>
      <c r="K752" s="103"/>
      <c r="L752" s="146"/>
      <c r="M752" s="103"/>
      <c r="N752" s="103"/>
      <c r="O752" s="103">
        <f t="shared" si="3"/>
        <v>0</v>
      </c>
      <c r="P752" s="104">
        <f t="shared" si="4"/>
        <v>0</v>
      </c>
      <c r="Q752" s="147"/>
      <c r="R752" s="103"/>
      <c r="S752" s="103">
        <f t="shared" si="6"/>
        <v>0</v>
      </c>
      <c r="U752" s="107" t="str">
        <f t="shared" si="7"/>
        <v>0</v>
      </c>
    </row>
    <row r="753" ht="15.75" customHeight="1">
      <c r="A753" s="279"/>
      <c r="B753" s="280"/>
      <c r="C753" s="280"/>
      <c r="D753" s="280"/>
      <c r="E753" s="281"/>
      <c r="F753" s="281"/>
      <c r="G753" s="280"/>
      <c r="H753" s="282"/>
      <c r="I753" s="283"/>
      <c r="J753" s="280"/>
      <c r="K753" s="103"/>
      <c r="L753" s="146"/>
      <c r="M753" s="103"/>
      <c r="N753" s="103"/>
      <c r="O753" s="103">
        <f t="shared" si="3"/>
        <v>0</v>
      </c>
      <c r="P753" s="104">
        <f t="shared" si="4"/>
        <v>0</v>
      </c>
      <c r="Q753" s="147"/>
      <c r="R753" s="103"/>
      <c r="S753" s="103">
        <f t="shared" si="6"/>
        <v>0</v>
      </c>
      <c r="U753" s="107" t="str">
        <f t="shared" si="7"/>
        <v>0</v>
      </c>
    </row>
    <row r="754" ht="15.75" customHeight="1">
      <c r="A754" s="279"/>
      <c r="B754" s="280"/>
      <c r="C754" s="280"/>
      <c r="D754" s="280"/>
      <c r="E754" s="281"/>
      <c r="F754" s="281"/>
      <c r="G754" s="280"/>
      <c r="H754" s="282"/>
      <c r="I754" s="283"/>
      <c r="J754" s="280"/>
      <c r="K754" s="103"/>
      <c r="L754" s="146"/>
      <c r="M754" s="103"/>
      <c r="N754" s="103"/>
      <c r="O754" s="103">
        <f t="shared" si="3"/>
        <v>0</v>
      </c>
      <c r="P754" s="104">
        <f t="shared" si="4"/>
        <v>0</v>
      </c>
      <c r="Q754" s="147"/>
      <c r="R754" s="103"/>
      <c r="S754" s="103">
        <f t="shared" si="6"/>
        <v>0</v>
      </c>
      <c r="U754" s="107" t="str">
        <f t="shared" si="7"/>
        <v>0</v>
      </c>
    </row>
    <row r="755" ht="15.75" customHeight="1">
      <c r="A755" s="279"/>
      <c r="B755" s="280"/>
      <c r="C755" s="280"/>
      <c r="D755" s="280"/>
      <c r="E755" s="281"/>
      <c r="F755" s="281"/>
      <c r="G755" s="280"/>
      <c r="H755" s="282"/>
      <c r="I755" s="283"/>
      <c r="J755" s="280"/>
      <c r="K755" s="103"/>
      <c r="L755" s="146"/>
      <c r="M755" s="103"/>
      <c r="N755" s="103"/>
      <c r="O755" s="103">
        <f t="shared" si="3"/>
        <v>0</v>
      </c>
      <c r="P755" s="104">
        <f t="shared" si="4"/>
        <v>0</v>
      </c>
      <c r="Q755" s="147"/>
      <c r="R755" s="103"/>
      <c r="S755" s="103">
        <f t="shared" si="6"/>
        <v>0</v>
      </c>
      <c r="U755" s="107" t="str">
        <f t="shared" si="7"/>
        <v>0</v>
      </c>
    </row>
    <row r="756" ht="15.75" customHeight="1">
      <c r="A756" s="279"/>
      <c r="B756" s="280"/>
      <c r="C756" s="280"/>
      <c r="D756" s="280"/>
      <c r="E756" s="281"/>
      <c r="F756" s="281"/>
      <c r="G756" s="280"/>
      <c r="H756" s="282"/>
      <c r="I756" s="283"/>
      <c r="J756" s="280"/>
      <c r="K756" s="103"/>
      <c r="L756" s="146"/>
      <c r="M756" s="103"/>
      <c r="N756" s="103"/>
      <c r="O756" s="103">
        <f t="shared" si="3"/>
        <v>0</v>
      </c>
      <c r="P756" s="104">
        <f t="shared" si="4"/>
        <v>0</v>
      </c>
      <c r="Q756" s="147"/>
      <c r="R756" s="103"/>
      <c r="S756" s="103">
        <f t="shared" si="6"/>
        <v>0</v>
      </c>
      <c r="U756" s="107" t="str">
        <f t="shared" si="7"/>
        <v>0</v>
      </c>
    </row>
    <row r="757" ht="15.75" customHeight="1">
      <c r="A757" s="279"/>
      <c r="B757" s="280"/>
      <c r="C757" s="280"/>
      <c r="D757" s="280"/>
      <c r="E757" s="281"/>
      <c r="F757" s="281"/>
      <c r="G757" s="280"/>
      <c r="H757" s="282"/>
      <c r="I757" s="283"/>
      <c r="J757" s="280"/>
      <c r="K757" s="103"/>
      <c r="L757" s="146"/>
      <c r="M757" s="103"/>
      <c r="N757" s="103"/>
      <c r="O757" s="103">
        <f t="shared" si="3"/>
        <v>0</v>
      </c>
      <c r="P757" s="104">
        <f t="shared" si="4"/>
        <v>0</v>
      </c>
      <c r="Q757" s="147"/>
      <c r="R757" s="103"/>
      <c r="S757" s="103">
        <f t="shared" si="6"/>
        <v>0</v>
      </c>
      <c r="U757" s="107" t="str">
        <f t="shared" si="7"/>
        <v>0</v>
      </c>
    </row>
    <row r="758" ht="15.75" customHeight="1">
      <c r="A758" s="279"/>
      <c r="B758" s="280"/>
      <c r="C758" s="280"/>
      <c r="D758" s="280"/>
      <c r="E758" s="281"/>
      <c r="F758" s="281"/>
      <c r="G758" s="280"/>
      <c r="H758" s="282"/>
      <c r="I758" s="283"/>
      <c r="J758" s="280"/>
      <c r="K758" s="103"/>
      <c r="L758" s="146"/>
      <c r="M758" s="103"/>
      <c r="N758" s="103"/>
      <c r="O758" s="103">
        <f t="shared" si="3"/>
        <v>0</v>
      </c>
      <c r="P758" s="104">
        <f t="shared" si="4"/>
        <v>0</v>
      </c>
      <c r="Q758" s="147"/>
      <c r="R758" s="103"/>
      <c r="S758" s="103">
        <f t="shared" si="6"/>
        <v>0</v>
      </c>
      <c r="U758" s="107" t="str">
        <f t="shared" si="7"/>
        <v>0</v>
      </c>
    </row>
    <row r="759" ht="15.75" customHeight="1">
      <c r="A759" s="279"/>
      <c r="B759" s="280"/>
      <c r="C759" s="280"/>
      <c r="D759" s="280"/>
      <c r="E759" s="281"/>
      <c r="F759" s="281"/>
      <c r="G759" s="280"/>
      <c r="H759" s="282"/>
      <c r="I759" s="283"/>
      <c r="J759" s="280"/>
      <c r="K759" s="103"/>
      <c r="L759" s="146"/>
      <c r="M759" s="103"/>
      <c r="N759" s="103"/>
      <c r="O759" s="103">
        <f t="shared" si="3"/>
        <v>0</v>
      </c>
      <c r="P759" s="104">
        <f t="shared" si="4"/>
        <v>0</v>
      </c>
      <c r="Q759" s="147"/>
      <c r="R759" s="103"/>
      <c r="S759" s="103">
        <f t="shared" si="6"/>
        <v>0</v>
      </c>
      <c r="U759" s="107" t="str">
        <f t="shared" si="7"/>
        <v>0</v>
      </c>
    </row>
    <row r="760" ht="15.75" customHeight="1">
      <c r="A760" s="279"/>
      <c r="B760" s="280"/>
      <c r="C760" s="280"/>
      <c r="D760" s="280"/>
      <c r="E760" s="281"/>
      <c r="F760" s="281"/>
      <c r="G760" s="280"/>
      <c r="H760" s="282"/>
      <c r="I760" s="283"/>
      <c r="J760" s="280"/>
      <c r="K760" s="103"/>
      <c r="L760" s="146"/>
      <c r="M760" s="103"/>
      <c r="N760" s="103"/>
      <c r="O760" s="103">
        <f t="shared" si="3"/>
        <v>0</v>
      </c>
      <c r="P760" s="104">
        <f t="shared" si="4"/>
        <v>0</v>
      </c>
      <c r="Q760" s="147"/>
      <c r="R760" s="103"/>
      <c r="S760" s="103">
        <f t="shared" si="6"/>
        <v>0</v>
      </c>
      <c r="U760" s="107" t="str">
        <f t="shared" si="7"/>
        <v>0</v>
      </c>
    </row>
    <row r="761" ht="15.75" customHeight="1">
      <c r="A761" s="279"/>
      <c r="B761" s="280"/>
      <c r="C761" s="280"/>
      <c r="D761" s="280"/>
      <c r="E761" s="281"/>
      <c r="F761" s="281"/>
      <c r="G761" s="280"/>
      <c r="H761" s="282"/>
      <c r="I761" s="283"/>
      <c r="J761" s="280"/>
      <c r="K761" s="103"/>
      <c r="L761" s="146"/>
      <c r="M761" s="103"/>
      <c r="N761" s="103"/>
      <c r="O761" s="103">
        <f t="shared" si="3"/>
        <v>0</v>
      </c>
      <c r="P761" s="104">
        <f t="shared" si="4"/>
        <v>0</v>
      </c>
      <c r="Q761" s="147"/>
      <c r="R761" s="103"/>
      <c r="S761" s="103">
        <f t="shared" si="6"/>
        <v>0</v>
      </c>
      <c r="U761" s="107" t="str">
        <f t="shared" si="7"/>
        <v>0</v>
      </c>
    </row>
    <row r="762" ht="15.75" customHeight="1">
      <c r="A762" s="279"/>
      <c r="B762" s="280"/>
      <c r="C762" s="280"/>
      <c r="D762" s="280"/>
      <c r="E762" s="281"/>
      <c r="F762" s="281"/>
      <c r="G762" s="280"/>
      <c r="H762" s="282"/>
      <c r="I762" s="283"/>
      <c r="J762" s="280"/>
      <c r="K762" s="103"/>
      <c r="L762" s="146"/>
      <c r="M762" s="103"/>
      <c r="N762" s="103"/>
      <c r="O762" s="103">
        <f t="shared" si="3"/>
        <v>0</v>
      </c>
      <c r="P762" s="104">
        <f t="shared" si="4"/>
        <v>0</v>
      </c>
      <c r="Q762" s="147"/>
      <c r="R762" s="103"/>
      <c r="S762" s="103">
        <f t="shared" si="6"/>
        <v>0</v>
      </c>
      <c r="U762" s="107" t="str">
        <f t="shared" si="7"/>
        <v>0</v>
      </c>
    </row>
    <row r="763" ht="15.75" customHeight="1">
      <c r="A763" s="279"/>
      <c r="B763" s="280"/>
      <c r="C763" s="280"/>
      <c r="D763" s="280"/>
      <c r="E763" s="281"/>
      <c r="F763" s="281"/>
      <c r="G763" s="280"/>
      <c r="H763" s="282"/>
      <c r="I763" s="283"/>
      <c r="J763" s="280"/>
      <c r="K763" s="103"/>
      <c r="L763" s="146"/>
      <c r="M763" s="103"/>
      <c r="N763" s="103"/>
      <c r="O763" s="103">
        <f t="shared" si="3"/>
        <v>0</v>
      </c>
      <c r="P763" s="104">
        <f t="shared" si="4"/>
        <v>0</v>
      </c>
      <c r="Q763" s="147"/>
      <c r="R763" s="103"/>
      <c r="S763" s="103">
        <f t="shared" si="6"/>
        <v>0</v>
      </c>
      <c r="U763" s="107" t="str">
        <f t="shared" si="7"/>
        <v>0</v>
      </c>
    </row>
    <row r="764" ht="15.75" customHeight="1">
      <c r="A764" s="279"/>
      <c r="B764" s="280"/>
      <c r="C764" s="280"/>
      <c r="D764" s="280"/>
      <c r="E764" s="281"/>
      <c r="F764" s="281"/>
      <c r="G764" s="280"/>
      <c r="H764" s="282"/>
      <c r="I764" s="283"/>
      <c r="J764" s="280"/>
      <c r="K764" s="103"/>
      <c r="L764" s="146"/>
      <c r="M764" s="103"/>
      <c r="N764" s="103"/>
      <c r="O764" s="103">
        <f t="shared" si="3"/>
        <v>0</v>
      </c>
      <c r="P764" s="104">
        <f t="shared" si="4"/>
        <v>0</v>
      </c>
      <c r="Q764" s="147"/>
      <c r="R764" s="103"/>
      <c r="S764" s="103">
        <f t="shared" si="6"/>
        <v>0</v>
      </c>
      <c r="U764" s="107" t="str">
        <f t="shared" si="7"/>
        <v>0</v>
      </c>
    </row>
    <row r="765" ht="15.75" customHeight="1">
      <c r="A765" s="279"/>
      <c r="B765" s="280"/>
      <c r="C765" s="280"/>
      <c r="D765" s="280"/>
      <c r="E765" s="281"/>
      <c r="F765" s="281"/>
      <c r="G765" s="280"/>
      <c r="H765" s="282"/>
      <c r="I765" s="283"/>
      <c r="J765" s="280"/>
      <c r="K765" s="103"/>
      <c r="L765" s="146"/>
      <c r="M765" s="103"/>
      <c r="N765" s="103"/>
      <c r="O765" s="103">
        <f t="shared" si="3"/>
        <v>0</v>
      </c>
      <c r="P765" s="104">
        <f t="shared" si="4"/>
        <v>0</v>
      </c>
      <c r="Q765" s="147"/>
      <c r="R765" s="103"/>
      <c r="S765" s="103">
        <f t="shared" si="6"/>
        <v>0</v>
      </c>
      <c r="U765" s="107" t="str">
        <f t="shared" si="7"/>
        <v>0</v>
      </c>
    </row>
    <row r="766" ht="15.75" customHeight="1">
      <c r="A766" s="279"/>
      <c r="B766" s="280"/>
      <c r="C766" s="280"/>
      <c r="D766" s="280"/>
      <c r="E766" s="281"/>
      <c r="F766" s="281"/>
      <c r="G766" s="280"/>
      <c r="H766" s="282"/>
      <c r="I766" s="283"/>
      <c r="J766" s="280"/>
      <c r="K766" s="103"/>
      <c r="L766" s="146"/>
      <c r="M766" s="103"/>
      <c r="N766" s="103"/>
      <c r="O766" s="103">
        <f t="shared" si="3"/>
        <v>0</v>
      </c>
      <c r="P766" s="104">
        <f t="shared" si="4"/>
        <v>0</v>
      </c>
      <c r="Q766" s="147"/>
      <c r="R766" s="103"/>
      <c r="S766" s="103">
        <f t="shared" si="6"/>
        <v>0</v>
      </c>
      <c r="U766" s="107" t="str">
        <f t="shared" si="7"/>
        <v>0</v>
      </c>
    </row>
    <row r="767" ht="15.75" customHeight="1">
      <c r="A767" s="279"/>
      <c r="B767" s="280"/>
      <c r="C767" s="280"/>
      <c r="D767" s="280"/>
      <c r="E767" s="281"/>
      <c r="F767" s="281"/>
      <c r="G767" s="280"/>
      <c r="H767" s="282"/>
      <c r="I767" s="283"/>
      <c r="J767" s="280"/>
      <c r="K767" s="103"/>
      <c r="L767" s="146"/>
      <c r="M767" s="103"/>
      <c r="N767" s="103"/>
      <c r="O767" s="103">
        <f t="shared" si="3"/>
        <v>0</v>
      </c>
      <c r="P767" s="104">
        <f t="shared" si="4"/>
        <v>0</v>
      </c>
      <c r="Q767" s="147"/>
      <c r="R767" s="103"/>
      <c r="S767" s="103">
        <f t="shared" si="6"/>
        <v>0</v>
      </c>
      <c r="U767" s="107" t="str">
        <f t="shared" si="7"/>
        <v>0</v>
      </c>
    </row>
    <row r="768" ht="15.75" customHeight="1">
      <c r="A768" s="279"/>
      <c r="B768" s="280"/>
      <c r="C768" s="280"/>
      <c r="D768" s="280"/>
      <c r="E768" s="281"/>
      <c r="F768" s="281"/>
      <c r="G768" s="280"/>
      <c r="H768" s="282"/>
      <c r="I768" s="283"/>
      <c r="J768" s="280"/>
      <c r="K768" s="103"/>
      <c r="L768" s="146"/>
      <c r="M768" s="103"/>
      <c r="N768" s="103"/>
      <c r="O768" s="103">
        <f t="shared" si="3"/>
        <v>0</v>
      </c>
      <c r="P768" s="104">
        <f t="shared" si="4"/>
        <v>0</v>
      </c>
      <c r="Q768" s="147"/>
      <c r="R768" s="103"/>
      <c r="S768" s="103">
        <f t="shared" si="6"/>
        <v>0</v>
      </c>
      <c r="U768" s="107" t="str">
        <f t="shared" si="7"/>
        <v>0</v>
      </c>
    </row>
    <row r="769" ht="15.75" customHeight="1">
      <c r="A769" s="279"/>
      <c r="B769" s="280"/>
      <c r="C769" s="280"/>
      <c r="D769" s="280"/>
      <c r="E769" s="281"/>
      <c r="F769" s="281"/>
      <c r="G769" s="280"/>
      <c r="H769" s="282"/>
      <c r="I769" s="283"/>
      <c r="J769" s="280"/>
      <c r="K769" s="103"/>
      <c r="L769" s="146"/>
      <c r="M769" s="103"/>
      <c r="N769" s="103"/>
      <c r="O769" s="103">
        <f t="shared" si="3"/>
        <v>0</v>
      </c>
      <c r="P769" s="104">
        <f t="shared" si="4"/>
        <v>0</v>
      </c>
      <c r="Q769" s="147"/>
      <c r="R769" s="103"/>
      <c r="S769" s="103">
        <f t="shared" si="6"/>
        <v>0</v>
      </c>
      <c r="U769" s="107" t="str">
        <f t="shared" si="7"/>
        <v>0</v>
      </c>
    </row>
    <row r="770" ht="15.75" customHeight="1">
      <c r="A770" s="279"/>
      <c r="B770" s="280"/>
      <c r="C770" s="280"/>
      <c r="D770" s="280"/>
      <c r="E770" s="281"/>
      <c r="F770" s="281"/>
      <c r="G770" s="280"/>
      <c r="H770" s="282"/>
      <c r="I770" s="283"/>
      <c r="J770" s="280"/>
      <c r="K770" s="103"/>
      <c r="L770" s="146"/>
      <c r="M770" s="103"/>
      <c r="N770" s="103"/>
      <c r="O770" s="103">
        <f t="shared" si="3"/>
        <v>0</v>
      </c>
      <c r="P770" s="104">
        <f t="shared" si="4"/>
        <v>0</v>
      </c>
      <c r="Q770" s="147"/>
      <c r="R770" s="103"/>
      <c r="S770" s="103">
        <f t="shared" si="6"/>
        <v>0</v>
      </c>
      <c r="U770" s="107" t="str">
        <f t="shared" si="7"/>
        <v>0</v>
      </c>
    </row>
    <row r="771" ht="15.75" customHeight="1">
      <c r="A771" s="279"/>
      <c r="B771" s="280"/>
      <c r="C771" s="280"/>
      <c r="D771" s="280"/>
      <c r="E771" s="281"/>
      <c r="F771" s="281"/>
      <c r="G771" s="280"/>
      <c r="H771" s="282"/>
      <c r="I771" s="283"/>
      <c r="J771" s="280"/>
      <c r="K771" s="103"/>
      <c r="L771" s="146"/>
      <c r="M771" s="103"/>
      <c r="N771" s="103"/>
      <c r="O771" s="103">
        <f t="shared" si="3"/>
        <v>0</v>
      </c>
      <c r="P771" s="104">
        <f t="shared" si="4"/>
        <v>0</v>
      </c>
      <c r="Q771" s="147"/>
      <c r="R771" s="103"/>
      <c r="S771" s="103">
        <f t="shared" si="6"/>
        <v>0</v>
      </c>
      <c r="U771" s="107" t="str">
        <f t="shared" si="7"/>
        <v>0</v>
      </c>
    </row>
    <row r="772" ht="15.75" customHeight="1">
      <c r="A772" s="279"/>
      <c r="B772" s="280"/>
      <c r="C772" s="280"/>
      <c r="D772" s="280"/>
      <c r="E772" s="281"/>
      <c r="F772" s="281"/>
      <c r="G772" s="280"/>
      <c r="H772" s="282"/>
      <c r="I772" s="283"/>
      <c r="J772" s="280"/>
      <c r="K772" s="103"/>
      <c r="L772" s="146"/>
      <c r="M772" s="103"/>
      <c r="N772" s="103"/>
      <c r="O772" s="103">
        <f t="shared" si="3"/>
        <v>0</v>
      </c>
      <c r="P772" s="104">
        <f t="shared" si="4"/>
        <v>0</v>
      </c>
      <c r="Q772" s="147"/>
      <c r="R772" s="103"/>
      <c r="S772" s="103">
        <f t="shared" si="6"/>
        <v>0</v>
      </c>
      <c r="U772" s="107" t="str">
        <f t="shared" si="7"/>
        <v>0</v>
      </c>
    </row>
    <row r="773" ht="15.75" customHeight="1">
      <c r="A773" s="279"/>
      <c r="B773" s="280"/>
      <c r="C773" s="280"/>
      <c r="D773" s="280"/>
      <c r="E773" s="281"/>
      <c r="F773" s="281"/>
      <c r="G773" s="280"/>
      <c r="H773" s="282"/>
      <c r="I773" s="283"/>
      <c r="J773" s="280"/>
      <c r="K773" s="103"/>
      <c r="L773" s="146"/>
      <c r="M773" s="103"/>
      <c r="N773" s="103"/>
      <c r="O773" s="103">
        <f t="shared" si="3"/>
        <v>0</v>
      </c>
      <c r="P773" s="104">
        <f t="shared" si="4"/>
        <v>0</v>
      </c>
      <c r="Q773" s="147"/>
      <c r="R773" s="103"/>
      <c r="S773" s="103">
        <f t="shared" si="6"/>
        <v>0</v>
      </c>
      <c r="U773" s="107" t="str">
        <f t="shared" si="7"/>
        <v>0</v>
      </c>
    </row>
    <row r="774" ht="15.75" customHeight="1">
      <c r="A774" s="279"/>
      <c r="B774" s="280"/>
      <c r="C774" s="280"/>
      <c r="D774" s="280"/>
      <c r="E774" s="281"/>
      <c r="F774" s="281"/>
      <c r="G774" s="280"/>
      <c r="H774" s="282"/>
      <c r="I774" s="283"/>
      <c r="J774" s="280"/>
      <c r="K774" s="103"/>
      <c r="L774" s="146"/>
      <c r="M774" s="103"/>
      <c r="N774" s="103"/>
      <c r="O774" s="103">
        <f t="shared" si="3"/>
        <v>0</v>
      </c>
      <c r="P774" s="104">
        <f t="shared" si="4"/>
        <v>0</v>
      </c>
      <c r="Q774" s="147"/>
      <c r="R774" s="103"/>
      <c r="S774" s="103">
        <f t="shared" si="6"/>
        <v>0</v>
      </c>
      <c r="U774" s="107" t="str">
        <f t="shared" si="7"/>
        <v>0</v>
      </c>
    </row>
    <row r="775" ht="15.75" customHeight="1">
      <c r="A775" s="279"/>
      <c r="B775" s="280"/>
      <c r="C775" s="280"/>
      <c r="D775" s="280"/>
      <c r="E775" s="281"/>
      <c r="F775" s="281"/>
      <c r="G775" s="280"/>
      <c r="H775" s="282"/>
      <c r="I775" s="283"/>
      <c r="J775" s="280"/>
      <c r="K775" s="103"/>
      <c r="L775" s="146"/>
      <c r="M775" s="103"/>
      <c r="N775" s="103"/>
      <c r="O775" s="103">
        <f t="shared" si="3"/>
        <v>0</v>
      </c>
      <c r="P775" s="104">
        <f t="shared" si="4"/>
        <v>0</v>
      </c>
      <c r="Q775" s="147"/>
      <c r="R775" s="103"/>
      <c r="S775" s="103">
        <f t="shared" si="6"/>
        <v>0</v>
      </c>
      <c r="U775" s="107" t="str">
        <f t="shared" si="7"/>
        <v>0</v>
      </c>
    </row>
    <row r="776" ht="15.75" customHeight="1">
      <c r="A776" s="279"/>
      <c r="B776" s="280"/>
      <c r="C776" s="280"/>
      <c r="D776" s="280"/>
      <c r="E776" s="281"/>
      <c r="F776" s="281"/>
      <c r="G776" s="280"/>
      <c r="H776" s="282"/>
      <c r="I776" s="283"/>
      <c r="J776" s="280"/>
      <c r="K776" s="103"/>
      <c r="L776" s="146"/>
      <c r="M776" s="103"/>
      <c r="N776" s="103"/>
      <c r="O776" s="103">
        <f t="shared" si="3"/>
        <v>0</v>
      </c>
      <c r="P776" s="104">
        <f t="shared" si="4"/>
        <v>0</v>
      </c>
      <c r="Q776" s="147"/>
      <c r="R776" s="103"/>
      <c r="S776" s="103">
        <f t="shared" si="6"/>
        <v>0</v>
      </c>
      <c r="U776" s="107" t="str">
        <f t="shared" si="7"/>
        <v>0</v>
      </c>
    </row>
    <row r="777" ht="15.75" customHeight="1">
      <c r="A777" s="279"/>
      <c r="B777" s="280"/>
      <c r="C777" s="280"/>
      <c r="D777" s="280"/>
      <c r="E777" s="281"/>
      <c r="F777" s="281"/>
      <c r="G777" s="280"/>
      <c r="H777" s="282"/>
      <c r="I777" s="283"/>
      <c r="J777" s="280"/>
      <c r="K777" s="103"/>
      <c r="L777" s="146"/>
      <c r="M777" s="103"/>
      <c r="N777" s="103"/>
      <c r="O777" s="103">
        <f t="shared" si="3"/>
        <v>0</v>
      </c>
      <c r="P777" s="104">
        <f t="shared" si="4"/>
        <v>0</v>
      </c>
      <c r="Q777" s="147"/>
      <c r="R777" s="103"/>
      <c r="S777" s="103">
        <f t="shared" si="6"/>
        <v>0</v>
      </c>
      <c r="U777" s="107" t="str">
        <f t="shared" si="7"/>
        <v>0</v>
      </c>
    </row>
    <row r="778" ht="15.75" customHeight="1">
      <c r="A778" s="279"/>
      <c r="B778" s="280"/>
      <c r="C778" s="280"/>
      <c r="D778" s="280"/>
      <c r="E778" s="281"/>
      <c r="F778" s="281"/>
      <c r="G778" s="280"/>
      <c r="H778" s="282"/>
      <c r="I778" s="283"/>
      <c r="J778" s="280"/>
      <c r="K778" s="103"/>
      <c r="L778" s="146"/>
      <c r="M778" s="103"/>
      <c r="N778" s="103"/>
      <c r="O778" s="103">
        <f t="shared" si="3"/>
        <v>0</v>
      </c>
      <c r="P778" s="104">
        <f t="shared" si="4"/>
        <v>0</v>
      </c>
      <c r="Q778" s="147"/>
      <c r="R778" s="103"/>
      <c r="S778" s="103">
        <f t="shared" si="6"/>
        <v>0</v>
      </c>
      <c r="U778" s="107" t="str">
        <f t="shared" si="7"/>
        <v>0</v>
      </c>
    </row>
    <row r="779" ht="15.75" customHeight="1">
      <c r="A779" s="279"/>
      <c r="B779" s="280"/>
      <c r="C779" s="280"/>
      <c r="D779" s="280"/>
      <c r="E779" s="281"/>
      <c r="F779" s="281"/>
      <c r="G779" s="280"/>
      <c r="H779" s="282"/>
      <c r="I779" s="283"/>
      <c r="J779" s="280"/>
      <c r="K779" s="103"/>
      <c r="L779" s="146"/>
      <c r="M779" s="103"/>
      <c r="N779" s="103"/>
      <c r="O779" s="103">
        <f t="shared" si="3"/>
        <v>0</v>
      </c>
      <c r="P779" s="104">
        <f t="shared" si="4"/>
        <v>0</v>
      </c>
      <c r="Q779" s="147"/>
      <c r="R779" s="103"/>
      <c r="S779" s="103">
        <f t="shared" si="6"/>
        <v>0</v>
      </c>
      <c r="U779" s="107" t="str">
        <f t="shared" si="7"/>
        <v>0</v>
      </c>
    </row>
    <row r="780" ht="15.75" customHeight="1">
      <c r="A780" s="279"/>
      <c r="B780" s="280"/>
      <c r="C780" s="280"/>
      <c r="D780" s="280"/>
      <c r="E780" s="281"/>
      <c r="F780" s="281"/>
      <c r="G780" s="280"/>
      <c r="H780" s="282"/>
      <c r="I780" s="283"/>
      <c r="J780" s="280"/>
      <c r="K780" s="103"/>
      <c r="L780" s="146"/>
      <c r="M780" s="103"/>
      <c r="N780" s="103"/>
      <c r="O780" s="103">
        <f t="shared" si="3"/>
        <v>0</v>
      </c>
      <c r="P780" s="104">
        <f t="shared" si="4"/>
        <v>0</v>
      </c>
      <c r="Q780" s="147"/>
      <c r="R780" s="103"/>
      <c r="S780" s="103">
        <f t="shared" si="6"/>
        <v>0</v>
      </c>
      <c r="U780" s="107" t="str">
        <f t="shared" si="7"/>
        <v>0</v>
      </c>
    </row>
    <row r="781" ht="15.75" customHeight="1">
      <c r="A781" s="279"/>
      <c r="B781" s="280"/>
      <c r="C781" s="280"/>
      <c r="D781" s="280"/>
      <c r="E781" s="281"/>
      <c r="F781" s="281"/>
      <c r="G781" s="280"/>
      <c r="H781" s="282"/>
      <c r="I781" s="283"/>
      <c r="J781" s="280"/>
      <c r="K781" s="103"/>
      <c r="L781" s="146"/>
      <c r="M781" s="103"/>
      <c r="N781" s="103"/>
      <c r="O781" s="103">
        <f t="shared" si="3"/>
        <v>0</v>
      </c>
      <c r="P781" s="104">
        <f t="shared" si="4"/>
        <v>0</v>
      </c>
      <c r="Q781" s="147"/>
      <c r="R781" s="103"/>
      <c r="S781" s="103">
        <f t="shared" si="6"/>
        <v>0</v>
      </c>
      <c r="U781" s="107" t="str">
        <f t="shared" si="7"/>
        <v>0</v>
      </c>
    </row>
    <row r="782" ht="15.75" customHeight="1">
      <c r="A782" s="279"/>
      <c r="B782" s="280"/>
      <c r="C782" s="280"/>
      <c r="D782" s="280"/>
      <c r="E782" s="281"/>
      <c r="F782" s="281"/>
      <c r="G782" s="280"/>
      <c r="H782" s="282"/>
      <c r="I782" s="283"/>
      <c r="J782" s="280"/>
      <c r="K782" s="103"/>
      <c r="L782" s="146"/>
      <c r="M782" s="103"/>
      <c r="N782" s="103"/>
      <c r="O782" s="103">
        <f t="shared" si="3"/>
        <v>0</v>
      </c>
      <c r="P782" s="104">
        <f t="shared" si="4"/>
        <v>0</v>
      </c>
      <c r="Q782" s="147"/>
      <c r="R782" s="103"/>
      <c r="S782" s="103">
        <f t="shared" si="6"/>
        <v>0</v>
      </c>
      <c r="U782" s="107" t="str">
        <f t="shared" si="7"/>
        <v>0</v>
      </c>
    </row>
    <row r="783" ht="15.75" customHeight="1">
      <c r="A783" s="279"/>
      <c r="B783" s="280"/>
      <c r="C783" s="280"/>
      <c r="D783" s="280"/>
      <c r="E783" s="281"/>
      <c r="F783" s="281"/>
      <c r="G783" s="280"/>
      <c r="H783" s="282"/>
      <c r="I783" s="283"/>
      <c r="J783" s="280"/>
      <c r="K783" s="103"/>
      <c r="L783" s="146"/>
      <c r="M783" s="103"/>
      <c r="N783" s="103"/>
      <c r="O783" s="103">
        <f t="shared" si="3"/>
        <v>0</v>
      </c>
      <c r="P783" s="104">
        <f t="shared" si="4"/>
        <v>0</v>
      </c>
      <c r="Q783" s="147"/>
      <c r="R783" s="103"/>
      <c r="S783" s="103">
        <f t="shared" si="6"/>
        <v>0</v>
      </c>
      <c r="U783" s="107" t="str">
        <f t="shared" si="7"/>
        <v>0</v>
      </c>
    </row>
    <row r="784" ht="15.75" customHeight="1">
      <c r="A784" s="279"/>
      <c r="B784" s="280"/>
      <c r="C784" s="280"/>
      <c r="D784" s="280"/>
      <c r="E784" s="281"/>
      <c r="F784" s="281"/>
      <c r="G784" s="280"/>
      <c r="H784" s="282"/>
      <c r="I784" s="283"/>
      <c r="J784" s="280"/>
      <c r="K784" s="103"/>
      <c r="L784" s="146"/>
      <c r="M784" s="103"/>
      <c r="N784" s="103"/>
      <c r="O784" s="103">
        <f t="shared" si="3"/>
        <v>0</v>
      </c>
      <c r="P784" s="104">
        <f t="shared" si="4"/>
        <v>0</v>
      </c>
      <c r="Q784" s="147"/>
      <c r="R784" s="103"/>
      <c r="S784" s="103">
        <f t="shared" si="6"/>
        <v>0</v>
      </c>
      <c r="U784" s="107" t="str">
        <f t="shared" si="7"/>
        <v>0</v>
      </c>
    </row>
    <row r="785" ht="15.75" customHeight="1">
      <c r="A785" s="279"/>
      <c r="B785" s="280"/>
      <c r="C785" s="280"/>
      <c r="D785" s="280"/>
      <c r="E785" s="281"/>
      <c r="F785" s="281"/>
      <c r="G785" s="280"/>
      <c r="H785" s="282"/>
      <c r="I785" s="283"/>
      <c r="J785" s="280"/>
      <c r="K785" s="103"/>
      <c r="L785" s="146"/>
      <c r="M785" s="103"/>
      <c r="N785" s="103"/>
      <c r="O785" s="103">
        <f t="shared" si="3"/>
        <v>0</v>
      </c>
      <c r="P785" s="104">
        <f t="shared" si="4"/>
        <v>0</v>
      </c>
      <c r="Q785" s="147"/>
      <c r="R785" s="103"/>
      <c r="S785" s="103">
        <f t="shared" si="6"/>
        <v>0</v>
      </c>
      <c r="U785" s="107" t="str">
        <f t="shared" si="7"/>
        <v>0</v>
      </c>
    </row>
    <row r="786" ht="15.75" customHeight="1">
      <c r="A786" s="279"/>
      <c r="B786" s="280"/>
      <c r="C786" s="280"/>
      <c r="D786" s="280"/>
      <c r="E786" s="281"/>
      <c r="F786" s="281"/>
      <c r="G786" s="280"/>
      <c r="H786" s="282"/>
      <c r="I786" s="283"/>
      <c r="J786" s="280"/>
      <c r="K786" s="103"/>
      <c r="L786" s="146"/>
      <c r="M786" s="103"/>
      <c r="N786" s="103"/>
      <c r="O786" s="103">
        <f t="shared" si="3"/>
        <v>0</v>
      </c>
      <c r="P786" s="104">
        <f t="shared" si="4"/>
        <v>0</v>
      </c>
      <c r="Q786" s="147"/>
      <c r="R786" s="103"/>
      <c r="S786" s="103">
        <f t="shared" si="6"/>
        <v>0</v>
      </c>
      <c r="U786" s="107" t="str">
        <f t="shared" si="7"/>
        <v>0</v>
      </c>
    </row>
    <row r="787" ht="15.75" customHeight="1">
      <c r="A787" s="279"/>
      <c r="B787" s="280"/>
      <c r="C787" s="280"/>
      <c r="D787" s="280"/>
      <c r="E787" s="281"/>
      <c r="F787" s="281"/>
      <c r="G787" s="280"/>
      <c r="H787" s="282"/>
      <c r="I787" s="283"/>
      <c r="J787" s="280"/>
      <c r="K787" s="103"/>
      <c r="L787" s="146"/>
      <c r="M787" s="103"/>
      <c r="N787" s="103"/>
      <c r="O787" s="103">
        <f t="shared" si="3"/>
        <v>0</v>
      </c>
      <c r="P787" s="104">
        <f t="shared" si="4"/>
        <v>0</v>
      </c>
      <c r="Q787" s="147"/>
      <c r="R787" s="103"/>
      <c r="S787" s="103">
        <f t="shared" si="6"/>
        <v>0</v>
      </c>
      <c r="U787" s="107" t="str">
        <f t="shared" si="7"/>
        <v>0</v>
      </c>
    </row>
    <row r="788" ht="15.75" customHeight="1">
      <c r="A788" s="279"/>
      <c r="B788" s="280"/>
      <c r="C788" s="280"/>
      <c r="D788" s="280"/>
      <c r="E788" s="281"/>
      <c r="F788" s="281"/>
      <c r="G788" s="280"/>
      <c r="H788" s="282"/>
      <c r="I788" s="283"/>
      <c r="J788" s="280"/>
      <c r="K788" s="103"/>
      <c r="L788" s="146"/>
      <c r="M788" s="103"/>
      <c r="N788" s="103"/>
      <c r="O788" s="103">
        <f t="shared" si="3"/>
        <v>0</v>
      </c>
      <c r="P788" s="104">
        <f t="shared" si="4"/>
        <v>0</v>
      </c>
      <c r="Q788" s="147"/>
      <c r="R788" s="103"/>
      <c r="S788" s="103">
        <f t="shared" si="6"/>
        <v>0</v>
      </c>
      <c r="U788" s="107" t="str">
        <f t="shared" si="7"/>
        <v>0</v>
      </c>
    </row>
    <row r="789" ht="15.75" customHeight="1">
      <c r="A789" s="279"/>
      <c r="B789" s="280"/>
      <c r="C789" s="280"/>
      <c r="D789" s="280"/>
      <c r="E789" s="281"/>
      <c r="F789" s="281"/>
      <c r="G789" s="280"/>
      <c r="H789" s="282"/>
      <c r="I789" s="283"/>
      <c r="J789" s="280"/>
      <c r="K789" s="103"/>
      <c r="L789" s="146"/>
      <c r="M789" s="103"/>
      <c r="N789" s="103"/>
      <c r="O789" s="103">
        <f t="shared" si="3"/>
        <v>0</v>
      </c>
      <c r="P789" s="104">
        <f t="shared" si="4"/>
        <v>0</v>
      </c>
      <c r="Q789" s="147"/>
      <c r="R789" s="103"/>
      <c r="S789" s="103">
        <f t="shared" si="6"/>
        <v>0</v>
      </c>
      <c r="U789" s="107" t="str">
        <f t="shared" si="7"/>
        <v>0</v>
      </c>
    </row>
    <row r="790" ht="15.75" customHeight="1">
      <c r="A790" s="279"/>
      <c r="B790" s="280"/>
      <c r="C790" s="280"/>
      <c r="D790" s="280"/>
      <c r="E790" s="281"/>
      <c r="F790" s="281"/>
      <c r="G790" s="280"/>
      <c r="H790" s="282"/>
      <c r="I790" s="283"/>
      <c r="J790" s="280"/>
      <c r="K790" s="103"/>
      <c r="L790" s="146"/>
      <c r="M790" s="103"/>
      <c r="N790" s="103"/>
      <c r="O790" s="103">
        <f t="shared" si="3"/>
        <v>0</v>
      </c>
      <c r="P790" s="104">
        <f t="shared" si="4"/>
        <v>0</v>
      </c>
      <c r="Q790" s="147"/>
      <c r="R790" s="103"/>
      <c r="S790" s="103">
        <f t="shared" si="6"/>
        <v>0</v>
      </c>
      <c r="U790" s="107" t="str">
        <f t="shared" si="7"/>
        <v>0</v>
      </c>
    </row>
    <row r="791" ht="15.75" customHeight="1">
      <c r="A791" s="279"/>
      <c r="B791" s="280"/>
      <c r="C791" s="280"/>
      <c r="D791" s="280"/>
      <c r="E791" s="281"/>
      <c r="F791" s="281"/>
      <c r="G791" s="280"/>
      <c r="H791" s="282"/>
      <c r="I791" s="283"/>
      <c r="J791" s="280"/>
      <c r="K791" s="103"/>
      <c r="L791" s="146"/>
      <c r="M791" s="103"/>
      <c r="N791" s="103"/>
      <c r="O791" s="103">
        <f t="shared" si="3"/>
        <v>0</v>
      </c>
      <c r="P791" s="104">
        <f t="shared" si="4"/>
        <v>0</v>
      </c>
      <c r="Q791" s="147"/>
      <c r="R791" s="103"/>
      <c r="S791" s="103">
        <f t="shared" si="6"/>
        <v>0</v>
      </c>
      <c r="U791" s="107" t="str">
        <f t="shared" si="7"/>
        <v>0</v>
      </c>
    </row>
    <row r="792" ht="15.75" customHeight="1">
      <c r="A792" s="279"/>
      <c r="B792" s="280"/>
      <c r="C792" s="280"/>
      <c r="D792" s="280"/>
      <c r="E792" s="281"/>
      <c r="F792" s="281"/>
      <c r="G792" s="280"/>
      <c r="H792" s="282"/>
      <c r="I792" s="283"/>
      <c r="J792" s="280"/>
      <c r="K792" s="103"/>
      <c r="L792" s="146"/>
      <c r="M792" s="103"/>
      <c r="N792" s="103"/>
      <c r="O792" s="103">
        <f t="shared" si="3"/>
        <v>0</v>
      </c>
      <c r="P792" s="104">
        <f t="shared" si="4"/>
        <v>0</v>
      </c>
      <c r="Q792" s="147"/>
      <c r="R792" s="103"/>
      <c r="S792" s="103">
        <f t="shared" si="6"/>
        <v>0</v>
      </c>
      <c r="U792" s="107" t="str">
        <f t="shared" si="7"/>
        <v>0</v>
      </c>
    </row>
    <row r="793" ht="15.75" customHeight="1">
      <c r="A793" s="279"/>
      <c r="B793" s="280"/>
      <c r="C793" s="280"/>
      <c r="D793" s="280"/>
      <c r="E793" s="281"/>
      <c r="F793" s="281"/>
      <c r="G793" s="280"/>
      <c r="H793" s="282"/>
      <c r="I793" s="283"/>
      <c r="J793" s="280"/>
      <c r="K793" s="103"/>
      <c r="L793" s="146"/>
      <c r="M793" s="103"/>
      <c r="N793" s="103"/>
      <c r="O793" s="103">
        <f t="shared" si="3"/>
        <v>0</v>
      </c>
      <c r="P793" s="104">
        <f t="shared" si="4"/>
        <v>0</v>
      </c>
      <c r="Q793" s="147"/>
      <c r="R793" s="103"/>
      <c r="S793" s="103">
        <f t="shared" si="6"/>
        <v>0</v>
      </c>
      <c r="U793" s="107" t="str">
        <f t="shared" si="7"/>
        <v>0</v>
      </c>
    </row>
    <row r="794" ht="15.75" customHeight="1">
      <c r="A794" s="279"/>
      <c r="B794" s="280"/>
      <c r="C794" s="280"/>
      <c r="D794" s="280"/>
      <c r="E794" s="281"/>
      <c r="F794" s="281"/>
      <c r="G794" s="280"/>
      <c r="H794" s="282"/>
      <c r="I794" s="283"/>
      <c r="J794" s="280"/>
      <c r="K794" s="103"/>
      <c r="L794" s="146"/>
      <c r="M794" s="103"/>
      <c r="N794" s="103"/>
      <c r="O794" s="103">
        <f t="shared" si="3"/>
        <v>0</v>
      </c>
      <c r="P794" s="104">
        <f t="shared" si="4"/>
        <v>0</v>
      </c>
      <c r="Q794" s="147"/>
      <c r="R794" s="103"/>
      <c r="S794" s="103">
        <f t="shared" si="6"/>
        <v>0</v>
      </c>
      <c r="U794" s="107" t="str">
        <f t="shared" si="7"/>
        <v>0</v>
      </c>
    </row>
    <row r="795" ht="15.75" customHeight="1">
      <c r="A795" s="279"/>
      <c r="B795" s="280"/>
      <c r="C795" s="280"/>
      <c r="D795" s="280"/>
      <c r="E795" s="281"/>
      <c r="F795" s="281"/>
      <c r="G795" s="280"/>
      <c r="H795" s="282"/>
      <c r="I795" s="283"/>
      <c r="J795" s="280"/>
      <c r="K795" s="103"/>
      <c r="L795" s="146"/>
      <c r="M795" s="103"/>
      <c r="N795" s="103"/>
      <c r="O795" s="103">
        <f t="shared" si="3"/>
        <v>0</v>
      </c>
      <c r="P795" s="104">
        <f t="shared" si="4"/>
        <v>0</v>
      </c>
      <c r="Q795" s="147"/>
      <c r="R795" s="103"/>
      <c r="S795" s="103">
        <f t="shared" si="6"/>
        <v>0</v>
      </c>
      <c r="U795" s="107" t="str">
        <f t="shared" si="7"/>
        <v>0</v>
      </c>
    </row>
    <row r="796" ht="15.75" customHeight="1">
      <c r="A796" s="279"/>
      <c r="B796" s="280"/>
      <c r="C796" s="280"/>
      <c r="D796" s="280"/>
      <c r="E796" s="281"/>
      <c r="F796" s="281"/>
      <c r="G796" s="280"/>
      <c r="H796" s="282"/>
      <c r="I796" s="283"/>
      <c r="J796" s="280"/>
      <c r="K796" s="103"/>
      <c r="L796" s="146"/>
      <c r="M796" s="103"/>
      <c r="N796" s="103"/>
      <c r="O796" s="103">
        <f t="shared" si="3"/>
        <v>0</v>
      </c>
      <c r="P796" s="104">
        <f t="shared" si="4"/>
        <v>0</v>
      </c>
      <c r="Q796" s="147"/>
      <c r="R796" s="103"/>
      <c r="S796" s="103">
        <f t="shared" si="6"/>
        <v>0</v>
      </c>
      <c r="U796" s="107" t="str">
        <f t="shared" si="7"/>
        <v>0</v>
      </c>
    </row>
    <row r="797" ht="15.75" customHeight="1">
      <c r="A797" s="279"/>
      <c r="B797" s="280"/>
      <c r="C797" s="280"/>
      <c r="D797" s="280"/>
      <c r="E797" s="281"/>
      <c r="F797" s="281"/>
      <c r="G797" s="280"/>
      <c r="H797" s="282"/>
      <c r="I797" s="283"/>
      <c r="J797" s="280"/>
      <c r="K797" s="103"/>
      <c r="L797" s="146"/>
      <c r="M797" s="103"/>
      <c r="N797" s="103"/>
      <c r="O797" s="103">
        <f t="shared" si="3"/>
        <v>0</v>
      </c>
      <c r="P797" s="104">
        <f t="shared" si="4"/>
        <v>0</v>
      </c>
      <c r="Q797" s="147"/>
      <c r="R797" s="103"/>
      <c r="S797" s="103">
        <f t="shared" si="6"/>
        <v>0</v>
      </c>
      <c r="U797" s="107" t="str">
        <f t="shared" si="7"/>
        <v>0</v>
      </c>
    </row>
    <row r="798" ht="15.75" customHeight="1">
      <c r="A798" s="279"/>
      <c r="B798" s="280"/>
      <c r="C798" s="280"/>
      <c r="D798" s="280"/>
      <c r="E798" s="281"/>
      <c r="F798" s="281"/>
      <c r="G798" s="280"/>
      <c r="H798" s="282"/>
      <c r="I798" s="283"/>
      <c r="J798" s="280"/>
      <c r="K798" s="103"/>
      <c r="L798" s="146"/>
      <c r="M798" s="103"/>
      <c r="N798" s="103"/>
      <c r="O798" s="103">
        <f t="shared" si="3"/>
        <v>0</v>
      </c>
      <c r="P798" s="104">
        <f t="shared" si="4"/>
        <v>0</v>
      </c>
      <c r="Q798" s="147"/>
      <c r="R798" s="103"/>
      <c r="S798" s="103">
        <f t="shared" si="6"/>
        <v>0</v>
      </c>
      <c r="U798" s="107" t="str">
        <f t="shared" si="7"/>
        <v>0</v>
      </c>
    </row>
    <row r="799" ht="15.75" customHeight="1">
      <c r="A799" s="279"/>
      <c r="B799" s="280"/>
      <c r="C799" s="280"/>
      <c r="D799" s="280"/>
      <c r="E799" s="281"/>
      <c r="F799" s="281"/>
      <c r="G799" s="280"/>
      <c r="H799" s="282"/>
      <c r="I799" s="283"/>
      <c r="J799" s="280"/>
      <c r="K799" s="103"/>
      <c r="L799" s="146"/>
      <c r="M799" s="103"/>
      <c r="N799" s="103"/>
      <c r="O799" s="103">
        <f t="shared" si="3"/>
        <v>0</v>
      </c>
      <c r="P799" s="104">
        <f t="shared" si="4"/>
        <v>0</v>
      </c>
      <c r="Q799" s="147"/>
      <c r="R799" s="103"/>
      <c r="S799" s="103">
        <f t="shared" si="6"/>
        <v>0</v>
      </c>
      <c r="U799" s="107" t="str">
        <f t="shared" si="7"/>
        <v>0</v>
      </c>
    </row>
    <row r="800" ht="15.75" customHeight="1">
      <c r="A800" s="279"/>
      <c r="B800" s="280"/>
      <c r="C800" s="280"/>
      <c r="D800" s="280"/>
      <c r="E800" s="281"/>
      <c r="F800" s="281"/>
      <c r="G800" s="280"/>
      <c r="H800" s="282"/>
      <c r="I800" s="283"/>
      <c r="J800" s="280"/>
      <c r="K800" s="103"/>
      <c r="L800" s="146"/>
      <c r="M800" s="103"/>
      <c r="N800" s="103"/>
      <c r="O800" s="103">
        <f t="shared" si="3"/>
        <v>0</v>
      </c>
      <c r="P800" s="104">
        <f t="shared" si="4"/>
        <v>0</v>
      </c>
      <c r="Q800" s="147"/>
      <c r="R800" s="103"/>
      <c r="S800" s="103">
        <f t="shared" si="6"/>
        <v>0</v>
      </c>
      <c r="U800" s="107" t="str">
        <f t="shared" si="7"/>
        <v>0</v>
      </c>
    </row>
    <row r="801" ht="15.75" customHeight="1">
      <c r="A801" s="279"/>
      <c r="B801" s="280"/>
      <c r="C801" s="280"/>
      <c r="D801" s="280"/>
      <c r="E801" s="281"/>
      <c r="F801" s="281"/>
      <c r="G801" s="280"/>
      <c r="H801" s="282"/>
      <c r="I801" s="283"/>
      <c r="J801" s="280"/>
      <c r="K801" s="103"/>
      <c r="L801" s="146"/>
      <c r="M801" s="103"/>
      <c r="N801" s="103"/>
      <c r="O801" s="103">
        <f t="shared" si="3"/>
        <v>0</v>
      </c>
      <c r="P801" s="104">
        <f t="shared" si="4"/>
        <v>0</v>
      </c>
      <c r="Q801" s="147"/>
      <c r="R801" s="103"/>
      <c r="S801" s="103">
        <f t="shared" si="6"/>
        <v>0</v>
      </c>
      <c r="U801" s="107" t="str">
        <f t="shared" si="7"/>
        <v>0</v>
      </c>
    </row>
    <row r="802" ht="15.75" customHeight="1">
      <c r="A802" s="279"/>
      <c r="B802" s="280"/>
      <c r="C802" s="280"/>
      <c r="D802" s="280"/>
      <c r="E802" s="281"/>
      <c r="F802" s="281"/>
      <c r="G802" s="280"/>
      <c r="H802" s="282"/>
      <c r="I802" s="283"/>
      <c r="J802" s="280"/>
      <c r="K802" s="103"/>
      <c r="L802" s="146"/>
      <c r="M802" s="103"/>
      <c r="N802" s="103"/>
      <c r="O802" s="103">
        <f t="shared" si="3"/>
        <v>0</v>
      </c>
      <c r="P802" s="104">
        <f t="shared" si="4"/>
        <v>0</v>
      </c>
      <c r="Q802" s="147"/>
      <c r="R802" s="103"/>
      <c r="S802" s="103">
        <f t="shared" si="6"/>
        <v>0</v>
      </c>
      <c r="U802" s="107" t="str">
        <f t="shared" si="7"/>
        <v>0</v>
      </c>
    </row>
    <row r="803" ht="15.75" customHeight="1">
      <c r="A803" s="279"/>
      <c r="B803" s="280"/>
      <c r="C803" s="280"/>
      <c r="D803" s="280"/>
      <c r="E803" s="281"/>
      <c r="F803" s="281"/>
      <c r="G803" s="280"/>
      <c r="H803" s="282"/>
      <c r="I803" s="283"/>
      <c r="J803" s="280"/>
      <c r="K803" s="103"/>
      <c r="L803" s="146"/>
      <c r="M803" s="103"/>
      <c r="N803" s="103"/>
      <c r="O803" s="103">
        <f t="shared" si="3"/>
        <v>0</v>
      </c>
      <c r="P803" s="104">
        <f t="shared" si="4"/>
        <v>0</v>
      </c>
      <c r="Q803" s="147"/>
      <c r="R803" s="103"/>
      <c r="S803" s="103">
        <f t="shared" si="6"/>
        <v>0</v>
      </c>
      <c r="U803" s="107" t="str">
        <f t="shared" si="7"/>
        <v>0</v>
      </c>
    </row>
    <row r="804" ht="15.75" customHeight="1">
      <c r="A804" s="279"/>
      <c r="B804" s="280"/>
      <c r="C804" s="280"/>
      <c r="D804" s="280"/>
      <c r="E804" s="281"/>
      <c r="F804" s="281"/>
      <c r="G804" s="280"/>
      <c r="H804" s="282"/>
      <c r="I804" s="283"/>
      <c r="J804" s="280"/>
      <c r="K804" s="103"/>
      <c r="L804" s="146"/>
      <c r="M804" s="103"/>
      <c r="N804" s="103"/>
      <c r="O804" s="103">
        <f t="shared" si="3"/>
        <v>0</v>
      </c>
      <c r="P804" s="104">
        <f t="shared" si="4"/>
        <v>0</v>
      </c>
      <c r="Q804" s="147"/>
      <c r="R804" s="103"/>
      <c r="S804" s="103">
        <f t="shared" si="6"/>
        <v>0</v>
      </c>
      <c r="U804" s="107" t="str">
        <f t="shared" si="7"/>
        <v>0</v>
      </c>
    </row>
    <row r="805" ht="15.75" customHeight="1">
      <c r="A805" s="279"/>
      <c r="B805" s="280"/>
      <c r="C805" s="280"/>
      <c r="D805" s="280"/>
      <c r="E805" s="281"/>
      <c r="F805" s="281"/>
      <c r="G805" s="280"/>
      <c r="H805" s="282"/>
      <c r="I805" s="283"/>
      <c r="J805" s="280"/>
      <c r="K805" s="103"/>
      <c r="L805" s="146"/>
      <c r="M805" s="103"/>
      <c r="N805" s="103"/>
      <c r="O805" s="103">
        <f t="shared" si="3"/>
        <v>0</v>
      </c>
      <c r="P805" s="104">
        <f t="shared" si="4"/>
        <v>0</v>
      </c>
      <c r="Q805" s="147"/>
      <c r="R805" s="103"/>
      <c r="S805" s="103">
        <f t="shared" si="6"/>
        <v>0</v>
      </c>
      <c r="U805" s="107" t="str">
        <f t="shared" si="7"/>
        <v>0</v>
      </c>
    </row>
    <row r="806" ht="15.75" customHeight="1">
      <c r="A806" s="279"/>
      <c r="B806" s="280"/>
      <c r="C806" s="280"/>
      <c r="D806" s="280"/>
      <c r="E806" s="281"/>
      <c r="F806" s="281"/>
      <c r="G806" s="280"/>
      <c r="H806" s="282"/>
      <c r="I806" s="283"/>
      <c r="J806" s="280"/>
      <c r="K806" s="103"/>
      <c r="L806" s="146"/>
      <c r="M806" s="103"/>
      <c r="N806" s="103"/>
      <c r="O806" s="103">
        <f t="shared" si="3"/>
        <v>0</v>
      </c>
      <c r="P806" s="104">
        <f t="shared" si="4"/>
        <v>0</v>
      </c>
      <c r="Q806" s="147"/>
      <c r="R806" s="103"/>
      <c r="S806" s="103">
        <f t="shared" si="6"/>
        <v>0</v>
      </c>
      <c r="U806" s="107" t="str">
        <f t="shared" si="7"/>
        <v>0</v>
      </c>
    </row>
    <row r="807" ht="15.75" customHeight="1">
      <c r="A807" s="279"/>
      <c r="B807" s="280"/>
      <c r="C807" s="280"/>
      <c r="D807" s="280"/>
      <c r="E807" s="281"/>
      <c r="F807" s="281"/>
      <c r="G807" s="280"/>
      <c r="H807" s="282"/>
      <c r="I807" s="283"/>
      <c r="J807" s="280"/>
      <c r="K807" s="103"/>
      <c r="L807" s="146"/>
      <c r="M807" s="103"/>
      <c r="N807" s="103"/>
      <c r="O807" s="103">
        <f t="shared" si="3"/>
        <v>0</v>
      </c>
      <c r="P807" s="104">
        <f t="shared" si="4"/>
        <v>0</v>
      </c>
      <c r="Q807" s="147"/>
      <c r="R807" s="103"/>
      <c r="S807" s="103">
        <f t="shared" si="6"/>
        <v>0</v>
      </c>
      <c r="U807" s="107" t="str">
        <f t="shared" si="7"/>
        <v>0</v>
      </c>
    </row>
    <row r="808" ht="15.75" customHeight="1">
      <c r="A808" s="279"/>
      <c r="B808" s="280"/>
      <c r="C808" s="280"/>
      <c r="D808" s="280"/>
      <c r="E808" s="281"/>
      <c r="F808" s="281"/>
      <c r="G808" s="280"/>
      <c r="H808" s="282"/>
      <c r="I808" s="283"/>
      <c r="J808" s="280"/>
      <c r="K808" s="103"/>
      <c r="L808" s="146"/>
      <c r="M808" s="103"/>
      <c r="N808" s="103"/>
      <c r="O808" s="103">
        <f t="shared" si="3"/>
        <v>0</v>
      </c>
      <c r="P808" s="104">
        <f t="shared" si="4"/>
        <v>0</v>
      </c>
      <c r="Q808" s="147"/>
      <c r="R808" s="103"/>
      <c r="S808" s="103">
        <f t="shared" si="6"/>
        <v>0</v>
      </c>
      <c r="U808" s="107" t="str">
        <f t="shared" si="7"/>
        <v>0</v>
      </c>
    </row>
    <row r="809" ht="15.75" customHeight="1">
      <c r="A809" s="279"/>
      <c r="B809" s="280"/>
      <c r="C809" s="280"/>
      <c r="D809" s="280"/>
      <c r="E809" s="281"/>
      <c r="F809" s="281"/>
      <c r="G809" s="280"/>
      <c r="H809" s="282"/>
      <c r="I809" s="283"/>
      <c r="J809" s="280"/>
      <c r="K809" s="103"/>
      <c r="L809" s="146"/>
      <c r="M809" s="103"/>
      <c r="N809" s="103"/>
      <c r="O809" s="103">
        <f t="shared" si="3"/>
        <v>0</v>
      </c>
      <c r="P809" s="104">
        <f t="shared" si="4"/>
        <v>0</v>
      </c>
      <c r="Q809" s="147"/>
      <c r="R809" s="103"/>
      <c r="S809" s="103">
        <f t="shared" si="6"/>
        <v>0</v>
      </c>
      <c r="U809" s="107" t="str">
        <f t="shared" si="7"/>
        <v>0</v>
      </c>
    </row>
    <row r="810" ht="15.75" customHeight="1">
      <c r="A810" s="279"/>
      <c r="B810" s="280"/>
      <c r="C810" s="280"/>
      <c r="D810" s="280"/>
      <c r="E810" s="281"/>
      <c r="F810" s="281"/>
      <c r="G810" s="280"/>
      <c r="H810" s="282"/>
      <c r="I810" s="283"/>
      <c r="J810" s="280"/>
      <c r="K810" s="103"/>
      <c r="L810" s="146"/>
      <c r="M810" s="103"/>
      <c r="N810" s="103"/>
      <c r="O810" s="103">
        <f t="shared" si="3"/>
        <v>0</v>
      </c>
      <c r="P810" s="104">
        <f t="shared" si="4"/>
        <v>0</v>
      </c>
      <c r="Q810" s="147"/>
      <c r="R810" s="103"/>
      <c r="S810" s="103">
        <f t="shared" si="6"/>
        <v>0</v>
      </c>
      <c r="U810" s="107" t="str">
        <f t="shared" si="7"/>
        <v>0</v>
      </c>
    </row>
    <row r="811" ht="15.75" customHeight="1">
      <c r="A811" s="279"/>
      <c r="B811" s="280"/>
      <c r="C811" s="280"/>
      <c r="D811" s="280"/>
      <c r="E811" s="281"/>
      <c r="F811" s="281"/>
      <c r="G811" s="280"/>
      <c r="H811" s="282"/>
      <c r="I811" s="283"/>
      <c r="J811" s="280"/>
      <c r="K811" s="103"/>
      <c r="L811" s="146"/>
      <c r="M811" s="103"/>
      <c r="N811" s="103"/>
      <c r="O811" s="103">
        <f t="shared" si="3"/>
        <v>0</v>
      </c>
      <c r="P811" s="104">
        <f t="shared" si="4"/>
        <v>0</v>
      </c>
      <c r="Q811" s="147"/>
      <c r="R811" s="103"/>
      <c r="S811" s="103">
        <f t="shared" si="6"/>
        <v>0</v>
      </c>
      <c r="U811" s="107" t="str">
        <f t="shared" si="7"/>
        <v>0</v>
      </c>
    </row>
    <row r="812" ht="15.75" customHeight="1">
      <c r="A812" s="279"/>
      <c r="B812" s="280"/>
      <c r="C812" s="280"/>
      <c r="D812" s="280"/>
      <c r="E812" s="281"/>
      <c r="F812" s="281"/>
      <c r="G812" s="280"/>
      <c r="H812" s="282"/>
      <c r="I812" s="283"/>
      <c r="J812" s="280"/>
      <c r="K812" s="103"/>
      <c r="L812" s="146"/>
      <c r="M812" s="103"/>
      <c r="N812" s="103"/>
      <c r="O812" s="103">
        <f t="shared" si="3"/>
        <v>0</v>
      </c>
      <c r="P812" s="104">
        <f t="shared" si="4"/>
        <v>0</v>
      </c>
      <c r="Q812" s="147"/>
      <c r="R812" s="103"/>
      <c r="S812" s="103">
        <f t="shared" si="6"/>
        <v>0</v>
      </c>
      <c r="U812" s="107" t="str">
        <f t="shared" si="7"/>
        <v>0</v>
      </c>
    </row>
    <row r="813" ht="15.75" customHeight="1">
      <c r="A813" s="279"/>
      <c r="B813" s="280"/>
      <c r="C813" s="280"/>
      <c r="D813" s="280"/>
      <c r="E813" s="281"/>
      <c r="F813" s="281"/>
      <c r="G813" s="280"/>
      <c r="H813" s="282"/>
      <c r="I813" s="283"/>
      <c r="J813" s="280"/>
      <c r="K813" s="103"/>
      <c r="L813" s="146"/>
      <c r="M813" s="103"/>
      <c r="N813" s="103"/>
      <c r="O813" s="103">
        <f t="shared" si="3"/>
        <v>0</v>
      </c>
      <c r="P813" s="104">
        <f t="shared" si="4"/>
        <v>0</v>
      </c>
      <c r="Q813" s="147"/>
      <c r="R813" s="103"/>
      <c r="S813" s="103">
        <f t="shared" si="6"/>
        <v>0</v>
      </c>
      <c r="U813" s="107" t="str">
        <f t="shared" si="7"/>
        <v>0</v>
      </c>
    </row>
    <row r="814" ht="15.75" customHeight="1">
      <c r="A814" s="279"/>
      <c r="B814" s="280"/>
      <c r="C814" s="280"/>
      <c r="D814" s="280"/>
      <c r="E814" s="281"/>
      <c r="F814" s="281"/>
      <c r="G814" s="280"/>
      <c r="H814" s="282"/>
      <c r="I814" s="283"/>
      <c r="J814" s="280"/>
      <c r="K814" s="103"/>
      <c r="L814" s="146"/>
      <c r="M814" s="103"/>
      <c r="N814" s="103"/>
      <c r="O814" s="103">
        <f t="shared" si="3"/>
        <v>0</v>
      </c>
      <c r="P814" s="104">
        <f t="shared" si="4"/>
        <v>0</v>
      </c>
      <c r="Q814" s="147"/>
      <c r="R814" s="103"/>
      <c r="S814" s="103">
        <f t="shared" si="6"/>
        <v>0</v>
      </c>
      <c r="U814" s="107" t="str">
        <f t="shared" si="7"/>
        <v>0</v>
      </c>
    </row>
    <row r="815" ht="15.75" customHeight="1">
      <c r="A815" s="279"/>
      <c r="B815" s="280"/>
      <c r="C815" s="280"/>
      <c r="D815" s="280"/>
      <c r="E815" s="281"/>
      <c r="F815" s="281"/>
      <c r="G815" s="280"/>
      <c r="H815" s="282"/>
      <c r="I815" s="283"/>
      <c r="J815" s="280"/>
      <c r="K815" s="103"/>
      <c r="L815" s="146"/>
      <c r="M815" s="103"/>
      <c r="N815" s="103"/>
      <c r="O815" s="103">
        <f t="shared" si="3"/>
        <v>0</v>
      </c>
      <c r="P815" s="104">
        <f t="shared" si="4"/>
        <v>0</v>
      </c>
      <c r="Q815" s="147"/>
      <c r="R815" s="103"/>
      <c r="S815" s="103">
        <f t="shared" si="6"/>
        <v>0</v>
      </c>
      <c r="U815" s="107" t="str">
        <f t="shared" si="7"/>
        <v>0</v>
      </c>
    </row>
    <row r="816" ht="15.75" customHeight="1">
      <c r="A816" s="279"/>
      <c r="B816" s="280"/>
      <c r="C816" s="280"/>
      <c r="D816" s="280"/>
      <c r="E816" s="281"/>
      <c r="F816" s="281"/>
      <c r="G816" s="280"/>
      <c r="H816" s="282"/>
      <c r="I816" s="283"/>
      <c r="J816" s="280"/>
      <c r="K816" s="103"/>
      <c r="L816" s="146"/>
      <c r="M816" s="103"/>
      <c r="N816" s="103"/>
      <c r="O816" s="103">
        <f t="shared" si="3"/>
        <v>0</v>
      </c>
      <c r="P816" s="104">
        <f t="shared" si="4"/>
        <v>0</v>
      </c>
      <c r="Q816" s="147"/>
      <c r="R816" s="103"/>
      <c r="S816" s="103">
        <f t="shared" si="6"/>
        <v>0</v>
      </c>
      <c r="U816" s="107" t="str">
        <f t="shared" si="7"/>
        <v>0</v>
      </c>
    </row>
    <row r="817" ht="15.75" customHeight="1">
      <c r="A817" s="279"/>
      <c r="B817" s="280"/>
      <c r="C817" s="280"/>
      <c r="D817" s="280"/>
      <c r="E817" s="281"/>
      <c r="F817" s="281"/>
      <c r="G817" s="280"/>
      <c r="H817" s="282"/>
      <c r="I817" s="283"/>
      <c r="J817" s="280"/>
      <c r="K817" s="103"/>
      <c r="L817" s="146"/>
      <c r="M817" s="103"/>
      <c r="N817" s="103"/>
      <c r="O817" s="103">
        <f t="shared" si="3"/>
        <v>0</v>
      </c>
      <c r="P817" s="104">
        <f t="shared" si="4"/>
        <v>0</v>
      </c>
      <c r="Q817" s="147"/>
      <c r="R817" s="103"/>
      <c r="S817" s="103">
        <f t="shared" si="6"/>
        <v>0</v>
      </c>
      <c r="U817" s="107" t="str">
        <f t="shared" si="7"/>
        <v>0</v>
      </c>
    </row>
    <row r="818" ht="15.75" customHeight="1">
      <c r="A818" s="279"/>
      <c r="B818" s="280"/>
      <c r="C818" s="280"/>
      <c r="D818" s="280"/>
      <c r="E818" s="281"/>
      <c r="F818" s="281"/>
      <c r="G818" s="280"/>
      <c r="H818" s="282"/>
      <c r="I818" s="283"/>
      <c r="J818" s="280"/>
      <c r="K818" s="103"/>
      <c r="L818" s="146"/>
      <c r="M818" s="103"/>
      <c r="N818" s="103"/>
      <c r="O818" s="103">
        <f t="shared" si="3"/>
        <v>0</v>
      </c>
      <c r="P818" s="104">
        <f t="shared" si="4"/>
        <v>0</v>
      </c>
      <c r="Q818" s="147"/>
      <c r="R818" s="103"/>
      <c r="S818" s="103">
        <f t="shared" si="6"/>
        <v>0</v>
      </c>
      <c r="U818" s="107" t="str">
        <f t="shared" si="7"/>
        <v>0</v>
      </c>
    </row>
    <row r="819" ht="15.75" customHeight="1">
      <c r="A819" s="279"/>
      <c r="B819" s="280"/>
      <c r="C819" s="280"/>
      <c r="D819" s="280"/>
      <c r="E819" s="281"/>
      <c r="F819" s="281"/>
      <c r="G819" s="280"/>
      <c r="H819" s="282"/>
      <c r="I819" s="283"/>
      <c r="J819" s="280"/>
      <c r="K819" s="103"/>
      <c r="L819" s="146"/>
      <c r="M819" s="103"/>
      <c r="N819" s="103"/>
      <c r="O819" s="103">
        <f t="shared" si="3"/>
        <v>0</v>
      </c>
      <c r="P819" s="104">
        <f t="shared" si="4"/>
        <v>0</v>
      </c>
      <c r="Q819" s="147"/>
      <c r="R819" s="103"/>
      <c r="S819" s="103">
        <f t="shared" si="6"/>
        <v>0</v>
      </c>
      <c r="U819" s="107" t="str">
        <f t="shared" si="7"/>
        <v>0</v>
      </c>
    </row>
    <row r="820" ht="15.75" customHeight="1">
      <c r="A820" s="279"/>
      <c r="B820" s="280"/>
      <c r="C820" s="280"/>
      <c r="D820" s="280"/>
      <c r="E820" s="281"/>
      <c r="F820" s="281"/>
      <c r="G820" s="280"/>
      <c r="H820" s="282"/>
      <c r="I820" s="283"/>
      <c r="J820" s="280"/>
      <c r="K820" s="103"/>
      <c r="L820" s="146"/>
      <c r="M820" s="103"/>
      <c r="N820" s="103"/>
      <c r="O820" s="103">
        <f t="shared" si="3"/>
        <v>0</v>
      </c>
      <c r="P820" s="104">
        <f t="shared" si="4"/>
        <v>0</v>
      </c>
      <c r="Q820" s="147"/>
      <c r="R820" s="103"/>
      <c r="S820" s="103">
        <f t="shared" si="6"/>
        <v>0</v>
      </c>
      <c r="U820" s="107" t="str">
        <f t="shared" si="7"/>
        <v>0</v>
      </c>
    </row>
    <row r="821" ht="15.75" customHeight="1">
      <c r="A821" s="279"/>
      <c r="B821" s="280"/>
      <c r="C821" s="280"/>
      <c r="D821" s="280"/>
      <c r="E821" s="281"/>
      <c r="F821" s="281"/>
      <c r="G821" s="280"/>
      <c r="H821" s="282"/>
      <c r="I821" s="283"/>
      <c r="J821" s="280"/>
      <c r="K821" s="103"/>
      <c r="L821" s="146"/>
      <c r="M821" s="103"/>
      <c r="N821" s="103"/>
      <c r="O821" s="103">
        <f t="shared" si="3"/>
        <v>0</v>
      </c>
      <c r="P821" s="104">
        <f t="shared" si="4"/>
        <v>0</v>
      </c>
      <c r="Q821" s="147"/>
      <c r="R821" s="103"/>
      <c r="S821" s="103">
        <f t="shared" si="6"/>
        <v>0</v>
      </c>
      <c r="U821" s="107" t="str">
        <f t="shared" si="7"/>
        <v>0</v>
      </c>
    </row>
    <row r="822" ht="15.75" customHeight="1">
      <c r="A822" s="279"/>
      <c r="B822" s="280"/>
      <c r="C822" s="280"/>
      <c r="D822" s="280"/>
      <c r="E822" s="281"/>
      <c r="F822" s="281"/>
      <c r="G822" s="280"/>
      <c r="H822" s="282"/>
      <c r="I822" s="283"/>
      <c r="J822" s="280"/>
      <c r="K822" s="103"/>
      <c r="L822" s="146"/>
      <c r="M822" s="103"/>
      <c r="N822" s="103"/>
      <c r="O822" s="103">
        <f t="shared" si="3"/>
        <v>0</v>
      </c>
      <c r="P822" s="104">
        <f t="shared" si="4"/>
        <v>0</v>
      </c>
      <c r="Q822" s="147"/>
      <c r="R822" s="103"/>
      <c r="S822" s="103">
        <f t="shared" si="6"/>
        <v>0</v>
      </c>
      <c r="U822" s="107" t="str">
        <f t="shared" si="7"/>
        <v>0</v>
      </c>
    </row>
    <row r="823" ht="15.75" customHeight="1">
      <c r="A823" s="279"/>
      <c r="B823" s="280"/>
      <c r="C823" s="280"/>
      <c r="D823" s="280"/>
      <c r="E823" s="281"/>
      <c r="F823" s="281"/>
      <c r="G823" s="280"/>
      <c r="H823" s="282"/>
      <c r="I823" s="283"/>
      <c r="J823" s="280"/>
      <c r="K823" s="103"/>
      <c r="L823" s="146"/>
      <c r="M823" s="103"/>
      <c r="N823" s="103"/>
      <c r="O823" s="103">
        <f t="shared" si="3"/>
        <v>0</v>
      </c>
      <c r="P823" s="104">
        <f t="shared" si="4"/>
        <v>0</v>
      </c>
      <c r="Q823" s="147"/>
      <c r="R823" s="103"/>
      <c r="S823" s="103">
        <f t="shared" si="6"/>
        <v>0</v>
      </c>
      <c r="U823" s="107" t="str">
        <f t="shared" si="7"/>
        <v>0</v>
      </c>
    </row>
    <row r="824" ht="15.75" customHeight="1">
      <c r="A824" s="279"/>
      <c r="B824" s="280"/>
      <c r="C824" s="280"/>
      <c r="D824" s="280"/>
      <c r="E824" s="281"/>
      <c r="F824" s="281"/>
      <c r="G824" s="280"/>
      <c r="H824" s="282"/>
      <c r="I824" s="283"/>
      <c r="J824" s="280"/>
      <c r="K824" s="103"/>
      <c r="L824" s="146"/>
      <c r="M824" s="103"/>
      <c r="N824" s="103"/>
      <c r="O824" s="103">
        <f t="shared" si="3"/>
        <v>0</v>
      </c>
      <c r="P824" s="104">
        <f t="shared" si="4"/>
        <v>0</v>
      </c>
      <c r="Q824" s="147"/>
      <c r="R824" s="103"/>
      <c r="S824" s="103">
        <f t="shared" si="6"/>
        <v>0</v>
      </c>
      <c r="U824" s="107" t="str">
        <f t="shared" si="7"/>
        <v>0</v>
      </c>
    </row>
    <row r="825" ht="15.75" customHeight="1">
      <c r="A825" s="279"/>
      <c r="B825" s="280"/>
      <c r="C825" s="280"/>
      <c r="D825" s="280"/>
      <c r="E825" s="281"/>
      <c r="F825" s="281"/>
      <c r="G825" s="280"/>
      <c r="H825" s="282"/>
      <c r="I825" s="283"/>
      <c r="J825" s="280"/>
      <c r="K825" s="103"/>
      <c r="L825" s="146"/>
      <c r="M825" s="103"/>
      <c r="N825" s="103"/>
      <c r="O825" s="103">
        <f t="shared" si="3"/>
        <v>0</v>
      </c>
      <c r="P825" s="104">
        <f t="shared" si="4"/>
        <v>0</v>
      </c>
      <c r="Q825" s="147"/>
      <c r="R825" s="103"/>
      <c r="S825" s="103">
        <f t="shared" si="6"/>
        <v>0</v>
      </c>
      <c r="U825" s="107" t="str">
        <f t="shared" si="7"/>
        <v>0</v>
      </c>
    </row>
    <row r="826" ht="15.75" customHeight="1">
      <c r="A826" s="279"/>
      <c r="B826" s="280"/>
      <c r="C826" s="280"/>
      <c r="D826" s="280"/>
      <c r="E826" s="281"/>
      <c r="F826" s="281"/>
      <c r="G826" s="280"/>
      <c r="H826" s="282"/>
      <c r="I826" s="283"/>
      <c r="J826" s="280"/>
      <c r="K826" s="103"/>
      <c r="L826" s="146"/>
      <c r="M826" s="103"/>
      <c r="N826" s="103"/>
      <c r="O826" s="103">
        <f t="shared" si="3"/>
        <v>0</v>
      </c>
      <c r="P826" s="104">
        <f t="shared" si="4"/>
        <v>0</v>
      </c>
      <c r="Q826" s="147"/>
      <c r="R826" s="103"/>
      <c r="S826" s="103">
        <f t="shared" si="6"/>
        <v>0</v>
      </c>
      <c r="U826" s="107" t="str">
        <f t="shared" si="7"/>
        <v>0</v>
      </c>
    </row>
    <row r="827" ht="15.75" customHeight="1">
      <c r="A827" s="279"/>
      <c r="B827" s="280"/>
      <c r="C827" s="280"/>
      <c r="D827" s="280"/>
      <c r="E827" s="281"/>
      <c r="F827" s="281"/>
      <c r="G827" s="280"/>
      <c r="H827" s="282"/>
      <c r="I827" s="283"/>
      <c r="J827" s="280"/>
      <c r="K827" s="103"/>
      <c r="L827" s="146"/>
      <c r="M827" s="103"/>
      <c r="N827" s="103"/>
      <c r="O827" s="103">
        <f t="shared" si="3"/>
        <v>0</v>
      </c>
      <c r="P827" s="104">
        <f t="shared" si="4"/>
        <v>0</v>
      </c>
      <c r="Q827" s="147"/>
      <c r="R827" s="103"/>
      <c r="S827" s="103">
        <f t="shared" si="6"/>
        <v>0</v>
      </c>
      <c r="U827" s="107" t="str">
        <f t="shared" si="7"/>
        <v>0</v>
      </c>
    </row>
    <row r="828" ht="15.75" customHeight="1">
      <c r="A828" s="279"/>
      <c r="B828" s="280"/>
      <c r="C828" s="280"/>
      <c r="D828" s="280"/>
      <c r="E828" s="281"/>
      <c r="F828" s="281"/>
      <c r="G828" s="280"/>
      <c r="H828" s="282"/>
      <c r="I828" s="283"/>
      <c r="J828" s="280"/>
      <c r="K828" s="103"/>
      <c r="L828" s="146"/>
      <c r="M828" s="103"/>
      <c r="N828" s="103"/>
      <c r="O828" s="103">
        <f t="shared" si="3"/>
        <v>0</v>
      </c>
      <c r="P828" s="104">
        <f t="shared" si="4"/>
        <v>0</v>
      </c>
      <c r="Q828" s="147"/>
      <c r="R828" s="103"/>
      <c r="S828" s="103">
        <f t="shared" si="6"/>
        <v>0</v>
      </c>
      <c r="U828" s="107" t="str">
        <f t="shared" si="7"/>
        <v>0</v>
      </c>
    </row>
    <row r="829" ht="15.75" customHeight="1">
      <c r="A829" s="279"/>
      <c r="B829" s="280"/>
      <c r="C829" s="280"/>
      <c r="D829" s="280"/>
      <c r="E829" s="281"/>
      <c r="F829" s="281"/>
      <c r="G829" s="280"/>
      <c r="H829" s="282"/>
      <c r="I829" s="283"/>
      <c r="J829" s="280"/>
      <c r="K829" s="103"/>
      <c r="L829" s="146"/>
      <c r="M829" s="103"/>
      <c r="N829" s="103"/>
      <c r="O829" s="103">
        <f t="shared" si="3"/>
        <v>0</v>
      </c>
      <c r="P829" s="104">
        <f t="shared" si="4"/>
        <v>0</v>
      </c>
      <c r="Q829" s="147"/>
      <c r="R829" s="103"/>
      <c r="S829" s="103">
        <f t="shared" si="6"/>
        <v>0</v>
      </c>
      <c r="U829" s="107" t="str">
        <f t="shared" si="7"/>
        <v>0</v>
      </c>
    </row>
    <row r="830" ht="15.75" customHeight="1">
      <c r="A830" s="279"/>
      <c r="B830" s="280"/>
      <c r="C830" s="280"/>
      <c r="D830" s="280"/>
      <c r="E830" s="281"/>
      <c r="F830" s="281"/>
      <c r="G830" s="280"/>
      <c r="H830" s="282"/>
      <c r="I830" s="283"/>
      <c r="J830" s="280"/>
      <c r="K830" s="103"/>
      <c r="L830" s="146"/>
      <c r="M830" s="103"/>
      <c r="N830" s="103"/>
      <c r="O830" s="103">
        <f t="shared" si="3"/>
        <v>0</v>
      </c>
      <c r="P830" s="104">
        <f t="shared" si="4"/>
        <v>0</v>
      </c>
      <c r="Q830" s="147"/>
      <c r="R830" s="103"/>
      <c r="S830" s="103">
        <f t="shared" si="6"/>
        <v>0</v>
      </c>
      <c r="U830" s="107" t="str">
        <f t="shared" si="7"/>
        <v>0</v>
      </c>
    </row>
    <row r="831" ht="15.75" customHeight="1">
      <c r="A831" s="279"/>
      <c r="B831" s="280"/>
      <c r="C831" s="280"/>
      <c r="D831" s="280"/>
      <c r="E831" s="281"/>
      <c r="F831" s="281"/>
      <c r="G831" s="280"/>
      <c r="H831" s="282"/>
      <c r="I831" s="283"/>
      <c r="J831" s="280"/>
      <c r="K831" s="103"/>
      <c r="L831" s="146"/>
      <c r="M831" s="103"/>
      <c r="N831" s="103"/>
      <c r="O831" s="103">
        <f t="shared" si="3"/>
        <v>0</v>
      </c>
      <c r="P831" s="104">
        <f t="shared" si="4"/>
        <v>0</v>
      </c>
      <c r="Q831" s="147"/>
      <c r="R831" s="103"/>
      <c r="S831" s="103">
        <f t="shared" si="6"/>
        <v>0</v>
      </c>
      <c r="U831" s="107" t="str">
        <f t="shared" si="7"/>
        <v>0</v>
      </c>
    </row>
    <row r="832" ht="15.75" customHeight="1">
      <c r="A832" s="279"/>
      <c r="B832" s="280"/>
      <c r="C832" s="280"/>
      <c r="D832" s="280"/>
      <c r="E832" s="281"/>
      <c r="F832" s="281"/>
      <c r="G832" s="280"/>
      <c r="H832" s="282"/>
      <c r="I832" s="283"/>
      <c r="J832" s="280"/>
      <c r="K832" s="103"/>
      <c r="L832" s="146"/>
      <c r="M832" s="103"/>
      <c r="N832" s="103"/>
      <c r="O832" s="103">
        <f t="shared" si="3"/>
        <v>0</v>
      </c>
      <c r="P832" s="104">
        <f t="shared" si="4"/>
        <v>0</v>
      </c>
      <c r="Q832" s="147"/>
      <c r="R832" s="103"/>
      <c r="S832" s="103">
        <f t="shared" si="6"/>
        <v>0</v>
      </c>
      <c r="U832" s="107" t="str">
        <f t="shared" si="7"/>
        <v>0</v>
      </c>
    </row>
    <row r="833" ht="15.75" customHeight="1">
      <c r="A833" s="279"/>
      <c r="B833" s="280"/>
      <c r="C833" s="280"/>
      <c r="D833" s="280"/>
      <c r="E833" s="281"/>
      <c r="F833" s="281"/>
      <c r="G833" s="280"/>
      <c r="H833" s="282"/>
      <c r="I833" s="283"/>
      <c r="J833" s="280"/>
      <c r="K833" s="103"/>
      <c r="L833" s="146"/>
      <c r="M833" s="103"/>
      <c r="N833" s="103"/>
      <c r="O833" s="103">
        <f t="shared" si="3"/>
        <v>0</v>
      </c>
      <c r="P833" s="104">
        <f t="shared" si="4"/>
        <v>0</v>
      </c>
      <c r="Q833" s="147"/>
      <c r="R833" s="103"/>
      <c r="S833" s="103">
        <f t="shared" si="6"/>
        <v>0</v>
      </c>
      <c r="U833" s="107" t="str">
        <f t="shared" si="7"/>
        <v>0</v>
      </c>
    </row>
    <row r="834" ht="15.75" customHeight="1">
      <c r="A834" s="279"/>
      <c r="B834" s="280"/>
      <c r="C834" s="280"/>
      <c r="D834" s="280"/>
      <c r="E834" s="281"/>
      <c r="F834" s="281"/>
      <c r="G834" s="280"/>
      <c r="H834" s="282"/>
      <c r="I834" s="283"/>
      <c r="J834" s="280"/>
      <c r="K834" s="103"/>
      <c r="L834" s="146"/>
      <c r="M834" s="103"/>
      <c r="N834" s="103"/>
      <c r="O834" s="103">
        <f t="shared" si="3"/>
        <v>0</v>
      </c>
      <c r="P834" s="104">
        <f t="shared" si="4"/>
        <v>0</v>
      </c>
      <c r="Q834" s="147"/>
      <c r="R834" s="103"/>
      <c r="S834" s="103">
        <f t="shared" si="6"/>
        <v>0</v>
      </c>
      <c r="U834" s="107" t="str">
        <f t="shared" si="7"/>
        <v>0</v>
      </c>
    </row>
    <row r="835" ht="15.75" customHeight="1">
      <c r="A835" s="279"/>
      <c r="B835" s="280"/>
      <c r="C835" s="280"/>
      <c r="D835" s="280"/>
      <c r="E835" s="281"/>
      <c r="F835" s="281"/>
      <c r="G835" s="280"/>
      <c r="H835" s="282"/>
      <c r="I835" s="283"/>
      <c r="J835" s="280"/>
      <c r="K835" s="103"/>
      <c r="L835" s="146"/>
      <c r="M835" s="103"/>
      <c r="N835" s="103"/>
      <c r="O835" s="103">
        <f t="shared" si="3"/>
        <v>0</v>
      </c>
      <c r="P835" s="104">
        <f t="shared" si="4"/>
        <v>0</v>
      </c>
      <c r="Q835" s="147"/>
      <c r="R835" s="103"/>
      <c r="S835" s="103">
        <f t="shared" si="6"/>
        <v>0</v>
      </c>
      <c r="U835" s="107" t="str">
        <f t="shared" si="7"/>
        <v>0</v>
      </c>
    </row>
    <row r="836" ht="15.75" customHeight="1">
      <c r="A836" s="279"/>
      <c r="B836" s="280"/>
      <c r="C836" s="280"/>
      <c r="D836" s="280"/>
      <c r="E836" s="281"/>
      <c r="F836" s="281"/>
      <c r="G836" s="280"/>
      <c r="H836" s="282"/>
      <c r="I836" s="283"/>
      <c r="J836" s="280"/>
      <c r="K836" s="103"/>
      <c r="L836" s="146"/>
      <c r="M836" s="103"/>
      <c r="N836" s="103"/>
      <c r="O836" s="103">
        <f t="shared" si="3"/>
        <v>0</v>
      </c>
      <c r="P836" s="104">
        <f t="shared" si="4"/>
        <v>0</v>
      </c>
      <c r="Q836" s="147"/>
      <c r="R836" s="103"/>
      <c r="S836" s="103">
        <f t="shared" si="6"/>
        <v>0</v>
      </c>
      <c r="U836" s="107" t="str">
        <f t="shared" si="7"/>
        <v>0</v>
      </c>
    </row>
    <row r="837" ht="15.75" customHeight="1">
      <c r="A837" s="279"/>
      <c r="B837" s="280"/>
      <c r="C837" s="280"/>
      <c r="D837" s="280"/>
      <c r="E837" s="281"/>
      <c r="F837" s="281"/>
      <c r="G837" s="280"/>
      <c r="H837" s="282"/>
      <c r="I837" s="283"/>
      <c r="J837" s="280"/>
      <c r="K837" s="103"/>
      <c r="L837" s="146"/>
      <c r="M837" s="103"/>
      <c r="N837" s="103"/>
      <c r="O837" s="103">
        <f t="shared" si="3"/>
        <v>0</v>
      </c>
      <c r="P837" s="104">
        <f t="shared" si="4"/>
        <v>0</v>
      </c>
      <c r="Q837" s="147"/>
      <c r="R837" s="103"/>
      <c r="S837" s="103">
        <f t="shared" si="6"/>
        <v>0</v>
      </c>
      <c r="U837" s="107" t="str">
        <f t="shared" si="7"/>
        <v>0</v>
      </c>
    </row>
    <row r="838" ht="15.75" customHeight="1">
      <c r="A838" s="279"/>
      <c r="B838" s="280"/>
      <c r="C838" s="280"/>
      <c r="D838" s="280"/>
      <c r="E838" s="281"/>
      <c r="F838" s="281"/>
      <c r="G838" s="280"/>
      <c r="H838" s="282"/>
      <c r="I838" s="283"/>
      <c r="J838" s="280"/>
      <c r="K838" s="103"/>
      <c r="L838" s="146"/>
      <c r="M838" s="103"/>
      <c r="N838" s="103"/>
      <c r="O838" s="103">
        <f t="shared" si="3"/>
        <v>0</v>
      </c>
      <c r="P838" s="104">
        <f t="shared" si="4"/>
        <v>0</v>
      </c>
      <c r="Q838" s="147"/>
      <c r="R838" s="103"/>
      <c r="S838" s="103">
        <f t="shared" si="6"/>
        <v>0</v>
      </c>
      <c r="U838" s="107" t="str">
        <f t="shared" si="7"/>
        <v>0</v>
      </c>
    </row>
    <row r="839" ht="15.75" customHeight="1">
      <c r="A839" s="279"/>
      <c r="B839" s="280"/>
      <c r="C839" s="280"/>
      <c r="D839" s="280"/>
      <c r="E839" s="281"/>
      <c r="F839" s="281"/>
      <c r="G839" s="280"/>
      <c r="H839" s="282"/>
      <c r="I839" s="283"/>
      <c r="J839" s="280"/>
      <c r="K839" s="103"/>
      <c r="L839" s="146"/>
      <c r="M839" s="103"/>
      <c r="N839" s="103"/>
      <c r="O839" s="103">
        <f t="shared" si="3"/>
        <v>0</v>
      </c>
      <c r="P839" s="104">
        <f t="shared" si="4"/>
        <v>0</v>
      </c>
      <c r="Q839" s="147"/>
      <c r="R839" s="103"/>
      <c r="S839" s="103">
        <f t="shared" si="6"/>
        <v>0</v>
      </c>
      <c r="U839" s="107" t="str">
        <f t="shared" si="7"/>
        <v>0</v>
      </c>
    </row>
    <row r="840" ht="15.75" customHeight="1">
      <c r="A840" s="279"/>
      <c r="B840" s="280"/>
      <c r="C840" s="280"/>
      <c r="D840" s="280"/>
      <c r="E840" s="281"/>
      <c r="F840" s="281"/>
      <c r="G840" s="280"/>
      <c r="H840" s="282"/>
      <c r="I840" s="283"/>
      <c r="J840" s="280"/>
      <c r="K840" s="103"/>
      <c r="L840" s="146"/>
      <c r="M840" s="103"/>
      <c r="N840" s="103"/>
      <c r="O840" s="103">
        <f t="shared" si="3"/>
        <v>0</v>
      </c>
      <c r="P840" s="104">
        <f t="shared" si="4"/>
        <v>0</v>
      </c>
      <c r="Q840" s="147"/>
      <c r="R840" s="103"/>
      <c r="S840" s="103">
        <f t="shared" si="6"/>
        <v>0</v>
      </c>
      <c r="U840" s="107" t="str">
        <f t="shared" si="7"/>
        <v>0</v>
      </c>
    </row>
    <row r="841" ht="15.75" customHeight="1">
      <c r="A841" s="279"/>
      <c r="B841" s="280"/>
      <c r="C841" s="280"/>
      <c r="D841" s="280"/>
      <c r="E841" s="281"/>
      <c r="F841" s="281"/>
      <c r="G841" s="280"/>
      <c r="H841" s="282"/>
      <c r="I841" s="283"/>
      <c r="J841" s="280"/>
      <c r="K841" s="103"/>
      <c r="L841" s="146"/>
      <c r="M841" s="103"/>
      <c r="N841" s="103"/>
      <c r="O841" s="103">
        <f t="shared" si="3"/>
        <v>0</v>
      </c>
      <c r="P841" s="104">
        <f t="shared" si="4"/>
        <v>0</v>
      </c>
      <c r="Q841" s="147"/>
      <c r="R841" s="103"/>
      <c r="S841" s="103">
        <f t="shared" si="6"/>
        <v>0</v>
      </c>
      <c r="U841" s="107" t="str">
        <f t="shared" si="7"/>
        <v>0</v>
      </c>
    </row>
    <row r="842" ht="15.75" customHeight="1">
      <c r="A842" s="279"/>
      <c r="B842" s="280"/>
      <c r="C842" s="280"/>
      <c r="D842" s="280"/>
      <c r="E842" s="281"/>
      <c r="F842" s="281"/>
      <c r="G842" s="280"/>
      <c r="H842" s="282"/>
      <c r="I842" s="283"/>
      <c r="J842" s="280"/>
      <c r="K842" s="103"/>
      <c r="L842" s="146"/>
      <c r="M842" s="103"/>
      <c r="N842" s="103"/>
      <c r="O842" s="103">
        <f t="shared" si="3"/>
        <v>0</v>
      </c>
      <c r="P842" s="104">
        <f t="shared" si="4"/>
        <v>0</v>
      </c>
      <c r="Q842" s="147"/>
      <c r="R842" s="103"/>
      <c r="S842" s="103">
        <f t="shared" si="6"/>
        <v>0</v>
      </c>
      <c r="U842" s="107" t="str">
        <f t="shared" si="7"/>
        <v>0</v>
      </c>
    </row>
    <row r="843" ht="15.75" customHeight="1">
      <c r="A843" s="279"/>
      <c r="B843" s="280"/>
      <c r="C843" s="280"/>
      <c r="D843" s="280"/>
      <c r="E843" s="281"/>
      <c r="F843" s="281"/>
      <c r="G843" s="280"/>
      <c r="H843" s="282"/>
      <c r="I843" s="283"/>
      <c r="J843" s="280"/>
      <c r="K843" s="103"/>
      <c r="L843" s="146"/>
      <c r="M843" s="103"/>
      <c r="N843" s="103"/>
      <c r="O843" s="103">
        <f t="shared" si="3"/>
        <v>0</v>
      </c>
      <c r="P843" s="104">
        <f t="shared" si="4"/>
        <v>0</v>
      </c>
      <c r="Q843" s="147"/>
      <c r="R843" s="103"/>
      <c r="S843" s="103">
        <f t="shared" si="6"/>
        <v>0</v>
      </c>
      <c r="U843" s="107" t="str">
        <f t="shared" si="7"/>
        <v>0</v>
      </c>
    </row>
    <row r="844" ht="15.75" customHeight="1">
      <c r="A844" s="279"/>
      <c r="B844" s="280"/>
      <c r="C844" s="280"/>
      <c r="D844" s="280"/>
      <c r="E844" s="281"/>
      <c r="F844" s="281"/>
      <c r="G844" s="280"/>
      <c r="H844" s="282"/>
      <c r="I844" s="283"/>
      <c r="J844" s="280"/>
      <c r="K844" s="103"/>
      <c r="L844" s="146"/>
      <c r="M844" s="103"/>
      <c r="N844" s="103"/>
      <c r="O844" s="103">
        <f t="shared" si="3"/>
        <v>0</v>
      </c>
      <c r="P844" s="104">
        <f t="shared" si="4"/>
        <v>0</v>
      </c>
      <c r="Q844" s="147"/>
      <c r="R844" s="103"/>
      <c r="S844" s="103">
        <f t="shared" si="6"/>
        <v>0</v>
      </c>
      <c r="U844" s="107" t="str">
        <f t="shared" si="7"/>
        <v>0</v>
      </c>
    </row>
    <row r="845" ht="15.75" customHeight="1">
      <c r="A845" s="279"/>
      <c r="B845" s="280"/>
      <c r="C845" s="280"/>
      <c r="D845" s="280"/>
      <c r="E845" s="281"/>
      <c r="F845" s="281"/>
      <c r="G845" s="280"/>
      <c r="H845" s="282"/>
      <c r="I845" s="283"/>
      <c r="J845" s="280"/>
      <c r="K845" s="103"/>
      <c r="L845" s="146"/>
      <c r="M845" s="103"/>
      <c r="N845" s="103"/>
      <c r="O845" s="103">
        <f t="shared" si="3"/>
        <v>0</v>
      </c>
      <c r="P845" s="104">
        <f t="shared" si="4"/>
        <v>0</v>
      </c>
      <c r="Q845" s="147"/>
      <c r="R845" s="103"/>
      <c r="S845" s="103">
        <f t="shared" si="6"/>
        <v>0</v>
      </c>
      <c r="U845" s="107" t="str">
        <f t="shared" si="7"/>
        <v>0</v>
      </c>
    </row>
    <row r="846" ht="15.75" customHeight="1">
      <c r="A846" s="279"/>
      <c r="B846" s="280"/>
      <c r="C846" s="280"/>
      <c r="D846" s="280"/>
      <c r="E846" s="281"/>
      <c r="F846" s="281"/>
      <c r="G846" s="280"/>
      <c r="H846" s="282"/>
      <c r="I846" s="283"/>
      <c r="J846" s="280"/>
      <c r="K846" s="103"/>
      <c r="L846" s="146"/>
      <c r="M846" s="103"/>
      <c r="N846" s="103"/>
      <c r="O846" s="103">
        <f t="shared" si="3"/>
        <v>0</v>
      </c>
      <c r="P846" s="104">
        <f t="shared" si="4"/>
        <v>0</v>
      </c>
      <c r="Q846" s="147"/>
      <c r="R846" s="103"/>
      <c r="S846" s="103">
        <f t="shared" si="6"/>
        <v>0</v>
      </c>
      <c r="U846" s="107" t="str">
        <f t="shared" si="7"/>
        <v>0</v>
      </c>
    </row>
    <row r="847" ht="15.75" customHeight="1">
      <c r="A847" s="279"/>
      <c r="B847" s="280"/>
      <c r="C847" s="280"/>
      <c r="D847" s="280"/>
      <c r="E847" s="281"/>
      <c r="F847" s="281"/>
      <c r="G847" s="280"/>
      <c r="H847" s="282"/>
      <c r="I847" s="283"/>
      <c r="J847" s="280"/>
      <c r="K847" s="103"/>
      <c r="L847" s="146"/>
      <c r="M847" s="103"/>
      <c r="N847" s="103"/>
      <c r="O847" s="103">
        <f t="shared" si="3"/>
        <v>0</v>
      </c>
      <c r="P847" s="104">
        <f t="shared" si="4"/>
        <v>0</v>
      </c>
      <c r="Q847" s="147"/>
      <c r="R847" s="103"/>
      <c r="S847" s="103">
        <f t="shared" si="6"/>
        <v>0</v>
      </c>
      <c r="U847" s="107" t="str">
        <f t="shared" si="7"/>
        <v>0</v>
      </c>
    </row>
    <row r="848" ht="15.75" customHeight="1">
      <c r="A848" s="279"/>
      <c r="B848" s="280"/>
      <c r="C848" s="280"/>
      <c r="D848" s="280"/>
      <c r="E848" s="281"/>
      <c r="F848" s="281"/>
      <c r="G848" s="280"/>
      <c r="H848" s="282"/>
      <c r="I848" s="283"/>
      <c r="J848" s="280"/>
      <c r="K848" s="103"/>
      <c r="L848" s="146"/>
      <c r="M848" s="103"/>
      <c r="N848" s="103"/>
      <c r="O848" s="103">
        <f t="shared" si="3"/>
        <v>0</v>
      </c>
      <c r="P848" s="104">
        <f t="shared" si="4"/>
        <v>0</v>
      </c>
      <c r="Q848" s="147"/>
      <c r="R848" s="103"/>
      <c r="S848" s="103">
        <f t="shared" si="6"/>
        <v>0</v>
      </c>
      <c r="U848" s="107" t="str">
        <f t="shared" si="7"/>
        <v>0</v>
      </c>
    </row>
    <row r="849" ht="15.75" customHeight="1">
      <c r="A849" s="279"/>
      <c r="B849" s="280"/>
      <c r="C849" s="280"/>
      <c r="D849" s="280"/>
      <c r="E849" s="281"/>
      <c r="F849" s="281"/>
      <c r="G849" s="280"/>
      <c r="H849" s="282"/>
      <c r="I849" s="283"/>
      <c r="J849" s="280"/>
      <c r="K849" s="103"/>
      <c r="L849" s="146"/>
      <c r="M849" s="103"/>
      <c r="N849" s="103"/>
      <c r="O849" s="103">
        <f t="shared" si="3"/>
        <v>0</v>
      </c>
      <c r="P849" s="104">
        <f t="shared" si="4"/>
        <v>0</v>
      </c>
      <c r="Q849" s="147"/>
      <c r="R849" s="103"/>
      <c r="S849" s="103">
        <f t="shared" si="6"/>
        <v>0</v>
      </c>
      <c r="U849" s="107" t="str">
        <f t="shared" si="7"/>
        <v>0</v>
      </c>
    </row>
    <row r="850" ht="15.75" customHeight="1">
      <c r="A850" s="279"/>
      <c r="B850" s="280"/>
      <c r="C850" s="280"/>
      <c r="D850" s="280"/>
      <c r="E850" s="281"/>
      <c r="F850" s="281"/>
      <c r="G850" s="280"/>
      <c r="H850" s="282"/>
      <c r="I850" s="283"/>
      <c r="J850" s="280"/>
      <c r="K850" s="103"/>
      <c r="L850" s="146"/>
      <c r="M850" s="103"/>
      <c r="N850" s="103"/>
      <c r="O850" s="103">
        <f t="shared" si="3"/>
        <v>0</v>
      </c>
      <c r="P850" s="104">
        <f t="shared" si="4"/>
        <v>0</v>
      </c>
      <c r="Q850" s="147"/>
      <c r="R850" s="103"/>
      <c r="S850" s="103">
        <f t="shared" si="6"/>
        <v>0</v>
      </c>
      <c r="U850" s="107" t="str">
        <f t="shared" si="7"/>
        <v>0</v>
      </c>
    </row>
    <row r="851" ht="15.75" customHeight="1">
      <c r="A851" s="279"/>
      <c r="B851" s="280"/>
      <c r="C851" s="280"/>
      <c r="D851" s="280"/>
      <c r="E851" s="281"/>
      <c r="F851" s="281"/>
      <c r="G851" s="280"/>
      <c r="H851" s="282"/>
      <c r="I851" s="283"/>
      <c r="J851" s="280"/>
      <c r="K851" s="103"/>
      <c r="L851" s="146"/>
      <c r="M851" s="103"/>
      <c r="N851" s="103"/>
      <c r="O851" s="103">
        <f t="shared" si="3"/>
        <v>0</v>
      </c>
      <c r="P851" s="104">
        <f t="shared" si="4"/>
        <v>0</v>
      </c>
      <c r="Q851" s="147"/>
      <c r="R851" s="103"/>
      <c r="S851" s="103">
        <f t="shared" si="6"/>
        <v>0</v>
      </c>
      <c r="U851" s="107" t="str">
        <f t="shared" si="7"/>
        <v>0</v>
      </c>
    </row>
    <row r="852" ht="15.75" customHeight="1">
      <c r="A852" s="279"/>
      <c r="B852" s="280"/>
      <c r="C852" s="280"/>
      <c r="D852" s="280"/>
      <c r="E852" s="281"/>
      <c r="F852" s="281"/>
      <c r="G852" s="280"/>
      <c r="H852" s="282"/>
      <c r="I852" s="283"/>
      <c r="J852" s="280"/>
      <c r="K852" s="103"/>
      <c r="L852" s="146"/>
      <c r="M852" s="103"/>
      <c r="N852" s="103"/>
      <c r="O852" s="103">
        <f t="shared" si="3"/>
        <v>0</v>
      </c>
      <c r="P852" s="104">
        <f t="shared" si="4"/>
        <v>0</v>
      </c>
      <c r="Q852" s="147"/>
      <c r="R852" s="103"/>
      <c r="S852" s="103">
        <f t="shared" si="6"/>
        <v>0</v>
      </c>
      <c r="U852" s="107" t="str">
        <f t="shared" si="7"/>
        <v>0</v>
      </c>
    </row>
    <row r="853" ht="15.75" customHeight="1">
      <c r="A853" s="279"/>
      <c r="B853" s="280"/>
      <c r="C853" s="280"/>
      <c r="D853" s="280"/>
      <c r="E853" s="281"/>
      <c r="F853" s="281"/>
      <c r="G853" s="280"/>
      <c r="H853" s="282"/>
      <c r="I853" s="283"/>
      <c r="J853" s="280"/>
      <c r="K853" s="103"/>
      <c r="L853" s="146"/>
      <c r="M853" s="103"/>
      <c r="N853" s="103"/>
      <c r="O853" s="103">
        <f t="shared" si="3"/>
        <v>0</v>
      </c>
      <c r="P853" s="104">
        <f t="shared" si="4"/>
        <v>0</v>
      </c>
      <c r="Q853" s="147"/>
      <c r="R853" s="103"/>
      <c r="S853" s="103">
        <f t="shared" si="6"/>
        <v>0</v>
      </c>
      <c r="U853" s="107" t="str">
        <f t="shared" si="7"/>
        <v>0</v>
      </c>
    </row>
    <row r="854" ht="15.75" customHeight="1">
      <c r="A854" s="279"/>
      <c r="B854" s="280"/>
      <c r="C854" s="280"/>
      <c r="D854" s="280"/>
      <c r="E854" s="281"/>
      <c r="F854" s="281"/>
      <c r="G854" s="280"/>
      <c r="H854" s="282"/>
      <c r="I854" s="283"/>
      <c r="J854" s="280"/>
      <c r="K854" s="103"/>
      <c r="L854" s="146"/>
      <c r="M854" s="103"/>
      <c r="N854" s="103"/>
      <c r="O854" s="103">
        <f t="shared" si="3"/>
        <v>0</v>
      </c>
      <c r="P854" s="104">
        <f t="shared" si="4"/>
        <v>0</v>
      </c>
      <c r="Q854" s="147"/>
      <c r="R854" s="103"/>
      <c r="S854" s="103">
        <f t="shared" si="6"/>
        <v>0</v>
      </c>
      <c r="U854" s="107" t="str">
        <f t="shared" si="7"/>
        <v>0</v>
      </c>
    </row>
    <row r="855" ht="15.75" customHeight="1">
      <c r="A855" s="279"/>
      <c r="B855" s="280"/>
      <c r="C855" s="280"/>
      <c r="D855" s="280"/>
      <c r="E855" s="281"/>
      <c r="F855" s="281"/>
      <c r="G855" s="280"/>
      <c r="H855" s="282"/>
      <c r="I855" s="283"/>
      <c r="J855" s="280"/>
      <c r="K855" s="103"/>
      <c r="L855" s="146"/>
      <c r="M855" s="103"/>
      <c r="N855" s="103"/>
      <c r="O855" s="103">
        <f t="shared" si="3"/>
        <v>0</v>
      </c>
      <c r="P855" s="104">
        <f t="shared" si="4"/>
        <v>0</v>
      </c>
      <c r="Q855" s="147"/>
      <c r="R855" s="103"/>
      <c r="S855" s="103">
        <f t="shared" si="6"/>
        <v>0</v>
      </c>
      <c r="U855" s="107" t="str">
        <f t="shared" si="7"/>
        <v>0</v>
      </c>
    </row>
    <row r="856" ht="15.75" customHeight="1">
      <c r="A856" s="279"/>
      <c r="B856" s="280"/>
      <c r="C856" s="280"/>
      <c r="D856" s="280"/>
      <c r="E856" s="281"/>
      <c r="F856" s="281"/>
      <c r="G856" s="280"/>
      <c r="H856" s="282"/>
      <c r="I856" s="283"/>
      <c r="J856" s="280"/>
      <c r="K856" s="103"/>
      <c r="L856" s="146"/>
      <c r="M856" s="103"/>
      <c r="N856" s="103"/>
      <c r="O856" s="103">
        <f t="shared" si="3"/>
        <v>0</v>
      </c>
      <c r="P856" s="104">
        <f t="shared" si="4"/>
        <v>0</v>
      </c>
      <c r="Q856" s="147"/>
      <c r="R856" s="103"/>
      <c r="S856" s="103">
        <f t="shared" si="6"/>
        <v>0</v>
      </c>
      <c r="U856" s="107" t="str">
        <f t="shared" si="7"/>
        <v>0</v>
      </c>
    </row>
    <row r="857" ht="15.75" customHeight="1">
      <c r="A857" s="279"/>
      <c r="B857" s="280"/>
      <c r="C857" s="280"/>
      <c r="D857" s="280"/>
      <c r="E857" s="281"/>
      <c r="F857" s="281"/>
      <c r="G857" s="280"/>
      <c r="H857" s="282"/>
      <c r="I857" s="283"/>
      <c r="J857" s="280"/>
      <c r="K857" s="103"/>
      <c r="L857" s="146"/>
      <c r="M857" s="103"/>
      <c r="N857" s="103"/>
      <c r="O857" s="103">
        <f t="shared" si="3"/>
        <v>0</v>
      </c>
      <c r="P857" s="104">
        <f t="shared" si="4"/>
        <v>0</v>
      </c>
      <c r="Q857" s="147"/>
      <c r="R857" s="103"/>
      <c r="S857" s="103">
        <f t="shared" si="6"/>
        <v>0</v>
      </c>
      <c r="U857" s="107" t="str">
        <f t="shared" si="7"/>
        <v>0</v>
      </c>
    </row>
    <row r="858" ht="15.75" customHeight="1">
      <c r="A858" s="279"/>
      <c r="B858" s="280"/>
      <c r="C858" s="280"/>
      <c r="D858" s="280"/>
      <c r="E858" s="281"/>
      <c r="F858" s="281"/>
      <c r="G858" s="280"/>
      <c r="H858" s="282"/>
      <c r="I858" s="283"/>
      <c r="J858" s="280"/>
      <c r="K858" s="103"/>
      <c r="L858" s="146"/>
      <c r="M858" s="103"/>
      <c r="N858" s="103"/>
      <c r="O858" s="103">
        <f t="shared" si="3"/>
        <v>0</v>
      </c>
      <c r="P858" s="104">
        <f t="shared" si="4"/>
        <v>0</v>
      </c>
      <c r="Q858" s="147"/>
      <c r="R858" s="103"/>
      <c r="S858" s="103">
        <f t="shared" si="6"/>
        <v>0</v>
      </c>
      <c r="U858" s="107" t="str">
        <f t="shared" si="7"/>
        <v>0</v>
      </c>
    </row>
    <row r="859" ht="15.75" customHeight="1">
      <c r="A859" s="279"/>
      <c r="B859" s="280"/>
      <c r="C859" s="280"/>
      <c r="D859" s="280"/>
      <c r="E859" s="281"/>
      <c r="F859" s="281"/>
      <c r="G859" s="280"/>
      <c r="H859" s="282"/>
      <c r="I859" s="283"/>
      <c r="J859" s="280"/>
      <c r="K859" s="103"/>
      <c r="L859" s="146"/>
      <c r="M859" s="103"/>
      <c r="N859" s="103"/>
      <c r="O859" s="103">
        <f t="shared" si="3"/>
        <v>0</v>
      </c>
      <c r="P859" s="104">
        <f t="shared" si="4"/>
        <v>0</v>
      </c>
      <c r="Q859" s="147"/>
      <c r="R859" s="103"/>
      <c r="S859" s="103">
        <f t="shared" si="6"/>
        <v>0</v>
      </c>
      <c r="U859" s="107" t="str">
        <f t="shared" si="7"/>
        <v>0</v>
      </c>
    </row>
    <row r="860" ht="15.75" customHeight="1">
      <c r="A860" s="279"/>
      <c r="B860" s="280"/>
      <c r="C860" s="280"/>
      <c r="D860" s="280"/>
      <c r="E860" s="281"/>
      <c r="F860" s="281"/>
      <c r="G860" s="280"/>
      <c r="H860" s="282"/>
      <c r="I860" s="283"/>
      <c r="J860" s="280"/>
      <c r="K860" s="103"/>
      <c r="L860" s="146"/>
      <c r="M860" s="103"/>
      <c r="N860" s="103"/>
      <c r="O860" s="103">
        <f t="shared" si="3"/>
        <v>0</v>
      </c>
      <c r="P860" s="104">
        <f t="shared" si="4"/>
        <v>0</v>
      </c>
      <c r="Q860" s="147"/>
      <c r="R860" s="103"/>
      <c r="S860" s="103">
        <f t="shared" si="6"/>
        <v>0</v>
      </c>
      <c r="U860" s="107" t="str">
        <f t="shared" si="7"/>
        <v>0</v>
      </c>
    </row>
    <row r="861" ht="15.75" customHeight="1">
      <c r="A861" s="279"/>
      <c r="B861" s="280"/>
      <c r="C861" s="280"/>
      <c r="D861" s="280"/>
      <c r="E861" s="281"/>
      <c r="F861" s="281"/>
      <c r="G861" s="280"/>
      <c r="H861" s="282"/>
      <c r="I861" s="283"/>
      <c r="J861" s="280"/>
      <c r="K861" s="103"/>
      <c r="L861" s="146"/>
      <c r="M861" s="103"/>
      <c r="N861" s="103"/>
      <c r="O861" s="103">
        <f t="shared" si="3"/>
        <v>0</v>
      </c>
      <c r="P861" s="104">
        <f t="shared" si="4"/>
        <v>0</v>
      </c>
      <c r="Q861" s="147"/>
      <c r="R861" s="103"/>
      <c r="S861" s="103">
        <f t="shared" si="6"/>
        <v>0</v>
      </c>
      <c r="U861" s="107" t="str">
        <f t="shared" si="7"/>
        <v>0</v>
      </c>
    </row>
    <row r="862" ht="15.75" customHeight="1">
      <c r="A862" s="279"/>
      <c r="B862" s="280"/>
      <c r="C862" s="280"/>
      <c r="D862" s="280"/>
      <c r="E862" s="281"/>
      <c r="F862" s="281"/>
      <c r="G862" s="280"/>
      <c r="H862" s="282"/>
      <c r="I862" s="283"/>
      <c r="J862" s="280"/>
      <c r="K862" s="103"/>
      <c r="L862" s="146"/>
      <c r="M862" s="103"/>
      <c r="N862" s="103"/>
      <c r="O862" s="103">
        <f t="shared" si="3"/>
        <v>0</v>
      </c>
      <c r="P862" s="104">
        <f t="shared" si="4"/>
        <v>0</v>
      </c>
      <c r="Q862" s="147"/>
      <c r="R862" s="103"/>
      <c r="S862" s="103">
        <f t="shared" si="6"/>
        <v>0</v>
      </c>
      <c r="U862" s="107" t="str">
        <f t="shared" si="7"/>
        <v>0</v>
      </c>
    </row>
    <row r="863" ht="15.75" customHeight="1">
      <c r="A863" s="279"/>
      <c r="B863" s="280"/>
      <c r="C863" s="280"/>
      <c r="D863" s="280"/>
      <c r="E863" s="281"/>
      <c r="F863" s="281"/>
      <c r="G863" s="280"/>
      <c r="H863" s="282"/>
      <c r="I863" s="283"/>
      <c r="J863" s="280"/>
      <c r="K863" s="103"/>
      <c r="L863" s="146"/>
      <c r="M863" s="103"/>
      <c r="N863" s="103"/>
      <c r="O863" s="103">
        <f t="shared" si="3"/>
        <v>0</v>
      </c>
      <c r="P863" s="104">
        <f t="shared" si="4"/>
        <v>0</v>
      </c>
      <c r="Q863" s="147"/>
      <c r="R863" s="103"/>
      <c r="S863" s="103">
        <f t="shared" si="6"/>
        <v>0</v>
      </c>
      <c r="U863" s="107" t="str">
        <f t="shared" si="7"/>
        <v>0</v>
      </c>
    </row>
    <row r="864" ht="15.75" customHeight="1">
      <c r="A864" s="279"/>
      <c r="B864" s="280"/>
      <c r="C864" s="280"/>
      <c r="D864" s="280"/>
      <c r="E864" s="281"/>
      <c r="F864" s="281"/>
      <c r="G864" s="280"/>
      <c r="H864" s="282"/>
      <c r="I864" s="283"/>
      <c r="J864" s="280"/>
      <c r="K864" s="103"/>
      <c r="L864" s="146"/>
      <c r="M864" s="103"/>
      <c r="N864" s="103"/>
      <c r="O864" s="103">
        <f t="shared" si="3"/>
        <v>0</v>
      </c>
      <c r="P864" s="104">
        <f t="shared" si="4"/>
        <v>0</v>
      </c>
      <c r="Q864" s="147"/>
      <c r="R864" s="103"/>
      <c r="S864" s="103">
        <f t="shared" si="6"/>
        <v>0</v>
      </c>
      <c r="U864" s="107" t="str">
        <f t="shared" si="7"/>
        <v>0</v>
      </c>
    </row>
    <row r="865" ht="15.75" customHeight="1">
      <c r="A865" s="279"/>
      <c r="B865" s="280"/>
      <c r="C865" s="280"/>
      <c r="D865" s="280"/>
      <c r="E865" s="281"/>
      <c r="F865" s="281"/>
      <c r="G865" s="280"/>
      <c r="H865" s="282"/>
      <c r="I865" s="283"/>
      <c r="J865" s="280"/>
      <c r="K865" s="103"/>
      <c r="L865" s="146"/>
      <c r="M865" s="103"/>
      <c r="N865" s="103"/>
      <c r="O865" s="103">
        <f t="shared" si="3"/>
        <v>0</v>
      </c>
      <c r="P865" s="104">
        <f t="shared" si="4"/>
        <v>0</v>
      </c>
      <c r="Q865" s="147"/>
      <c r="R865" s="103"/>
      <c r="S865" s="103">
        <f t="shared" si="6"/>
        <v>0</v>
      </c>
      <c r="U865" s="107" t="str">
        <f t="shared" si="7"/>
        <v>0</v>
      </c>
    </row>
    <row r="866" ht="15.75" customHeight="1">
      <c r="A866" s="279"/>
      <c r="B866" s="280"/>
      <c r="C866" s="280"/>
      <c r="D866" s="280"/>
      <c r="E866" s="281"/>
      <c r="F866" s="281"/>
      <c r="G866" s="280"/>
      <c r="H866" s="282"/>
      <c r="I866" s="283"/>
      <c r="J866" s="280"/>
      <c r="K866" s="103"/>
      <c r="L866" s="146"/>
      <c r="M866" s="103"/>
      <c r="N866" s="103"/>
      <c r="O866" s="103">
        <f t="shared" si="3"/>
        <v>0</v>
      </c>
      <c r="P866" s="104">
        <f t="shared" si="4"/>
        <v>0</v>
      </c>
      <c r="Q866" s="147"/>
      <c r="R866" s="103"/>
      <c r="S866" s="103">
        <f t="shared" si="6"/>
        <v>0</v>
      </c>
      <c r="U866" s="107" t="str">
        <f t="shared" si="7"/>
        <v>0</v>
      </c>
    </row>
    <row r="867" ht="15.75" customHeight="1">
      <c r="A867" s="279"/>
      <c r="B867" s="280"/>
      <c r="C867" s="280"/>
      <c r="D867" s="280"/>
      <c r="E867" s="281"/>
      <c r="F867" s="281"/>
      <c r="G867" s="280"/>
      <c r="H867" s="282"/>
      <c r="I867" s="283"/>
      <c r="J867" s="280"/>
      <c r="K867" s="103"/>
      <c r="L867" s="146"/>
      <c r="M867" s="103"/>
      <c r="N867" s="103"/>
      <c r="O867" s="103">
        <f t="shared" si="3"/>
        <v>0</v>
      </c>
      <c r="P867" s="104">
        <f t="shared" si="4"/>
        <v>0</v>
      </c>
      <c r="Q867" s="147"/>
      <c r="R867" s="103"/>
      <c r="S867" s="103">
        <f t="shared" si="6"/>
        <v>0</v>
      </c>
      <c r="U867" s="107" t="str">
        <f t="shared" si="7"/>
        <v>0</v>
      </c>
    </row>
    <row r="868" ht="15.75" customHeight="1">
      <c r="A868" s="279"/>
      <c r="B868" s="280"/>
      <c r="C868" s="280"/>
      <c r="D868" s="280"/>
      <c r="E868" s="281"/>
      <c r="F868" s="281"/>
      <c r="G868" s="280"/>
      <c r="H868" s="282"/>
      <c r="I868" s="283"/>
      <c r="J868" s="280"/>
      <c r="K868" s="103"/>
      <c r="L868" s="146"/>
      <c r="M868" s="103"/>
      <c r="N868" s="103"/>
      <c r="O868" s="103">
        <f t="shared" si="3"/>
        <v>0</v>
      </c>
      <c r="P868" s="104">
        <f t="shared" si="4"/>
        <v>0</v>
      </c>
      <c r="Q868" s="147"/>
      <c r="R868" s="103"/>
      <c r="S868" s="103">
        <f t="shared" si="6"/>
        <v>0</v>
      </c>
      <c r="U868" s="107" t="str">
        <f t="shared" si="7"/>
        <v>0</v>
      </c>
    </row>
    <row r="869" ht="15.75" customHeight="1">
      <c r="A869" s="279"/>
      <c r="B869" s="280"/>
      <c r="C869" s="280"/>
      <c r="D869" s="280"/>
      <c r="E869" s="281"/>
      <c r="F869" s="281"/>
      <c r="G869" s="280"/>
      <c r="H869" s="282"/>
      <c r="I869" s="283"/>
      <c r="J869" s="280"/>
      <c r="K869" s="103"/>
      <c r="L869" s="146"/>
      <c r="M869" s="103"/>
      <c r="N869" s="103"/>
      <c r="O869" s="103">
        <f t="shared" si="3"/>
        <v>0</v>
      </c>
      <c r="P869" s="104">
        <f t="shared" si="4"/>
        <v>0</v>
      </c>
      <c r="Q869" s="147"/>
      <c r="R869" s="103"/>
      <c r="S869" s="103">
        <f t="shared" si="6"/>
        <v>0</v>
      </c>
      <c r="U869" s="107" t="str">
        <f t="shared" si="7"/>
        <v>0</v>
      </c>
    </row>
    <row r="870" ht="15.75" customHeight="1">
      <c r="A870" s="279"/>
      <c r="B870" s="280"/>
      <c r="C870" s="280"/>
      <c r="D870" s="280"/>
      <c r="E870" s="281"/>
      <c r="F870" s="281"/>
      <c r="G870" s="280"/>
      <c r="H870" s="282"/>
      <c r="I870" s="283"/>
      <c r="J870" s="280"/>
      <c r="K870" s="103"/>
      <c r="L870" s="146"/>
      <c r="M870" s="103"/>
      <c r="N870" s="103"/>
      <c r="O870" s="103">
        <f t="shared" si="3"/>
        <v>0</v>
      </c>
      <c r="P870" s="104">
        <f t="shared" si="4"/>
        <v>0</v>
      </c>
      <c r="Q870" s="147"/>
      <c r="R870" s="103"/>
      <c r="S870" s="103">
        <f t="shared" si="6"/>
        <v>0</v>
      </c>
      <c r="U870" s="107" t="str">
        <f t="shared" si="7"/>
        <v>0</v>
      </c>
    </row>
    <row r="871" ht="15.75" customHeight="1">
      <c r="A871" s="279"/>
      <c r="B871" s="280"/>
      <c r="C871" s="280"/>
      <c r="D871" s="280"/>
      <c r="E871" s="281"/>
      <c r="F871" s="281"/>
      <c r="G871" s="280"/>
      <c r="H871" s="282"/>
      <c r="I871" s="283"/>
      <c r="J871" s="280"/>
      <c r="K871" s="103"/>
      <c r="L871" s="146"/>
      <c r="M871" s="103"/>
      <c r="N871" s="103"/>
      <c r="O871" s="103">
        <f t="shared" si="3"/>
        <v>0</v>
      </c>
      <c r="P871" s="104">
        <f t="shared" si="4"/>
        <v>0</v>
      </c>
      <c r="Q871" s="147"/>
      <c r="R871" s="103"/>
      <c r="S871" s="103">
        <f t="shared" si="6"/>
        <v>0</v>
      </c>
      <c r="U871" s="107" t="str">
        <f t="shared" si="7"/>
        <v>0</v>
      </c>
    </row>
    <row r="872" ht="15.75" customHeight="1">
      <c r="A872" s="279"/>
      <c r="B872" s="280"/>
      <c r="C872" s="280"/>
      <c r="D872" s="280"/>
      <c r="E872" s="281"/>
      <c r="F872" s="281"/>
      <c r="G872" s="280"/>
      <c r="H872" s="282"/>
      <c r="I872" s="283"/>
      <c r="J872" s="280"/>
      <c r="K872" s="103"/>
      <c r="L872" s="146"/>
      <c r="M872" s="103"/>
      <c r="N872" s="103"/>
      <c r="O872" s="103">
        <f t="shared" si="3"/>
        <v>0</v>
      </c>
      <c r="P872" s="104">
        <f t="shared" si="4"/>
        <v>0</v>
      </c>
      <c r="Q872" s="147"/>
      <c r="R872" s="103"/>
      <c r="S872" s="103">
        <f t="shared" si="6"/>
        <v>0</v>
      </c>
      <c r="U872" s="107" t="str">
        <f t="shared" si="7"/>
        <v>0</v>
      </c>
    </row>
    <row r="873" ht="15.75" customHeight="1">
      <c r="A873" s="279"/>
      <c r="B873" s="280"/>
      <c r="C873" s="280"/>
      <c r="D873" s="280"/>
      <c r="E873" s="281"/>
      <c r="F873" s="281"/>
      <c r="G873" s="280"/>
      <c r="H873" s="282"/>
      <c r="I873" s="283"/>
      <c r="J873" s="280"/>
      <c r="K873" s="103"/>
      <c r="L873" s="146"/>
      <c r="M873" s="103"/>
      <c r="N873" s="103"/>
      <c r="O873" s="103">
        <f t="shared" si="3"/>
        <v>0</v>
      </c>
      <c r="P873" s="104">
        <f t="shared" si="4"/>
        <v>0</v>
      </c>
      <c r="Q873" s="147"/>
      <c r="R873" s="103"/>
      <c r="S873" s="103">
        <f t="shared" si="6"/>
        <v>0</v>
      </c>
      <c r="U873" s="107" t="str">
        <f t="shared" si="7"/>
        <v>0</v>
      </c>
    </row>
    <row r="874" ht="15.75" customHeight="1">
      <c r="A874" s="279"/>
      <c r="B874" s="280"/>
      <c r="C874" s="280"/>
      <c r="D874" s="280"/>
      <c r="E874" s="281"/>
      <c r="F874" s="281"/>
      <c r="G874" s="280"/>
      <c r="H874" s="282"/>
      <c r="I874" s="283"/>
      <c r="J874" s="280"/>
      <c r="K874" s="103"/>
      <c r="L874" s="146"/>
      <c r="M874" s="103"/>
      <c r="N874" s="103"/>
      <c r="O874" s="103">
        <f t="shared" si="3"/>
        <v>0</v>
      </c>
      <c r="P874" s="104">
        <f t="shared" si="4"/>
        <v>0</v>
      </c>
      <c r="Q874" s="147"/>
      <c r="R874" s="103"/>
      <c r="S874" s="103">
        <f t="shared" si="6"/>
        <v>0</v>
      </c>
      <c r="U874" s="107" t="str">
        <f t="shared" si="7"/>
        <v>0</v>
      </c>
    </row>
    <row r="875" ht="15.75" customHeight="1">
      <c r="A875" s="279"/>
      <c r="B875" s="280"/>
      <c r="C875" s="280"/>
      <c r="D875" s="280"/>
      <c r="E875" s="281"/>
      <c r="F875" s="281"/>
      <c r="G875" s="280"/>
      <c r="H875" s="282"/>
      <c r="I875" s="283"/>
      <c r="J875" s="280"/>
      <c r="K875" s="103"/>
      <c r="L875" s="146"/>
      <c r="M875" s="103"/>
      <c r="N875" s="103"/>
      <c r="O875" s="103">
        <f t="shared" si="3"/>
        <v>0</v>
      </c>
      <c r="P875" s="104">
        <f t="shared" si="4"/>
        <v>0</v>
      </c>
      <c r="Q875" s="147"/>
      <c r="R875" s="103"/>
      <c r="S875" s="103">
        <f t="shared" si="6"/>
        <v>0</v>
      </c>
      <c r="U875" s="107" t="str">
        <f t="shared" si="7"/>
        <v>0</v>
      </c>
    </row>
    <row r="876" ht="15.75" customHeight="1">
      <c r="A876" s="279"/>
      <c r="B876" s="280"/>
      <c r="C876" s="280"/>
      <c r="D876" s="280"/>
      <c r="E876" s="281"/>
      <c r="F876" s="281"/>
      <c r="G876" s="280"/>
      <c r="H876" s="282"/>
      <c r="I876" s="283"/>
      <c r="J876" s="280"/>
      <c r="K876" s="103"/>
      <c r="L876" s="146"/>
      <c r="M876" s="103"/>
      <c r="N876" s="103"/>
      <c r="O876" s="103">
        <f t="shared" si="3"/>
        <v>0</v>
      </c>
      <c r="P876" s="104">
        <f t="shared" si="4"/>
        <v>0</v>
      </c>
      <c r="Q876" s="147"/>
      <c r="R876" s="103"/>
      <c r="S876" s="103">
        <f t="shared" si="6"/>
        <v>0</v>
      </c>
      <c r="U876" s="107" t="str">
        <f t="shared" si="7"/>
        <v>0</v>
      </c>
    </row>
    <row r="877" ht="15.75" customHeight="1">
      <c r="A877" s="279"/>
      <c r="B877" s="280"/>
      <c r="C877" s="280"/>
      <c r="D877" s="280"/>
      <c r="E877" s="281"/>
      <c r="F877" s="281"/>
      <c r="G877" s="280"/>
      <c r="H877" s="282"/>
      <c r="I877" s="283"/>
      <c r="J877" s="280"/>
      <c r="K877" s="103"/>
      <c r="L877" s="146"/>
      <c r="M877" s="103"/>
      <c r="N877" s="103"/>
      <c r="O877" s="103">
        <f t="shared" si="3"/>
        <v>0</v>
      </c>
      <c r="P877" s="104">
        <f t="shared" si="4"/>
        <v>0</v>
      </c>
      <c r="Q877" s="147"/>
      <c r="R877" s="103"/>
      <c r="S877" s="103">
        <f t="shared" si="6"/>
        <v>0</v>
      </c>
      <c r="U877" s="107" t="str">
        <f t="shared" si="7"/>
        <v>0</v>
      </c>
    </row>
    <row r="878" ht="15.75" customHeight="1">
      <c r="A878" s="279"/>
      <c r="B878" s="280"/>
      <c r="C878" s="280"/>
      <c r="D878" s="280"/>
      <c r="E878" s="281"/>
      <c r="F878" s="281"/>
      <c r="G878" s="280"/>
      <c r="H878" s="282"/>
      <c r="I878" s="283"/>
      <c r="J878" s="280"/>
      <c r="K878" s="103"/>
      <c r="L878" s="146"/>
      <c r="M878" s="103"/>
      <c r="N878" s="103"/>
      <c r="O878" s="103">
        <f t="shared" si="3"/>
        <v>0</v>
      </c>
      <c r="P878" s="104">
        <f t="shared" si="4"/>
        <v>0</v>
      </c>
      <c r="Q878" s="147"/>
      <c r="R878" s="103"/>
      <c r="S878" s="103">
        <f t="shared" si="6"/>
        <v>0</v>
      </c>
      <c r="U878" s="107" t="str">
        <f t="shared" si="7"/>
        <v>0</v>
      </c>
    </row>
    <row r="879" ht="15.75" customHeight="1">
      <c r="A879" s="279"/>
      <c r="B879" s="280"/>
      <c r="C879" s="280"/>
      <c r="D879" s="280"/>
      <c r="E879" s="281"/>
      <c r="F879" s="281"/>
      <c r="G879" s="280"/>
      <c r="H879" s="282"/>
      <c r="I879" s="283"/>
      <c r="J879" s="280"/>
      <c r="K879" s="103"/>
      <c r="L879" s="146"/>
      <c r="M879" s="103"/>
      <c r="N879" s="103"/>
      <c r="O879" s="103">
        <f t="shared" si="3"/>
        <v>0</v>
      </c>
      <c r="P879" s="104">
        <f t="shared" si="4"/>
        <v>0</v>
      </c>
      <c r="Q879" s="147"/>
      <c r="R879" s="103"/>
      <c r="S879" s="103">
        <f t="shared" si="6"/>
        <v>0</v>
      </c>
      <c r="U879" s="107" t="str">
        <f t="shared" si="7"/>
        <v>0</v>
      </c>
    </row>
    <row r="880" ht="15.75" customHeight="1">
      <c r="A880" s="279"/>
      <c r="B880" s="280"/>
      <c r="C880" s="280"/>
      <c r="D880" s="280"/>
      <c r="E880" s="281"/>
      <c r="F880" s="281"/>
      <c r="G880" s="280"/>
      <c r="H880" s="282"/>
      <c r="I880" s="283"/>
      <c r="J880" s="280"/>
      <c r="K880" s="103"/>
      <c r="L880" s="146"/>
      <c r="M880" s="103"/>
      <c r="N880" s="103"/>
      <c r="O880" s="103">
        <f t="shared" si="3"/>
        <v>0</v>
      </c>
      <c r="P880" s="104">
        <f t="shared" si="4"/>
        <v>0</v>
      </c>
      <c r="Q880" s="147"/>
      <c r="R880" s="103"/>
      <c r="S880" s="103">
        <f t="shared" si="6"/>
        <v>0</v>
      </c>
      <c r="U880" s="107" t="str">
        <f t="shared" si="7"/>
        <v>0</v>
      </c>
    </row>
    <row r="881" ht="15.75" customHeight="1">
      <c r="A881" s="279"/>
      <c r="B881" s="280"/>
      <c r="C881" s="280"/>
      <c r="D881" s="280"/>
      <c r="E881" s="281"/>
      <c r="F881" s="281"/>
      <c r="G881" s="280"/>
      <c r="H881" s="282"/>
      <c r="I881" s="283"/>
      <c r="J881" s="280"/>
      <c r="K881" s="103"/>
      <c r="L881" s="146"/>
      <c r="M881" s="103"/>
      <c r="N881" s="103"/>
      <c r="O881" s="103">
        <f t="shared" si="3"/>
        <v>0</v>
      </c>
      <c r="P881" s="104">
        <f t="shared" si="4"/>
        <v>0</v>
      </c>
      <c r="Q881" s="147"/>
      <c r="R881" s="103"/>
      <c r="S881" s="103">
        <f t="shared" si="6"/>
        <v>0</v>
      </c>
      <c r="U881" s="107" t="str">
        <f t="shared" si="7"/>
        <v>0</v>
      </c>
    </row>
    <row r="882" ht="15.75" customHeight="1">
      <c r="A882" s="279"/>
      <c r="B882" s="280"/>
      <c r="C882" s="280"/>
      <c r="D882" s="280"/>
      <c r="E882" s="281"/>
      <c r="F882" s="281"/>
      <c r="G882" s="280"/>
      <c r="H882" s="282"/>
      <c r="I882" s="283"/>
      <c r="J882" s="280"/>
      <c r="K882" s="103"/>
      <c r="L882" s="146"/>
      <c r="M882" s="103"/>
      <c r="N882" s="103"/>
      <c r="O882" s="103">
        <f t="shared" si="3"/>
        <v>0</v>
      </c>
      <c r="P882" s="104">
        <f t="shared" si="4"/>
        <v>0</v>
      </c>
      <c r="Q882" s="147"/>
      <c r="R882" s="103"/>
      <c r="S882" s="103">
        <f t="shared" si="6"/>
        <v>0</v>
      </c>
      <c r="U882" s="107" t="str">
        <f t="shared" si="7"/>
        <v>0</v>
      </c>
    </row>
    <row r="883" ht="15.75" customHeight="1">
      <c r="A883" s="279"/>
      <c r="B883" s="280"/>
      <c r="C883" s="280"/>
      <c r="D883" s="280"/>
      <c r="E883" s="281"/>
      <c r="F883" s="281"/>
      <c r="G883" s="280"/>
      <c r="H883" s="282"/>
      <c r="I883" s="283"/>
      <c r="J883" s="280"/>
      <c r="K883" s="103"/>
      <c r="L883" s="146"/>
      <c r="M883" s="103"/>
      <c r="N883" s="103"/>
      <c r="O883" s="103">
        <f t="shared" si="3"/>
        <v>0</v>
      </c>
      <c r="P883" s="104">
        <f t="shared" si="4"/>
        <v>0</v>
      </c>
      <c r="Q883" s="147"/>
      <c r="R883" s="103"/>
      <c r="S883" s="103">
        <f t="shared" si="6"/>
        <v>0</v>
      </c>
      <c r="U883" s="107" t="str">
        <f t="shared" si="7"/>
        <v>0</v>
      </c>
    </row>
    <row r="884" ht="15.75" customHeight="1">
      <c r="A884" s="279"/>
      <c r="B884" s="280"/>
      <c r="C884" s="280"/>
      <c r="D884" s="280"/>
      <c r="E884" s="281"/>
      <c r="F884" s="281"/>
      <c r="G884" s="280"/>
      <c r="H884" s="282"/>
      <c r="I884" s="283"/>
      <c r="J884" s="280"/>
      <c r="K884" s="103"/>
      <c r="L884" s="146"/>
      <c r="M884" s="103"/>
      <c r="N884" s="103"/>
      <c r="O884" s="103">
        <f t="shared" si="3"/>
        <v>0</v>
      </c>
      <c r="P884" s="104">
        <f t="shared" si="4"/>
        <v>0</v>
      </c>
      <c r="Q884" s="147"/>
      <c r="R884" s="103"/>
      <c r="S884" s="103">
        <f t="shared" si="6"/>
        <v>0</v>
      </c>
      <c r="U884" s="107" t="str">
        <f t="shared" si="7"/>
        <v>0</v>
      </c>
    </row>
    <row r="885" ht="15.75" customHeight="1">
      <c r="A885" s="279"/>
      <c r="B885" s="280"/>
      <c r="C885" s="280"/>
      <c r="D885" s="280"/>
      <c r="E885" s="281"/>
      <c r="F885" s="281"/>
      <c r="G885" s="280"/>
      <c r="H885" s="282"/>
      <c r="I885" s="283"/>
      <c r="J885" s="280"/>
      <c r="K885" s="103"/>
      <c r="L885" s="146"/>
      <c r="M885" s="103"/>
      <c r="N885" s="103"/>
      <c r="O885" s="103">
        <f t="shared" si="3"/>
        <v>0</v>
      </c>
      <c r="P885" s="104">
        <f t="shared" si="4"/>
        <v>0</v>
      </c>
      <c r="Q885" s="147"/>
      <c r="R885" s="103"/>
      <c r="S885" s="103">
        <f t="shared" si="6"/>
        <v>0</v>
      </c>
      <c r="U885" s="107" t="str">
        <f t="shared" si="7"/>
        <v>0</v>
      </c>
    </row>
    <row r="886" ht="15.75" customHeight="1">
      <c r="A886" s="279"/>
      <c r="B886" s="280"/>
      <c r="C886" s="280"/>
      <c r="D886" s="280"/>
      <c r="E886" s="281"/>
      <c r="F886" s="281"/>
      <c r="G886" s="280"/>
      <c r="H886" s="282"/>
      <c r="I886" s="283"/>
      <c r="J886" s="280"/>
      <c r="K886" s="103"/>
      <c r="L886" s="146"/>
      <c r="M886" s="103"/>
      <c r="N886" s="103"/>
      <c r="O886" s="103">
        <f t="shared" si="3"/>
        <v>0</v>
      </c>
      <c r="P886" s="104">
        <f t="shared" si="4"/>
        <v>0</v>
      </c>
      <c r="Q886" s="147"/>
      <c r="R886" s="103"/>
      <c r="S886" s="103">
        <f t="shared" si="6"/>
        <v>0</v>
      </c>
      <c r="U886" s="107" t="str">
        <f t="shared" si="7"/>
        <v>0</v>
      </c>
    </row>
    <row r="887" ht="15.75" customHeight="1">
      <c r="A887" s="279"/>
      <c r="B887" s="280"/>
      <c r="C887" s="280"/>
      <c r="D887" s="280"/>
      <c r="E887" s="281"/>
      <c r="F887" s="281"/>
      <c r="G887" s="280"/>
      <c r="H887" s="282"/>
      <c r="I887" s="283"/>
      <c r="J887" s="280"/>
      <c r="K887" s="103"/>
      <c r="L887" s="146"/>
      <c r="M887" s="103"/>
      <c r="N887" s="103"/>
      <c r="O887" s="103">
        <f t="shared" si="3"/>
        <v>0</v>
      </c>
      <c r="P887" s="104">
        <f t="shared" si="4"/>
        <v>0</v>
      </c>
      <c r="Q887" s="147"/>
      <c r="R887" s="103"/>
      <c r="S887" s="103">
        <f t="shared" si="6"/>
        <v>0</v>
      </c>
      <c r="U887" s="107" t="str">
        <f t="shared" si="7"/>
        <v>0</v>
      </c>
    </row>
    <row r="888" ht="15.75" customHeight="1">
      <c r="A888" s="279"/>
      <c r="B888" s="280"/>
      <c r="C888" s="280"/>
      <c r="D888" s="280"/>
      <c r="E888" s="281"/>
      <c r="F888" s="281"/>
      <c r="G888" s="280"/>
      <c r="H888" s="282"/>
      <c r="I888" s="283"/>
      <c r="J888" s="280"/>
      <c r="K888" s="103"/>
      <c r="L888" s="146"/>
      <c r="M888" s="103"/>
      <c r="N888" s="103"/>
      <c r="O888" s="103">
        <f t="shared" si="3"/>
        <v>0</v>
      </c>
      <c r="P888" s="104">
        <f t="shared" si="4"/>
        <v>0</v>
      </c>
      <c r="Q888" s="147"/>
      <c r="R888" s="103"/>
      <c r="S888" s="103">
        <f t="shared" si="6"/>
        <v>0</v>
      </c>
      <c r="U888" s="107" t="str">
        <f t="shared" si="7"/>
        <v>0</v>
      </c>
    </row>
    <row r="889" ht="15.75" customHeight="1">
      <c r="A889" s="279"/>
      <c r="B889" s="280"/>
      <c r="C889" s="280"/>
      <c r="D889" s="280"/>
      <c r="E889" s="281"/>
      <c r="F889" s="281"/>
      <c r="G889" s="280"/>
      <c r="H889" s="282"/>
      <c r="I889" s="283"/>
      <c r="J889" s="280"/>
      <c r="K889" s="103"/>
      <c r="L889" s="146"/>
      <c r="M889" s="103"/>
      <c r="N889" s="103"/>
      <c r="O889" s="103">
        <f t="shared" si="3"/>
        <v>0</v>
      </c>
      <c r="P889" s="104">
        <f t="shared" si="4"/>
        <v>0</v>
      </c>
      <c r="Q889" s="147"/>
      <c r="R889" s="103"/>
      <c r="S889" s="103">
        <f t="shared" si="6"/>
        <v>0</v>
      </c>
      <c r="U889" s="107" t="str">
        <f t="shared" si="7"/>
        <v>0</v>
      </c>
    </row>
    <row r="890" ht="15.75" customHeight="1">
      <c r="A890" s="279"/>
      <c r="B890" s="280"/>
      <c r="C890" s="280"/>
      <c r="D890" s="280"/>
      <c r="E890" s="281"/>
      <c r="F890" s="281"/>
      <c r="G890" s="280"/>
      <c r="H890" s="282"/>
      <c r="I890" s="283"/>
      <c r="J890" s="280"/>
      <c r="K890" s="103"/>
      <c r="L890" s="146"/>
      <c r="M890" s="103"/>
      <c r="N890" s="103"/>
      <c r="O890" s="103">
        <f t="shared" si="3"/>
        <v>0</v>
      </c>
      <c r="P890" s="104">
        <f t="shared" si="4"/>
        <v>0</v>
      </c>
      <c r="Q890" s="147"/>
      <c r="R890" s="103"/>
      <c r="S890" s="103">
        <f t="shared" si="6"/>
        <v>0</v>
      </c>
      <c r="U890" s="107" t="str">
        <f t="shared" si="7"/>
        <v>0</v>
      </c>
    </row>
    <row r="891" ht="15.75" customHeight="1">
      <c r="A891" s="279"/>
      <c r="B891" s="280"/>
      <c r="C891" s="280"/>
      <c r="D891" s="280"/>
      <c r="E891" s="281"/>
      <c r="F891" s="281"/>
      <c r="G891" s="280"/>
      <c r="H891" s="282"/>
      <c r="I891" s="283"/>
      <c r="J891" s="280"/>
      <c r="K891" s="103"/>
      <c r="L891" s="146"/>
      <c r="M891" s="103"/>
      <c r="N891" s="103"/>
      <c r="O891" s="103">
        <f t="shared" si="3"/>
        <v>0</v>
      </c>
      <c r="P891" s="104">
        <f t="shared" si="4"/>
        <v>0</v>
      </c>
      <c r="Q891" s="147"/>
      <c r="R891" s="103"/>
      <c r="S891" s="103">
        <f t="shared" si="6"/>
        <v>0</v>
      </c>
      <c r="U891" s="107" t="str">
        <f t="shared" si="7"/>
        <v>0</v>
      </c>
    </row>
    <row r="892" ht="15.75" customHeight="1">
      <c r="A892" s="279"/>
      <c r="B892" s="280"/>
      <c r="C892" s="280"/>
      <c r="D892" s="280"/>
      <c r="E892" s="281"/>
      <c r="F892" s="281"/>
      <c r="G892" s="280"/>
      <c r="H892" s="282"/>
      <c r="I892" s="283"/>
      <c r="J892" s="280"/>
      <c r="K892" s="103"/>
      <c r="L892" s="146"/>
      <c r="M892" s="103"/>
      <c r="N892" s="103"/>
      <c r="O892" s="103">
        <f t="shared" si="3"/>
        <v>0</v>
      </c>
      <c r="P892" s="104">
        <f t="shared" si="4"/>
        <v>0</v>
      </c>
      <c r="Q892" s="147"/>
      <c r="R892" s="103"/>
      <c r="S892" s="103">
        <f t="shared" si="6"/>
        <v>0</v>
      </c>
      <c r="U892" s="107" t="str">
        <f t="shared" si="7"/>
        <v>0</v>
      </c>
    </row>
    <row r="893" ht="15.75" customHeight="1">
      <c r="A893" s="279"/>
      <c r="B893" s="280"/>
      <c r="C893" s="280"/>
      <c r="D893" s="280"/>
      <c r="E893" s="281"/>
      <c r="F893" s="281"/>
      <c r="G893" s="280"/>
      <c r="H893" s="282"/>
      <c r="I893" s="283"/>
      <c r="J893" s="280"/>
      <c r="K893" s="103"/>
      <c r="L893" s="146"/>
      <c r="M893" s="103"/>
      <c r="N893" s="103"/>
      <c r="O893" s="103">
        <f t="shared" si="3"/>
        <v>0</v>
      </c>
      <c r="P893" s="104">
        <f t="shared" si="4"/>
        <v>0</v>
      </c>
      <c r="Q893" s="147"/>
      <c r="R893" s="103"/>
      <c r="S893" s="103">
        <f t="shared" si="6"/>
        <v>0</v>
      </c>
      <c r="U893" s="107" t="str">
        <f t="shared" si="7"/>
        <v>0</v>
      </c>
    </row>
    <row r="894" ht="15.75" customHeight="1">
      <c r="A894" s="279"/>
      <c r="B894" s="280"/>
      <c r="C894" s="280"/>
      <c r="D894" s="280"/>
      <c r="E894" s="281"/>
      <c r="F894" s="281"/>
      <c r="G894" s="280"/>
      <c r="H894" s="282"/>
      <c r="I894" s="283"/>
      <c r="J894" s="280"/>
      <c r="K894" s="103"/>
      <c r="L894" s="146"/>
      <c r="M894" s="103"/>
      <c r="N894" s="103"/>
      <c r="O894" s="103">
        <f t="shared" si="3"/>
        <v>0</v>
      </c>
      <c r="P894" s="104">
        <f t="shared" si="4"/>
        <v>0</v>
      </c>
      <c r="Q894" s="147"/>
      <c r="R894" s="103"/>
      <c r="S894" s="103">
        <f t="shared" si="6"/>
        <v>0</v>
      </c>
      <c r="U894" s="107" t="str">
        <f t="shared" si="7"/>
        <v>0</v>
      </c>
    </row>
    <row r="895" ht="15.75" customHeight="1">
      <c r="A895" s="279"/>
      <c r="B895" s="280"/>
      <c r="C895" s="280"/>
      <c r="D895" s="280"/>
      <c r="E895" s="281"/>
      <c r="F895" s="281"/>
      <c r="G895" s="280"/>
      <c r="H895" s="282"/>
      <c r="I895" s="283"/>
      <c r="J895" s="280"/>
      <c r="K895" s="103"/>
      <c r="L895" s="146"/>
      <c r="M895" s="103"/>
      <c r="N895" s="103"/>
      <c r="O895" s="103">
        <f t="shared" si="3"/>
        <v>0</v>
      </c>
      <c r="P895" s="104">
        <f t="shared" si="4"/>
        <v>0</v>
      </c>
      <c r="Q895" s="147"/>
      <c r="R895" s="103"/>
      <c r="S895" s="103">
        <f t="shared" si="6"/>
        <v>0</v>
      </c>
      <c r="U895" s="107" t="str">
        <f t="shared" si="7"/>
        <v>0</v>
      </c>
    </row>
    <row r="896" ht="15.75" customHeight="1">
      <c r="A896" s="279"/>
      <c r="B896" s="280"/>
      <c r="C896" s="280"/>
      <c r="D896" s="280"/>
      <c r="E896" s="281"/>
      <c r="F896" s="281"/>
      <c r="G896" s="280"/>
      <c r="H896" s="282"/>
      <c r="I896" s="283"/>
      <c r="J896" s="280"/>
      <c r="K896" s="103"/>
      <c r="L896" s="146"/>
      <c r="M896" s="103"/>
      <c r="N896" s="103"/>
      <c r="O896" s="103">
        <f t="shared" si="3"/>
        <v>0</v>
      </c>
      <c r="P896" s="104">
        <f t="shared" si="4"/>
        <v>0</v>
      </c>
      <c r="Q896" s="147"/>
      <c r="R896" s="103"/>
      <c r="S896" s="103">
        <f t="shared" si="6"/>
        <v>0</v>
      </c>
      <c r="U896" s="107" t="str">
        <f t="shared" si="7"/>
        <v>0</v>
      </c>
    </row>
    <row r="897" ht="15.75" customHeight="1">
      <c r="A897" s="279"/>
      <c r="B897" s="280"/>
      <c r="C897" s="280"/>
      <c r="D897" s="280"/>
      <c r="E897" s="281"/>
      <c r="F897" s="281"/>
      <c r="G897" s="280"/>
      <c r="H897" s="282"/>
      <c r="I897" s="283"/>
      <c r="J897" s="280"/>
      <c r="K897" s="103"/>
      <c r="L897" s="146"/>
      <c r="M897" s="103"/>
      <c r="N897" s="103"/>
      <c r="O897" s="103">
        <f t="shared" si="3"/>
        <v>0</v>
      </c>
      <c r="P897" s="104">
        <f t="shared" si="4"/>
        <v>0</v>
      </c>
      <c r="Q897" s="147"/>
      <c r="R897" s="103"/>
      <c r="S897" s="103">
        <f t="shared" si="6"/>
        <v>0</v>
      </c>
      <c r="U897" s="107" t="str">
        <f t="shared" si="7"/>
        <v>0</v>
      </c>
    </row>
    <row r="898" ht="15.75" customHeight="1">
      <c r="A898" s="279"/>
      <c r="B898" s="280"/>
      <c r="C898" s="280"/>
      <c r="D898" s="280"/>
      <c r="E898" s="281"/>
      <c r="F898" s="281"/>
      <c r="G898" s="280"/>
      <c r="H898" s="282"/>
      <c r="I898" s="283"/>
      <c r="J898" s="280"/>
      <c r="K898" s="103"/>
      <c r="L898" s="146"/>
      <c r="M898" s="103"/>
      <c r="N898" s="103"/>
      <c r="O898" s="103">
        <f t="shared" si="3"/>
        <v>0</v>
      </c>
      <c r="P898" s="104">
        <f t="shared" si="4"/>
        <v>0</v>
      </c>
      <c r="Q898" s="147"/>
      <c r="R898" s="103"/>
      <c r="S898" s="103">
        <f t="shared" si="6"/>
        <v>0</v>
      </c>
      <c r="U898" s="107" t="str">
        <f t="shared" si="7"/>
        <v>0</v>
      </c>
    </row>
    <row r="899" ht="15.75" customHeight="1">
      <c r="A899" s="279"/>
      <c r="B899" s="280"/>
      <c r="C899" s="280"/>
      <c r="D899" s="280"/>
      <c r="E899" s="281"/>
      <c r="F899" s="281"/>
      <c r="G899" s="280"/>
      <c r="H899" s="282"/>
      <c r="I899" s="283"/>
      <c r="J899" s="280"/>
      <c r="K899" s="103"/>
      <c r="L899" s="146"/>
      <c r="M899" s="103"/>
      <c r="N899" s="103"/>
      <c r="O899" s="103">
        <f t="shared" si="3"/>
        <v>0</v>
      </c>
      <c r="P899" s="104">
        <f t="shared" si="4"/>
        <v>0</v>
      </c>
      <c r="Q899" s="147"/>
      <c r="R899" s="103"/>
      <c r="S899" s="103">
        <f t="shared" si="6"/>
        <v>0</v>
      </c>
      <c r="U899" s="107" t="str">
        <f t="shared" si="7"/>
        <v>0</v>
      </c>
    </row>
    <row r="900" ht="15.75" customHeight="1">
      <c r="A900" s="279"/>
      <c r="B900" s="280"/>
      <c r="C900" s="280"/>
      <c r="D900" s="280"/>
      <c r="E900" s="281"/>
      <c r="F900" s="281"/>
      <c r="G900" s="280"/>
      <c r="H900" s="282"/>
      <c r="I900" s="283"/>
      <c r="J900" s="280"/>
      <c r="K900" s="103"/>
      <c r="L900" s="146"/>
      <c r="M900" s="103"/>
      <c r="N900" s="103"/>
      <c r="O900" s="103">
        <f t="shared" si="3"/>
        <v>0</v>
      </c>
      <c r="P900" s="104">
        <f t="shared" si="4"/>
        <v>0</v>
      </c>
      <c r="Q900" s="147"/>
      <c r="R900" s="103"/>
      <c r="S900" s="103">
        <f t="shared" si="6"/>
        <v>0</v>
      </c>
      <c r="U900" s="107" t="str">
        <f t="shared" si="7"/>
        <v>0</v>
      </c>
    </row>
    <row r="901" ht="15.75" customHeight="1">
      <c r="A901" s="279"/>
      <c r="B901" s="280"/>
      <c r="C901" s="280"/>
      <c r="D901" s="280"/>
      <c r="E901" s="281"/>
      <c r="F901" s="281"/>
      <c r="G901" s="280"/>
      <c r="H901" s="282"/>
      <c r="I901" s="283"/>
      <c r="J901" s="280"/>
      <c r="K901" s="103"/>
      <c r="L901" s="146"/>
      <c r="M901" s="103"/>
      <c r="N901" s="103"/>
      <c r="O901" s="103">
        <f t="shared" si="3"/>
        <v>0</v>
      </c>
      <c r="P901" s="104">
        <f t="shared" si="4"/>
        <v>0</v>
      </c>
      <c r="Q901" s="147"/>
      <c r="R901" s="103"/>
      <c r="S901" s="103">
        <f t="shared" si="6"/>
        <v>0</v>
      </c>
      <c r="U901" s="107" t="str">
        <f t="shared" si="7"/>
        <v>0</v>
      </c>
    </row>
    <row r="902" ht="15.75" customHeight="1">
      <c r="A902" s="279"/>
      <c r="B902" s="280"/>
      <c r="C902" s="280"/>
      <c r="D902" s="280"/>
      <c r="E902" s="281"/>
      <c r="F902" s="281"/>
      <c r="G902" s="280"/>
      <c r="H902" s="282"/>
      <c r="I902" s="283"/>
      <c r="J902" s="280"/>
      <c r="K902" s="103"/>
      <c r="L902" s="146"/>
      <c r="M902" s="103"/>
      <c r="N902" s="103"/>
      <c r="O902" s="103">
        <f t="shared" si="3"/>
        <v>0</v>
      </c>
      <c r="P902" s="104">
        <f t="shared" si="4"/>
        <v>0</v>
      </c>
      <c r="Q902" s="147"/>
      <c r="R902" s="103"/>
      <c r="S902" s="103">
        <f t="shared" si="6"/>
        <v>0</v>
      </c>
      <c r="U902" s="107" t="str">
        <f t="shared" si="7"/>
        <v>0</v>
      </c>
    </row>
    <row r="903" ht="15.75" customHeight="1">
      <c r="A903" s="279"/>
      <c r="B903" s="280"/>
      <c r="C903" s="280"/>
      <c r="D903" s="280"/>
      <c r="E903" s="281"/>
      <c r="F903" s="281"/>
      <c r="G903" s="280"/>
      <c r="H903" s="282"/>
      <c r="I903" s="283"/>
      <c r="J903" s="280"/>
      <c r="K903" s="103"/>
      <c r="L903" s="146"/>
      <c r="M903" s="103"/>
      <c r="N903" s="103"/>
      <c r="O903" s="103">
        <f t="shared" si="3"/>
        <v>0</v>
      </c>
      <c r="P903" s="104">
        <f t="shared" si="4"/>
        <v>0</v>
      </c>
      <c r="Q903" s="147"/>
      <c r="R903" s="103"/>
      <c r="S903" s="103">
        <f t="shared" si="6"/>
        <v>0</v>
      </c>
      <c r="U903" s="107" t="str">
        <f t="shared" si="7"/>
        <v>0</v>
      </c>
    </row>
    <row r="904" ht="15.75" customHeight="1">
      <c r="A904" s="279"/>
      <c r="B904" s="280"/>
      <c r="C904" s="280"/>
      <c r="D904" s="280"/>
      <c r="E904" s="281"/>
      <c r="F904" s="281"/>
      <c r="G904" s="280"/>
      <c r="H904" s="282"/>
      <c r="I904" s="283"/>
      <c r="J904" s="280"/>
      <c r="K904" s="103"/>
      <c r="L904" s="146"/>
      <c r="M904" s="103"/>
      <c r="N904" s="103"/>
      <c r="O904" s="103">
        <f t="shared" si="3"/>
        <v>0</v>
      </c>
      <c r="P904" s="104">
        <f t="shared" si="4"/>
        <v>0</v>
      </c>
      <c r="Q904" s="147"/>
      <c r="R904" s="103"/>
      <c r="S904" s="103">
        <f t="shared" si="6"/>
        <v>0</v>
      </c>
      <c r="U904" s="107" t="str">
        <f t="shared" si="7"/>
        <v>0</v>
      </c>
    </row>
    <row r="905" ht="15.75" customHeight="1">
      <c r="A905" s="279"/>
      <c r="B905" s="280"/>
      <c r="C905" s="280"/>
      <c r="D905" s="280"/>
      <c r="E905" s="281"/>
      <c r="F905" s="281"/>
      <c r="G905" s="280"/>
      <c r="H905" s="282"/>
      <c r="I905" s="283"/>
      <c r="J905" s="280"/>
      <c r="K905" s="103"/>
      <c r="L905" s="146"/>
      <c r="M905" s="103"/>
      <c r="N905" s="103"/>
      <c r="O905" s="103">
        <f t="shared" si="3"/>
        <v>0</v>
      </c>
      <c r="P905" s="104">
        <f t="shared" si="4"/>
        <v>0</v>
      </c>
      <c r="Q905" s="147"/>
      <c r="R905" s="103"/>
      <c r="S905" s="103">
        <f t="shared" si="6"/>
        <v>0</v>
      </c>
      <c r="U905" s="107" t="str">
        <f t="shared" si="7"/>
        <v>0</v>
      </c>
    </row>
    <row r="906" ht="15.75" customHeight="1">
      <c r="A906" s="279"/>
      <c r="B906" s="280"/>
      <c r="C906" s="280"/>
      <c r="D906" s="280"/>
      <c r="E906" s="281"/>
      <c r="F906" s="281"/>
      <c r="G906" s="280"/>
      <c r="H906" s="282"/>
      <c r="I906" s="283"/>
      <c r="J906" s="280"/>
      <c r="K906" s="103"/>
      <c r="L906" s="146"/>
      <c r="M906" s="103"/>
      <c r="N906" s="103"/>
      <c r="O906" s="103">
        <f t="shared" si="3"/>
        <v>0</v>
      </c>
      <c r="P906" s="104">
        <f t="shared" si="4"/>
        <v>0</v>
      </c>
      <c r="Q906" s="147"/>
      <c r="R906" s="103"/>
      <c r="S906" s="103">
        <f t="shared" si="6"/>
        <v>0</v>
      </c>
      <c r="U906" s="107" t="str">
        <f t="shared" si="7"/>
        <v>0</v>
      </c>
    </row>
    <row r="907" ht="15.75" customHeight="1">
      <c r="A907" s="279"/>
      <c r="B907" s="280"/>
      <c r="C907" s="280"/>
      <c r="D907" s="280"/>
      <c r="E907" s="281"/>
      <c r="F907" s="281"/>
      <c r="G907" s="280"/>
      <c r="H907" s="282"/>
      <c r="I907" s="283"/>
      <c r="J907" s="280"/>
      <c r="K907" s="103"/>
      <c r="L907" s="146"/>
      <c r="M907" s="103"/>
      <c r="N907" s="103"/>
      <c r="O907" s="103">
        <f t="shared" si="3"/>
        <v>0</v>
      </c>
      <c r="P907" s="104">
        <f t="shared" si="4"/>
        <v>0</v>
      </c>
      <c r="Q907" s="147"/>
      <c r="R907" s="103"/>
      <c r="S907" s="103">
        <f t="shared" si="6"/>
        <v>0</v>
      </c>
      <c r="U907" s="107" t="str">
        <f t="shared" si="7"/>
        <v>0</v>
      </c>
    </row>
    <row r="908" ht="15.75" customHeight="1">
      <c r="A908" s="279"/>
      <c r="B908" s="280"/>
      <c r="C908" s="280"/>
      <c r="D908" s="280"/>
      <c r="E908" s="281"/>
      <c r="F908" s="281"/>
      <c r="G908" s="280"/>
      <c r="H908" s="282"/>
      <c r="I908" s="283"/>
      <c r="J908" s="280"/>
      <c r="K908" s="103"/>
      <c r="L908" s="146"/>
      <c r="M908" s="103"/>
      <c r="N908" s="103"/>
      <c r="O908" s="103">
        <f t="shared" si="3"/>
        <v>0</v>
      </c>
      <c r="P908" s="104">
        <f t="shared" si="4"/>
        <v>0</v>
      </c>
      <c r="Q908" s="147"/>
      <c r="R908" s="103"/>
      <c r="S908" s="103">
        <f t="shared" si="6"/>
        <v>0</v>
      </c>
      <c r="U908" s="107" t="str">
        <f t="shared" si="7"/>
        <v>0</v>
      </c>
    </row>
    <row r="909" ht="15.75" customHeight="1">
      <c r="A909" s="279"/>
      <c r="B909" s="280"/>
      <c r="C909" s="280"/>
      <c r="D909" s="280"/>
      <c r="E909" s="281"/>
      <c r="F909" s="281"/>
      <c r="G909" s="280"/>
      <c r="H909" s="282"/>
      <c r="I909" s="283"/>
      <c r="J909" s="280"/>
      <c r="K909" s="103"/>
      <c r="L909" s="146"/>
      <c r="M909" s="103"/>
      <c r="N909" s="103"/>
      <c r="O909" s="103">
        <f t="shared" si="3"/>
        <v>0</v>
      </c>
      <c r="P909" s="104">
        <f t="shared" si="4"/>
        <v>0</v>
      </c>
      <c r="Q909" s="147"/>
      <c r="R909" s="103"/>
      <c r="S909" s="103">
        <f t="shared" si="6"/>
        <v>0</v>
      </c>
      <c r="U909" s="107" t="str">
        <f t="shared" si="7"/>
        <v>0</v>
      </c>
    </row>
    <row r="910" ht="15.75" customHeight="1">
      <c r="A910" s="279"/>
      <c r="B910" s="280"/>
      <c r="C910" s="280"/>
      <c r="D910" s="280"/>
      <c r="E910" s="281"/>
      <c r="F910" s="281"/>
      <c r="G910" s="280"/>
      <c r="H910" s="282"/>
      <c r="I910" s="283"/>
      <c r="J910" s="280"/>
      <c r="K910" s="103"/>
      <c r="L910" s="146"/>
      <c r="M910" s="103"/>
      <c r="N910" s="103"/>
      <c r="O910" s="103">
        <f t="shared" si="3"/>
        <v>0</v>
      </c>
      <c r="P910" s="104">
        <f t="shared" si="4"/>
        <v>0</v>
      </c>
      <c r="Q910" s="147"/>
      <c r="R910" s="103"/>
      <c r="S910" s="103">
        <f t="shared" si="6"/>
        <v>0</v>
      </c>
      <c r="U910" s="107" t="str">
        <f t="shared" si="7"/>
        <v>0</v>
      </c>
    </row>
    <row r="911" ht="15.75" customHeight="1">
      <c r="A911" s="279"/>
      <c r="B911" s="280"/>
      <c r="C911" s="280"/>
      <c r="D911" s="280"/>
      <c r="E911" s="281"/>
      <c r="F911" s="281"/>
      <c r="G911" s="280"/>
      <c r="H911" s="282"/>
      <c r="I911" s="283"/>
      <c r="J911" s="280"/>
      <c r="K911" s="103"/>
      <c r="L911" s="146"/>
      <c r="M911" s="103"/>
      <c r="N911" s="103"/>
      <c r="O911" s="103">
        <f t="shared" si="3"/>
        <v>0</v>
      </c>
      <c r="P911" s="104">
        <f t="shared" si="4"/>
        <v>0</v>
      </c>
      <c r="Q911" s="147"/>
      <c r="R911" s="103"/>
      <c r="S911" s="103">
        <f t="shared" si="6"/>
        <v>0</v>
      </c>
      <c r="U911" s="107" t="str">
        <f t="shared" si="7"/>
        <v>0</v>
      </c>
    </row>
    <row r="912" ht="15.75" customHeight="1">
      <c r="A912" s="279"/>
      <c r="B912" s="280"/>
      <c r="C912" s="280"/>
      <c r="D912" s="280"/>
      <c r="E912" s="281"/>
      <c r="F912" s="281"/>
      <c r="G912" s="280"/>
      <c r="H912" s="282"/>
      <c r="I912" s="283"/>
      <c r="J912" s="280"/>
      <c r="K912" s="103"/>
      <c r="L912" s="146"/>
      <c r="M912" s="103"/>
      <c r="N912" s="103"/>
      <c r="O912" s="103">
        <f t="shared" si="3"/>
        <v>0</v>
      </c>
      <c r="P912" s="104">
        <f t="shared" si="4"/>
        <v>0</v>
      </c>
      <c r="Q912" s="147"/>
      <c r="R912" s="103"/>
      <c r="S912" s="103">
        <f t="shared" si="6"/>
        <v>0</v>
      </c>
      <c r="U912" s="107" t="str">
        <f t="shared" si="7"/>
        <v>0</v>
      </c>
    </row>
    <row r="913" ht="15.75" customHeight="1">
      <c r="A913" s="279"/>
      <c r="B913" s="280"/>
      <c r="C913" s="280"/>
      <c r="D913" s="280"/>
      <c r="E913" s="281"/>
      <c r="F913" s="281"/>
      <c r="G913" s="280"/>
      <c r="H913" s="282"/>
      <c r="I913" s="283"/>
      <c r="J913" s="280"/>
      <c r="K913" s="103"/>
      <c r="L913" s="146"/>
      <c r="M913" s="103"/>
      <c r="N913" s="103"/>
      <c r="O913" s="103">
        <f t="shared" si="3"/>
        <v>0</v>
      </c>
      <c r="P913" s="104">
        <f t="shared" si="4"/>
        <v>0</v>
      </c>
      <c r="Q913" s="147"/>
      <c r="R913" s="103"/>
      <c r="S913" s="103">
        <f t="shared" si="6"/>
        <v>0</v>
      </c>
      <c r="U913" s="107" t="str">
        <f t="shared" si="7"/>
        <v>0</v>
      </c>
    </row>
    <row r="914" ht="15.75" customHeight="1">
      <c r="A914" s="279"/>
      <c r="B914" s="280"/>
      <c r="C914" s="280"/>
      <c r="D914" s="280"/>
      <c r="E914" s="281"/>
      <c r="F914" s="281"/>
      <c r="G914" s="280"/>
      <c r="H914" s="282"/>
      <c r="I914" s="283"/>
      <c r="J914" s="280"/>
      <c r="K914" s="103"/>
      <c r="L914" s="146"/>
      <c r="M914" s="103"/>
      <c r="N914" s="103"/>
      <c r="O914" s="103">
        <f t="shared" si="3"/>
        <v>0</v>
      </c>
      <c r="P914" s="104">
        <f t="shared" si="4"/>
        <v>0</v>
      </c>
      <c r="Q914" s="147"/>
      <c r="R914" s="103"/>
      <c r="S914" s="103">
        <f t="shared" si="6"/>
        <v>0</v>
      </c>
      <c r="U914" s="107" t="str">
        <f t="shared" si="7"/>
        <v>0</v>
      </c>
    </row>
    <row r="915" ht="15.75" customHeight="1">
      <c r="A915" s="279"/>
      <c r="B915" s="280"/>
      <c r="C915" s="280"/>
      <c r="D915" s="280"/>
      <c r="E915" s="281"/>
      <c r="F915" s="281"/>
      <c r="G915" s="280"/>
      <c r="H915" s="282"/>
      <c r="I915" s="283"/>
      <c r="J915" s="280"/>
      <c r="K915" s="103"/>
      <c r="L915" s="146"/>
      <c r="M915" s="103"/>
      <c r="N915" s="103"/>
      <c r="O915" s="103">
        <f t="shared" si="3"/>
        <v>0</v>
      </c>
      <c r="P915" s="104">
        <f t="shared" si="4"/>
        <v>0</v>
      </c>
      <c r="Q915" s="147"/>
      <c r="R915" s="103"/>
      <c r="S915" s="103">
        <f t="shared" si="6"/>
        <v>0</v>
      </c>
      <c r="U915" s="107" t="str">
        <f t="shared" si="7"/>
        <v>0</v>
      </c>
    </row>
    <row r="916" ht="15.75" customHeight="1">
      <c r="A916" s="279"/>
      <c r="B916" s="280"/>
      <c r="C916" s="280"/>
      <c r="D916" s="280"/>
      <c r="E916" s="281"/>
      <c r="F916" s="281"/>
      <c r="G916" s="280"/>
      <c r="H916" s="282"/>
      <c r="I916" s="283"/>
      <c r="J916" s="280"/>
      <c r="K916" s="103"/>
      <c r="L916" s="146"/>
      <c r="M916" s="103"/>
      <c r="N916" s="103"/>
      <c r="O916" s="103">
        <f t="shared" si="3"/>
        <v>0</v>
      </c>
      <c r="P916" s="104">
        <f t="shared" si="4"/>
        <v>0</v>
      </c>
      <c r="Q916" s="147"/>
      <c r="R916" s="103"/>
      <c r="S916" s="103">
        <f t="shared" si="6"/>
        <v>0</v>
      </c>
      <c r="U916" s="107" t="str">
        <f t="shared" si="7"/>
        <v>0</v>
      </c>
    </row>
    <row r="917" ht="15.75" customHeight="1">
      <c r="A917" s="279"/>
      <c r="B917" s="280"/>
      <c r="C917" s="280"/>
      <c r="D917" s="280"/>
      <c r="E917" s="281"/>
      <c r="F917" s="281"/>
      <c r="G917" s="280"/>
      <c r="H917" s="282"/>
      <c r="I917" s="283"/>
      <c r="J917" s="280"/>
      <c r="K917" s="103"/>
      <c r="L917" s="146"/>
      <c r="M917" s="103"/>
      <c r="N917" s="103"/>
      <c r="O917" s="103">
        <f t="shared" si="3"/>
        <v>0</v>
      </c>
      <c r="P917" s="104">
        <f t="shared" si="4"/>
        <v>0</v>
      </c>
      <c r="Q917" s="147"/>
      <c r="R917" s="103"/>
      <c r="S917" s="103">
        <f t="shared" si="6"/>
        <v>0</v>
      </c>
      <c r="U917" s="107" t="str">
        <f t="shared" si="7"/>
        <v>0</v>
      </c>
    </row>
    <row r="918" ht="15.75" customHeight="1">
      <c r="A918" s="279"/>
      <c r="B918" s="280"/>
      <c r="C918" s="280"/>
      <c r="D918" s="280"/>
      <c r="E918" s="281"/>
      <c r="F918" s="281"/>
      <c r="G918" s="280"/>
      <c r="H918" s="282"/>
      <c r="I918" s="283"/>
      <c r="J918" s="280"/>
      <c r="K918" s="103"/>
      <c r="L918" s="146"/>
      <c r="M918" s="103"/>
      <c r="N918" s="103"/>
      <c r="O918" s="103">
        <f t="shared" si="3"/>
        <v>0</v>
      </c>
      <c r="P918" s="104">
        <f t="shared" si="4"/>
        <v>0</v>
      </c>
      <c r="Q918" s="147"/>
      <c r="R918" s="103"/>
      <c r="S918" s="103">
        <f t="shared" si="6"/>
        <v>0</v>
      </c>
      <c r="U918" s="107" t="str">
        <f t="shared" si="7"/>
        <v>0</v>
      </c>
    </row>
    <row r="919" ht="15.75" customHeight="1">
      <c r="A919" s="279"/>
      <c r="B919" s="280"/>
      <c r="C919" s="280"/>
      <c r="D919" s="280"/>
      <c r="E919" s="281"/>
      <c r="F919" s="281"/>
      <c r="G919" s="280"/>
      <c r="H919" s="282"/>
      <c r="I919" s="283"/>
      <c r="J919" s="280"/>
      <c r="K919" s="103"/>
      <c r="L919" s="146"/>
      <c r="M919" s="103"/>
      <c r="N919" s="103"/>
      <c r="O919" s="103">
        <f t="shared" si="3"/>
        <v>0</v>
      </c>
      <c r="P919" s="104">
        <f t="shared" si="4"/>
        <v>0</v>
      </c>
      <c r="Q919" s="147"/>
      <c r="R919" s="103"/>
      <c r="S919" s="103">
        <f t="shared" si="6"/>
        <v>0</v>
      </c>
      <c r="U919" s="107" t="str">
        <f t="shared" si="7"/>
        <v>0</v>
      </c>
    </row>
    <row r="920" ht="15.75" customHeight="1">
      <c r="A920" s="279"/>
      <c r="B920" s="280"/>
      <c r="C920" s="280"/>
      <c r="D920" s="280"/>
      <c r="E920" s="281"/>
      <c r="F920" s="281"/>
      <c r="G920" s="280"/>
      <c r="H920" s="282"/>
      <c r="I920" s="283"/>
      <c r="J920" s="280"/>
      <c r="K920" s="103"/>
      <c r="L920" s="146"/>
      <c r="M920" s="103"/>
      <c r="N920" s="103"/>
      <c r="O920" s="103">
        <f t="shared" si="3"/>
        <v>0</v>
      </c>
      <c r="P920" s="104">
        <f t="shared" si="4"/>
        <v>0</v>
      </c>
      <c r="Q920" s="147"/>
      <c r="R920" s="103"/>
      <c r="S920" s="103">
        <f t="shared" si="6"/>
        <v>0</v>
      </c>
      <c r="U920" s="107" t="str">
        <f t="shared" si="7"/>
        <v>0</v>
      </c>
    </row>
    <row r="921" ht="15.75" customHeight="1">
      <c r="A921" s="279"/>
      <c r="B921" s="280"/>
      <c r="C921" s="280"/>
      <c r="D921" s="280"/>
      <c r="E921" s="281"/>
      <c r="F921" s="281"/>
      <c r="G921" s="280"/>
      <c r="H921" s="282"/>
      <c r="I921" s="283"/>
      <c r="J921" s="280"/>
      <c r="K921" s="103"/>
      <c r="L921" s="146"/>
      <c r="M921" s="103"/>
      <c r="N921" s="103"/>
      <c r="O921" s="103">
        <f t="shared" si="3"/>
        <v>0</v>
      </c>
      <c r="P921" s="104">
        <f t="shared" si="4"/>
        <v>0</v>
      </c>
      <c r="Q921" s="147"/>
      <c r="R921" s="103"/>
      <c r="S921" s="103">
        <f t="shared" si="6"/>
        <v>0</v>
      </c>
      <c r="U921" s="107" t="str">
        <f t="shared" si="7"/>
        <v>0</v>
      </c>
    </row>
    <row r="922" ht="15.75" customHeight="1">
      <c r="A922" s="279"/>
      <c r="B922" s="280"/>
      <c r="C922" s="280"/>
      <c r="D922" s="280"/>
      <c r="E922" s="281"/>
      <c r="F922" s="281"/>
      <c r="G922" s="280"/>
      <c r="H922" s="282"/>
      <c r="I922" s="283"/>
      <c r="J922" s="280"/>
      <c r="K922" s="103"/>
      <c r="L922" s="146"/>
      <c r="M922" s="103"/>
      <c r="N922" s="103"/>
      <c r="O922" s="103">
        <f t="shared" si="3"/>
        <v>0</v>
      </c>
      <c r="P922" s="104">
        <f t="shared" si="4"/>
        <v>0</v>
      </c>
      <c r="Q922" s="147"/>
      <c r="R922" s="103"/>
      <c r="S922" s="103">
        <f t="shared" si="6"/>
        <v>0</v>
      </c>
      <c r="U922" s="107" t="str">
        <f t="shared" si="7"/>
        <v>0</v>
      </c>
    </row>
    <row r="923" ht="15.75" customHeight="1">
      <c r="A923" s="279"/>
      <c r="B923" s="280"/>
      <c r="C923" s="280"/>
      <c r="D923" s="280"/>
      <c r="E923" s="281"/>
      <c r="F923" s="281"/>
      <c r="G923" s="280"/>
      <c r="H923" s="282"/>
      <c r="I923" s="283"/>
      <c r="J923" s="280"/>
      <c r="K923" s="103"/>
      <c r="L923" s="146"/>
      <c r="M923" s="103"/>
      <c r="N923" s="103"/>
      <c r="O923" s="103">
        <f t="shared" si="3"/>
        <v>0</v>
      </c>
      <c r="P923" s="104">
        <f t="shared" si="4"/>
        <v>0</v>
      </c>
      <c r="Q923" s="147"/>
      <c r="R923" s="103"/>
      <c r="S923" s="103">
        <f t="shared" si="6"/>
        <v>0</v>
      </c>
      <c r="U923" s="107" t="str">
        <f t="shared" si="7"/>
        <v>0</v>
      </c>
    </row>
    <row r="924" ht="15.75" customHeight="1">
      <c r="A924" s="279"/>
      <c r="B924" s="280"/>
      <c r="C924" s="280"/>
      <c r="D924" s="280"/>
      <c r="E924" s="281"/>
      <c r="F924" s="281"/>
      <c r="G924" s="280"/>
      <c r="H924" s="282"/>
      <c r="I924" s="283"/>
      <c r="J924" s="280"/>
      <c r="K924" s="103"/>
      <c r="L924" s="146"/>
      <c r="M924" s="103"/>
      <c r="N924" s="103"/>
      <c r="O924" s="103">
        <f t="shared" si="3"/>
        <v>0</v>
      </c>
      <c r="P924" s="104">
        <f t="shared" si="4"/>
        <v>0</v>
      </c>
      <c r="Q924" s="147"/>
      <c r="R924" s="103"/>
      <c r="S924" s="103">
        <f t="shared" si="6"/>
        <v>0</v>
      </c>
      <c r="U924" s="107" t="str">
        <f t="shared" si="7"/>
        <v>0</v>
      </c>
    </row>
    <row r="925" ht="15.75" customHeight="1">
      <c r="A925" s="279"/>
      <c r="B925" s="280"/>
      <c r="C925" s="280"/>
      <c r="D925" s="280"/>
      <c r="E925" s="281"/>
      <c r="F925" s="281"/>
      <c r="G925" s="280"/>
      <c r="H925" s="282"/>
      <c r="I925" s="283"/>
      <c r="J925" s="280"/>
      <c r="K925" s="103"/>
      <c r="L925" s="146"/>
      <c r="M925" s="103"/>
      <c r="N925" s="103"/>
      <c r="O925" s="103">
        <f t="shared" si="3"/>
        <v>0</v>
      </c>
      <c r="P925" s="104">
        <f t="shared" si="4"/>
        <v>0</v>
      </c>
      <c r="Q925" s="147"/>
      <c r="R925" s="103"/>
      <c r="S925" s="103">
        <f t="shared" si="6"/>
        <v>0</v>
      </c>
      <c r="U925" s="107" t="str">
        <f t="shared" si="7"/>
        <v>0</v>
      </c>
    </row>
    <row r="926" ht="15.75" customHeight="1">
      <c r="A926" s="279"/>
      <c r="B926" s="280"/>
      <c r="C926" s="280"/>
      <c r="D926" s="280"/>
      <c r="E926" s="281"/>
      <c r="F926" s="281"/>
      <c r="G926" s="280"/>
      <c r="H926" s="282"/>
      <c r="I926" s="283"/>
      <c r="J926" s="280"/>
      <c r="K926" s="103"/>
      <c r="L926" s="146"/>
      <c r="M926" s="103"/>
      <c r="N926" s="103"/>
      <c r="O926" s="103">
        <f t="shared" si="3"/>
        <v>0</v>
      </c>
      <c r="P926" s="104">
        <f t="shared" si="4"/>
        <v>0</v>
      </c>
      <c r="Q926" s="147"/>
      <c r="R926" s="103"/>
      <c r="S926" s="103">
        <f t="shared" si="6"/>
        <v>0</v>
      </c>
      <c r="U926" s="107" t="str">
        <f t="shared" si="7"/>
        <v>0</v>
      </c>
    </row>
    <row r="927" ht="15.75" customHeight="1">
      <c r="A927" s="279"/>
      <c r="B927" s="280"/>
      <c r="C927" s="280"/>
      <c r="D927" s="280"/>
      <c r="E927" s="281"/>
      <c r="F927" s="281"/>
      <c r="G927" s="280"/>
      <c r="H927" s="282"/>
      <c r="I927" s="283"/>
      <c r="J927" s="280"/>
      <c r="K927" s="103"/>
      <c r="L927" s="146"/>
      <c r="M927" s="103"/>
      <c r="N927" s="103"/>
      <c r="O927" s="103">
        <f t="shared" si="3"/>
        <v>0</v>
      </c>
      <c r="P927" s="104">
        <f t="shared" si="4"/>
        <v>0</v>
      </c>
      <c r="Q927" s="147"/>
      <c r="R927" s="103"/>
      <c r="S927" s="103">
        <f t="shared" si="6"/>
        <v>0</v>
      </c>
      <c r="U927" s="107" t="str">
        <f t="shared" si="7"/>
        <v>0</v>
      </c>
    </row>
    <row r="928" ht="15.75" customHeight="1">
      <c r="A928" s="279"/>
      <c r="B928" s="280"/>
      <c r="C928" s="280"/>
      <c r="D928" s="280"/>
      <c r="E928" s="281"/>
      <c r="F928" s="281"/>
      <c r="G928" s="280"/>
      <c r="H928" s="282"/>
      <c r="I928" s="283"/>
      <c r="J928" s="280"/>
      <c r="K928" s="103"/>
      <c r="L928" s="146"/>
      <c r="M928" s="103"/>
      <c r="N928" s="103"/>
      <c r="O928" s="103">
        <f t="shared" si="3"/>
        <v>0</v>
      </c>
      <c r="P928" s="104">
        <f t="shared" si="4"/>
        <v>0</v>
      </c>
      <c r="Q928" s="147"/>
      <c r="R928" s="103"/>
      <c r="S928" s="103">
        <f t="shared" si="6"/>
        <v>0</v>
      </c>
      <c r="U928" s="107" t="str">
        <f t="shared" si="7"/>
        <v>0</v>
      </c>
    </row>
    <row r="929" ht="15.75" customHeight="1">
      <c r="A929" s="279"/>
      <c r="B929" s="280"/>
      <c r="C929" s="280"/>
      <c r="D929" s="280"/>
      <c r="E929" s="281"/>
      <c r="F929" s="281"/>
      <c r="G929" s="280"/>
      <c r="H929" s="282"/>
      <c r="I929" s="283"/>
      <c r="J929" s="280"/>
      <c r="K929" s="103"/>
      <c r="L929" s="146"/>
      <c r="M929" s="103"/>
      <c r="N929" s="103"/>
      <c r="O929" s="103">
        <f t="shared" si="3"/>
        <v>0</v>
      </c>
      <c r="P929" s="104">
        <f t="shared" si="4"/>
        <v>0</v>
      </c>
      <c r="Q929" s="147"/>
      <c r="R929" s="103"/>
      <c r="S929" s="103">
        <f t="shared" si="6"/>
        <v>0</v>
      </c>
      <c r="U929" s="107" t="str">
        <f t="shared" si="7"/>
        <v>0</v>
      </c>
    </row>
    <row r="930" ht="15.75" customHeight="1">
      <c r="A930" s="279"/>
      <c r="B930" s="280"/>
      <c r="C930" s="280"/>
      <c r="D930" s="280"/>
      <c r="E930" s="281"/>
      <c r="F930" s="281"/>
      <c r="G930" s="280"/>
      <c r="H930" s="282"/>
      <c r="I930" s="283"/>
      <c r="J930" s="280"/>
      <c r="K930" s="103"/>
      <c r="L930" s="146"/>
      <c r="M930" s="103"/>
      <c r="N930" s="103"/>
      <c r="O930" s="103">
        <f t="shared" si="3"/>
        <v>0</v>
      </c>
      <c r="P930" s="104">
        <f t="shared" si="4"/>
        <v>0</v>
      </c>
      <c r="Q930" s="147"/>
      <c r="R930" s="103"/>
      <c r="S930" s="103">
        <f t="shared" si="6"/>
        <v>0</v>
      </c>
      <c r="U930" s="107" t="str">
        <f t="shared" si="7"/>
        <v>0</v>
      </c>
    </row>
    <row r="931" ht="15.75" customHeight="1">
      <c r="A931" s="279"/>
      <c r="B931" s="280"/>
      <c r="C931" s="280"/>
      <c r="D931" s="280"/>
      <c r="E931" s="281"/>
      <c r="F931" s="281"/>
      <c r="G931" s="280"/>
      <c r="H931" s="282"/>
      <c r="I931" s="283"/>
      <c r="J931" s="280"/>
      <c r="K931" s="103"/>
      <c r="L931" s="146"/>
      <c r="M931" s="103"/>
      <c r="N931" s="103"/>
      <c r="O931" s="103">
        <f t="shared" si="3"/>
        <v>0</v>
      </c>
      <c r="P931" s="104">
        <f t="shared" si="4"/>
        <v>0</v>
      </c>
      <c r="Q931" s="147"/>
      <c r="R931" s="103"/>
      <c r="S931" s="103">
        <f t="shared" si="6"/>
        <v>0</v>
      </c>
      <c r="U931" s="107" t="str">
        <f t="shared" si="7"/>
        <v>0</v>
      </c>
    </row>
    <row r="932" ht="15.75" customHeight="1">
      <c r="A932" s="279"/>
      <c r="B932" s="280"/>
      <c r="C932" s="280"/>
      <c r="D932" s="280"/>
      <c r="E932" s="281"/>
      <c r="F932" s="281"/>
      <c r="G932" s="280"/>
      <c r="H932" s="282"/>
      <c r="I932" s="283"/>
      <c r="J932" s="280"/>
      <c r="K932" s="103"/>
      <c r="L932" s="146"/>
      <c r="M932" s="103"/>
      <c r="N932" s="103"/>
      <c r="O932" s="103">
        <f t="shared" si="3"/>
        <v>0</v>
      </c>
      <c r="P932" s="104">
        <f t="shared" si="4"/>
        <v>0</v>
      </c>
      <c r="Q932" s="147"/>
      <c r="R932" s="103"/>
      <c r="S932" s="103">
        <f t="shared" si="6"/>
        <v>0</v>
      </c>
      <c r="U932" s="107" t="str">
        <f t="shared" si="7"/>
        <v>0</v>
      </c>
    </row>
    <row r="933" ht="15.75" customHeight="1">
      <c r="A933" s="279"/>
      <c r="B933" s="280"/>
      <c r="C933" s="280"/>
      <c r="D933" s="280"/>
      <c r="E933" s="281"/>
      <c r="F933" s="281"/>
      <c r="G933" s="280"/>
      <c r="H933" s="282"/>
      <c r="I933" s="283"/>
      <c r="J933" s="280"/>
      <c r="K933" s="103"/>
      <c r="L933" s="146"/>
      <c r="M933" s="103"/>
      <c r="N933" s="103"/>
      <c r="O933" s="103">
        <f t="shared" si="3"/>
        <v>0</v>
      </c>
      <c r="P933" s="104">
        <f t="shared" si="4"/>
        <v>0</v>
      </c>
      <c r="Q933" s="147"/>
      <c r="R933" s="103"/>
      <c r="S933" s="103">
        <f t="shared" si="6"/>
        <v>0</v>
      </c>
      <c r="U933" s="107" t="str">
        <f t="shared" si="7"/>
        <v>0</v>
      </c>
    </row>
    <row r="934" ht="15.75" customHeight="1">
      <c r="A934" s="279"/>
      <c r="B934" s="280"/>
      <c r="C934" s="280"/>
      <c r="D934" s="280"/>
      <c r="E934" s="281"/>
      <c r="F934" s="281"/>
      <c r="G934" s="280"/>
      <c r="H934" s="282"/>
      <c r="I934" s="283"/>
      <c r="J934" s="280"/>
      <c r="K934" s="103"/>
      <c r="L934" s="146"/>
      <c r="M934" s="103"/>
      <c r="N934" s="103"/>
      <c r="O934" s="103">
        <f t="shared" si="3"/>
        <v>0</v>
      </c>
      <c r="P934" s="104">
        <f t="shared" si="4"/>
        <v>0</v>
      </c>
      <c r="Q934" s="147"/>
      <c r="R934" s="103"/>
      <c r="S934" s="103">
        <f t="shared" si="6"/>
        <v>0</v>
      </c>
      <c r="U934" s="107" t="str">
        <f t="shared" si="7"/>
        <v>0</v>
      </c>
    </row>
    <row r="935" ht="15.75" customHeight="1">
      <c r="A935" s="279"/>
      <c r="B935" s="280"/>
      <c r="C935" s="280"/>
      <c r="D935" s="280"/>
      <c r="E935" s="281"/>
      <c r="F935" s="281"/>
      <c r="G935" s="280"/>
      <c r="H935" s="282"/>
      <c r="I935" s="283"/>
      <c r="J935" s="280"/>
      <c r="K935" s="103"/>
      <c r="L935" s="146"/>
      <c r="M935" s="103"/>
      <c r="N935" s="103"/>
      <c r="O935" s="103">
        <f t="shared" si="3"/>
        <v>0</v>
      </c>
      <c r="P935" s="104">
        <f t="shared" si="4"/>
        <v>0</v>
      </c>
      <c r="Q935" s="147"/>
      <c r="R935" s="103"/>
      <c r="S935" s="103">
        <f t="shared" si="6"/>
        <v>0</v>
      </c>
      <c r="U935" s="107" t="str">
        <f t="shared" si="7"/>
        <v>0</v>
      </c>
    </row>
    <row r="936" ht="15.75" customHeight="1">
      <c r="A936" s="279"/>
      <c r="B936" s="280"/>
      <c r="C936" s="280"/>
      <c r="D936" s="280"/>
      <c r="E936" s="281"/>
      <c r="F936" s="281"/>
      <c r="G936" s="280"/>
      <c r="H936" s="282"/>
      <c r="I936" s="283"/>
      <c r="J936" s="280"/>
      <c r="K936" s="103"/>
      <c r="L936" s="146"/>
      <c r="M936" s="103"/>
      <c r="N936" s="103"/>
      <c r="O936" s="103">
        <f t="shared" si="3"/>
        <v>0</v>
      </c>
      <c r="P936" s="104">
        <f t="shared" si="4"/>
        <v>0</v>
      </c>
      <c r="Q936" s="147"/>
      <c r="R936" s="103"/>
      <c r="S936" s="103">
        <f t="shared" si="6"/>
        <v>0</v>
      </c>
      <c r="U936" s="107" t="str">
        <f t="shared" si="7"/>
        <v>0</v>
      </c>
    </row>
    <row r="937" ht="15.75" customHeight="1">
      <c r="A937" s="279"/>
      <c r="B937" s="280"/>
      <c r="C937" s="280"/>
      <c r="D937" s="280"/>
      <c r="E937" s="281"/>
      <c r="F937" s="281"/>
      <c r="G937" s="280"/>
      <c r="H937" s="282"/>
      <c r="I937" s="283"/>
      <c r="J937" s="280"/>
      <c r="K937" s="103"/>
      <c r="L937" s="146"/>
      <c r="M937" s="103"/>
      <c r="N937" s="103"/>
      <c r="O937" s="103">
        <f t="shared" si="3"/>
        <v>0</v>
      </c>
      <c r="P937" s="104">
        <f t="shared" si="4"/>
        <v>0</v>
      </c>
      <c r="Q937" s="147"/>
      <c r="R937" s="103"/>
      <c r="S937" s="103">
        <f t="shared" si="6"/>
        <v>0</v>
      </c>
      <c r="U937" s="107" t="str">
        <f t="shared" si="7"/>
        <v>0</v>
      </c>
    </row>
    <row r="938" ht="15.75" customHeight="1">
      <c r="A938" s="279"/>
      <c r="B938" s="280"/>
      <c r="C938" s="280"/>
      <c r="D938" s="280"/>
      <c r="E938" s="281"/>
      <c r="F938" s="281"/>
      <c r="G938" s="280"/>
      <c r="H938" s="282"/>
      <c r="I938" s="283"/>
      <c r="J938" s="280"/>
      <c r="K938" s="103"/>
      <c r="L938" s="146"/>
      <c r="M938" s="103"/>
      <c r="N938" s="103"/>
      <c r="O938" s="103">
        <f t="shared" si="3"/>
        <v>0</v>
      </c>
      <c r="P938" s="104">
        <f t="shared" si="4"/>
        <v>0</v>
      </c>
      <c r="Q938" s="147"/>
      <c r="R938" s="103"/>
      <c r="S938" s="103">
        <f t="shared" si="6"/>
        <v>0</v>
      </c>
      <c r="U938" s="107" t="str">
        <f t="shared" si="7"/>
        <v>0</v>
      </c>
    </row>
    <row r="939" ht="15.75" customHeight="1">
      <c r="A939" s="279"/>
      <c r="B939" s="280"/>
      <c r="C939" s="280"/>
      <c r="D939" s="280"/>
      <c r="E939" s="281"/>
      <c r="F939" s="281"/>
      <c r="G939" s="280"/>
      <c r="H939" s="282"/>
      <c r="I939" s="283"/>
      <c r="J939" s="280"/>
      <c r="K939" s="103"/>
      <c r="L939" s="146"/>
      <c r="M939" s="103"/>
      <c r="N939" s="103"/>
      <c r="O939" s="103">
        <f t="shared" si="3"/>
        <v>0</v>
      </c>
      <c r="P939" s="104">
        <f t="shared" si="4"/>
        <v>0</v>
      </c>
      <c r="Q939" s="147"/>
      <c r="R939" s="103"/>
      <c r="S939" s="103">
        <f t="shared" si="6"/>
        <v>0</v>
      </c>
      <c r="U939" s="107" t="str">
        <f t="shared" si="7"/>
        <v>0</v>
      </c>
    </row>
    <row r="940" ht="15.75" customHeight="1">
      <c r="A940" s="279"/>
      <c r="B940" s="280"/>
      <c r="C940" s="280"/>
      <c r="D940" s="280"/>
      <c r="E940" s="281"/>
      <c r="F940" s="281"/>
      <c r="G940" s="280"/>
      <c r="H940" s="282"/>
      <c r="I940" s="283"/>
      <c r="J940" s="280"/>
      <c r="K940" s="103"/>
      <c r="L940" s="146"/>
      <c r="M940" s="103"/>
      <c r="N940" s="103"/>
      <c r="O940" s="103">
        <f t="shared" si="3"/>
        <v>0</v>
      </c>
      <c r="P940" s="104">
        <f t="shared" si="4"/>
        <v>0</v>
      </c>
      <c r="Q940" s="147"/>
      <c r="R940" s="103"/>
      <c r="S940" s="103">
        <f t="shared" si="6"/>
        <v>0</v>
      </c>
      <c r="U940" s="107" t="str">
        <f t="shared" si="7"/>
        <v>0</v>
      </c>
    </row>
    <row r="941" ht="15.75" customHeight="1">
      <c r="A941" s="279"/>
      <c r="B941" s="280"/>
      <c r="C941" s="280"/>
      <c r="D941" s="280"/>
      <c r="E941" s="281"/>
      <c r="F941" s="281"/>
      <c r="G941" s="280"/>
      <c r="H941" s="282"/>
      <c r="I941" s="283"/>
      <c r="J941" s="280"/>
      <c r="K941" s="103"/>
      <c r="L941" s="146"/>
      <c r="M941" s="103"/>
      <c r="N941" s="103"/>
      <c r="O941" s="103">
        <f t="shared" si="3"/>
        <v>0</v>
      </c>
      <c r="P941" s="104">
        <f t="shared" si="4"/>
        <v>0</v>
      </c>
      <c r="Q941" s="147"/>
      <c r="R941" s="103"/>
      <c r="S941" s="103">
        <f t="shared" si="6"/>
        <v>0</v>
      </c>
      <c r="U941" s="107" t="str">
        <f t="shared" si="7"/>
        <v>0</v>
      </c>
    </row>
    <row r="942" ht="15.75" customHeight="1">
      <c r="A942" s="279"/>
      <c r="B942" s="280"/>
      <c r="C942" s="280"/>
      <c r="D942" s="280"/>
      <c r="E942" s="281"/>
      <c r="F942" s="281"/>
      <c r="G942" s="280"/>
      <c r="H942" s="282"/>
      <c r="I942" s="283"/>
      <c r="J942" s="280"/>
      <c r="K942" s="103"/>
      <c r="L942" s="146"/>
      <c r="M942" s="103"/>
      <c r="N942" s="103"/>
      <c r="O942" s="103">
        <f t="shared" si="3"/>
        <v>0</v>
      </c>
      <c r="P942" s="104">
        <f t="shared" si="4"/>
        <v>0</v>
      </c>
      <c r="Q942" s="147"/>
      <c r="R942" s="103"/>
      <c r="S942" s="103">
        <f t="shared" si="6"/>
        <v>0</v>
      </c>
      <c r="U942" s="107" t="str">
        <f t="shared" si="7"/>
        <v>0</v>
      </c>
    </row>
    <row r="943" ht="15.75" customHeight="1">
      <c r="A943" s="279"/>
      <c r="B943" s="280"/>
      <c r="C943" s="280"/>
      <c r="D943" s="280"/>
      <c r="E943" s="281"/>
      <c r="F943" s="281"/>
      <c r="G943" s="280"/>
      <c r="H943" s="282"/>
      <c r="I943" s="283"/>
      <c r="J943" s="280"/>
      <c r="K943" s="103"/>
      <c r="L943" s="146"/>
      <c r="M943" s="103"/>
      <c r="N943" s="103"/>
      <c r="O943" s="103">
        <f t="shared" si="3"/>
        <v>0</v>
      </c>
      <c r="P943" s="104">
        <f t="shared" si="4"/>
        <v>0</v>
      </c>
      <c r="Q943" s="147"/>
      <c r="R943" s="103"/>
      <c r="S943" s="103">
        <f t="shared" si="6"/>
        <v>0</v>
      </c>
      <c r="U943" s="107" t="str">
        <f t="shared" si="7"/>
        <v>0</v>
      </c>
    </row>
    <row r="944" ht="15.75" customHeight="1">
      <c r="A944" s="279"/>
      <c r="B944" s="280"/>
      <c r="C944" s="280"/>
      <c r="D944" s="280"/>
      <c r="E944" s="281"/>
      <c r="F944" s="281"/>
      <c r="G944" s="280"/>
      <c r="H944" s="282"/>
      <c r="I944" s="283"/>
      <c r="J944" s="280"/>
      <c r="K944" s="103"/>
      <c r="L944" s="146"/>
      <c r="M944" s="103"/>
      <c r="N944" s="103"/>
      <c r="O944" s="103">
        <f t="shared" si="3"/>
        <v>0</v>
      </c>
      <c r="P944" s="104">
        <f t="shared" si="4"/>
        <v>0</v>
      </c>
      <c r="Q944" s="147"/>
      <c r="R944" s="103"/>
      <c r="S944" s="103">
        <f t="shared" si="6"/>
        <v>0</v>
      </c>
      <c r="U944" s="107" t="str">
        <f t="shared" si="7"/>
        <v>0</v>
      </c>
    </row>
    <row r="945" ht="15.75" customHeight="1">
      <c r="A945" s="279"/>
      <c r="B945" s="280"/>
      <c r="C945" s="280"/>
      <c r="D945" s="280"/>
      <c r="E945" s="281"/>
      <c r="F945" s="281"/>
      <c r="G945" s="280"/>
      <c r="H945" s="282"/>
      <c r="I945" s="283"/>
      <c r="J945" s="280"/>
      <c r="K945" s="103"/>
      <c r="L945" s="146"/>
      <c r="M945" s="103"/>
      <c r="N945" s="103"/>
      <c r="O945" s="103">
        <f t="shared" si="3"/>
        <v>0</v>
      </c>
      <c r="P945" s="104">
        <f t="shared" si="4"/>
        <v>0</v>
      </c>
      <c r="Q945" s="147"/>
      <c r="R945" s="103"/>
      <c r="S945" s="103">
        <f t="shared" si="6"/>
        <v>0</v>
      </c>
      <c r="U945" s="107" t="str">
        <f t="shared" si="7"/>
        <v>0</v>
      </c>
    </row>
    <row r="946" ht="15.75" customHeight="1">
      <c r="A946" s="279"/>
      <c r="B946" s="280"/>
      <c r="C946" s="280"/>
      <c r="D946" s="280"/>
      <c r="E946" s="281"/>
      <c r="F946" s="281"/>
      <c r="G946" s="280"/>
      <c r="H946" s="282"/>
      <c r="I946" s="283"/>
      <c r="J946" s="280"/>
      <c r="K946" s="103"/>
      <c r="L946" s="146"/>
      <c r="M946" s="103"/>
      <c r="N946" s="103"/>
      <c r="O946" s="103">
        <f t="shared" si="3"/>
        <v>0</v>
      </c>
      <c r="P946" s="104">
        <f t="shared" si="4"/>
        <v>0</v>
      </c>
      <c r="Q946" s="147"/>
      <c r="R946" s="103"/>
      <c r="S946" s="103">
        <f t="shared" si="6"/>
        <v>0</v>
      </c>
      <c r="U946" s="107" t="str">
        <f t="shared" si="7"/>
        <v>0</v>
      </c>
    </row>
    <row r="947" ht="15.75" customHeight="1">
      <c r="A947" s="279"/>
      <c r="B947" s="280"/>
      <c r="C947" s="280"/>
      <c r="D947" s="280"/>
      <c r="E947" s="281"/>
      <c r="F947" s="281"/>
      <c r="G947" s="280"/>
      <c r="H947" s="282"/>
      <c r="I947" s="283"/>
      <c r="J947" s="280"/>
      <c r="K947" s="103"/>
      <c r="L947" s="146"/>
      <c r="M947" s="103"/>
      <c r="N947" s="103"/>
      <c r="O947" s="103">
        <f t="shared" si="3"/>
        <v>0</v>
      </c>
      <c r="P947" s="104">
        <f t="shared" si="4"/>
        <v>0</v>
      </c>
      <c r="Q947" s="147"/>
      <c r="R947" s="103"/>
      <c r="S947" s="103">
        <f t="shared" si="6"/>
        <v>0</v>
      </c>
      <c r="U947" s="107" t="str">
        <f t="shared" si="7"/>
        <v>0</v>
      </c>
    </row>
    <row r="948" ht="15.75" customHeight="1">
      <c r="A948" s="279"/>
      <c r="B948" s="280"/>
      <c r="C948" s="280"/>
      <c r="D948" s="280"/>
      <c r="E948" s="281"/>
      <c r="F948" s="281"/>
      <c r="G948" s="280"/>
      <c r="H948" s="282"/>
      <c r="I948" s="283"/>
      <c r="J948" s="280"/>
      <c r="K948" s="103"/>
      <c r="L948" s="146"/>
      <c r="M948" s="103"/>
      <c r="N948" s="103"/>
      <c r="O948" s="103">
        <f t="shared" si="3"/>
        <v>0</v>
      </c>
      <c r="P948" s="104">
        <f t="shared" si="4"/>
        <v>0</v>
      </c>
      <c r="Q948" s="147"/>
      <c r="R948" s="103"/>
      <c r="S948" s="103">
        <f t="shared" si="6"/>
        <v>0</v>
      </c>
      <c r="U948" s="107" t="str">
        <f t="shared" si="7"/>
        <v>0</v>
      </c>
    </row>
    <row r="949" ht="15.75" customHeight="1">
      <c r="A949" s="279"/>
      <c r="B949" s="280"/>
      <c r="C949" s="280"/>
      <c r="D949" s="280"/>
      <c r="E949" s="281"/>
      <c r="F949" s="281"/>
      <c r="G949" s="280"/>
      <c r="H949" s="282"/>
      <c r="I949" s="283"/>
      <c r="J949" s="280"/>
      <c r="K949" s="103"/>
      <c r="L949" s="146"/>
      <c r="M949" s="103"/>
      <c r="N949" s="103"/>
      <c r="O949" s="103">
        <f t="shared" si="3"/>
        <v>0</v>
      </c>
      <c r="P949" s="104">
        <f t="shared" si="4"/>
        <v>0</v>
      </c>
      <c r="Q949" s="147"/>
      <c r="R949" s="103"/>
      <c r="S949" s="103">
        <f t="shared" si="6"/>
        <v>0</v>
      </c>
      <c r="U949" s="107" t="str">
        <f t="shared" si="7"/>
        <v>0</v>
      </c>
    </row>
    <row r="950" ht="15.75" customHeight="1">
      <c r="A950" s="279"/>
      <c r="B950" s="280"/>
      <c r="C950" s="280"/>
      <c r="D950" s="280"/>
      <c r="E950" s="281"/>
      <c r="F950" s="281"/>
      <c r="G950" s="280"/>
      <c r="H950" s="282"/>
      <c r="I950" s="283"/>
      <c r="J950" s="280"/>
      <c r="K950" s="103"/>
      <c r="L950" s="146"/>
      <c r="M950" s="103"/>
      <c r="N950" s="103"/>
      <c r="O950" s="103">
        <f t="shared" si="3"/>
        <v>0</v>
      </c>
      <c r="P950" s="104">
        <f t="shared" si="4"/>
        <v>0</v>
      </c>
      <c r="Q950" s="147"/>
      <c r="R950" s="103"/>
      <c r="S950" s="103">
        <f t="shared" si="6"/>
        <v>0</v>
      </c>
      <c r="U950" s="107" t="str">
        <f t="shared" si="7"/>
        <v>0</v>
      </c>
    </row>
    <row r="951" ht="15.75" customHeight="1">
      <c r="A951" s="279"/>
      <c r="B951" s="280"/>
      <c r="C951" s="280"/>
      <c r="D951" s="280"/>
      <c r="E951" s="281"/>
      <c r="F951" s="281"/>
      <c r="G951" s="280"/>
      <c r="H951" s="282"/>
      <c r="I951" s="283"/>
      <c r="J951" s="280"/>
      <c r="K951" s="103"/>
      <c r="L951" s="146"/>
      <c r="M951" s="103"/>
      <c r="N951" s="103"/>
      <c r="O951" s="103">
        <f t="shared" si="3"/>
        <v>0</v>
      </c>
      <c r="P951" s="104">
        <f t="shared" si="4"/>
        <v>0</v>
      </c>
      <c r="Q951" s="147"/>
      <c r="R951" s="103"/>
      <c r="S951" s="103">
        <f t="shared" si="6"/>
        <v>0</v>
      </c>
      <c r="U951" s="107" t="str">
        <f t="shared" si="7"/>
        <v>0</v>
      </c>
    </row>
    <row r="952" ht="15.75" customHeight="1">
      <c r="A952" s="279"/>
      <c r="B952" s="280"/>
      <c r="C952" s="280"/>
      <c r="D952" s="280"/>
      <c r="E952" s="281"/>
      <c r="F952" s="281"/>
      <c r="G952" s="280"/>
      <c r="H952" s="282"/>
      <c r="I952" s="283"/>
      <c r="J952" s="280"/>
      <c r="K952" s="103"/>
      <c r="L952" s="146"/>
      <c r="M952" s="103"/>
      <c r="N952" s="103"/>
      <c r="O952" s="103">
        <f t="shared" si="3"/>
        <v>0</v>
      </c>
      <c r="P952" s="104">
        <f t="shared" si="4"/>
        <v>0</v>
      </c>
      <c r="Q952" s="147"/>
      <c r="R952" s="103"/>
      <c r="S952" s="103">
        <f t="shared" si="6"/>
        <v>0</v>
      </c>
      <c r="U952" s="107" t="str">
        <f t="shared" si="7"/>
        <v>0</v>
      </c>
    </row>
    <row r="953" ht="15.75" customHeight="1">
      <c r="A953" s="279"/>
      <c r="B953" s="280"/>
      <c r="C953" s="280"/>
      <c r="D953" s="280"/>
      <c r="E953" s="281"/>
      <c r="F953" s="281"/>
      <c r="G953" s="280"/>
      <c r="H953" s="282"/>
      <c r="I953" s="283"/>
      <c r="J953" s="280"/>
      <c r="K953" s="103"/>
      <c r="L953" s="146"/>
      <c r="M953" s="103"/>
      <c r="N953" s="103"/>
      <c r="O953" s="103">
        <f t="shared" si="3"/>
        <v>0</v>
      </c>
      <c r="P953" s="104">
        <f t="shared" si="4"/>
        <v>0</v>
      </c>
      <c r="Q953" s="147"/>
      <c r="R953" s="103"/>
      <c r="S953" s="103">
        <f t="shared" si="6"/>
        <v>0</v>
      </c>
      <c r="U953" s="107" t="str">
        <f t="shared" si="7"/>
        <v>0</v>
      </c>
    </row>
    <row r="954" ht="15.75" customHeight="1">
      <c r="A954" s="279"/>
      <c r="B954" s="280"/>
      <c r="C954" s="280"/>
      <c r="D954" s="280"/>
      <c r="E954" s="281"/>
      <c r="F954" s="281"/>
      <c r="G954" s="280"/>
      <c r="H954" s="282"/>
      <c r="I954" s="283"/>
      <c r="J954" s="280"/>
      <c r="K954" s="103"/>
      <c r="L954" s="146"/>
      <c r="M954" s="103"/>
      <c r="N954" s="103"/>
      <c r="O954" s="103">
        <f t="shared" si="3"/>
        <v>0</v>
      </c>
      <c r="P954" s="104">
        <f t="shared" si="4"/>
        <v>0</v>
      </c>
      <c r="Q954" s="147"/>
      <c r="R954" s="103"/>
      <c r="S954" s="103">
        <f t="shared" si="6"/>
        <v>0</v>
      </c>
      <c r="U954" s="107" t="str">
        <f t="shared" si="7"/>
        <v>0</v>
      </c>
    </row>
    <row r="955" ht="15.75" customHeight="1">
      <c r="A955" s="279"/>
      <c r="B955" s="280"/>
      <c r="C955" s="280"/>
      <c r="D955" s="280"/>
      <c r="E955" s="281"/>
      <c r="F955" s="281"/>
      <c r="G955" s="280"/>
      <c r="H955" s="282"/>
      <c r="I955" s="283"/>
      <c r="J955" s="280"/>
      <c r="K955" s="103"/>
      <c r="L955" s="146"/>
      <c r="M955" s="103"/>
      <c r="N955" s="103"/>
      <c r="O955" s="103">
        <f t="shared" si="3"/>
        <v>0</v>
      </c>
      <c r="P955" s="104">
        <f t="shared" si="4"/>
        <v>0</v>
      </c>
      <c r="Q955" s="147"/>
      <c r="R955" s="103"/>
      <c r="S955" s="103">
        <f t="shared" si="6"/>
        <v>0</v>
      </c>
      <c r="U955" s="107" t="str">
        <f t="shared" si="7"/>
        <v>0</v>
      </c>
    </row>
    <row r="956" ht="15.75" customHeight="1">
      <c r="A956" s="279"/>
      <c r="B956" s="280"/>
      <c r="C956" s="280"/>
      <c r="D956" s="280"/>
      <c r="E956" s="281"/>
      <c r="F956" s="281"/>
      <c r="G956" s="280"/>
      <c r="H956" s="282"/>
      <c r="I956" s="283"/>
      <c r="J956" s="280"/>
      <c r="K956" s="103"/>
      <c r="L956" s="146"/>
      <c r="M956" s="103"/>
      <c r="N956" s="103"/>
      <c r="O956" s="103">
        <f t="shared" si="3"/>
        <v>0</v>
      </c>
      <c r="P956" s="104">
        <f t="shared" si="4"/>
        <v>0</v>
      </c>
      <c r="Q956" s="147"/>
      <c r="R956" s="103"/>
      <c r="S956" s="103">
        <f t="shared" si="6"/>
        <v>0</v>
      </c>
      <c r="U956" s="107" t="str">
        <f t="shared" si="7"/>
        <v>0</v>
      </c>
    </row>
    <row r="957" ht="15.75" customHeight="1">
      <c r="A957" s="279"/>
      <c r="B957" s="280"/>
      <c r="C957" s="280"/>
      <c r="D957" s="280"/>
      <c r="E957" s="281"/>
      <c r="F957" s="281"/>
      <c r="G957" s="280"/>
      <c r="H957" s="282"/>
      <c r="I957" s="283"/>
      <c r="J957" s="280"/>
      <c r="K957" s="103"/>
      <c r="L957" s="146"/>
      <c r="M957" s="103"/>
      <c r="N957" s="103"/>
      <c r="O957" s="103">
        <f t="shared" si="3"/>
        <v>0</v>
      </c>
      <c r="P957" s="104">
        <f t="shared" si="4"/>
        <v>0</v>
      </c>
      <c r="Q957" s="147"/>
      <c r="R957" s="103"/>
      <c r="S957" s="103">
        <f t="shared" si="6"/>
        <v>0</v>
      </c>
      <c r="U957" s="107" t="str">
        <f t="shared" si="7"/>
        <v>0</v>
      </c>
    </row>
    <row r="958" ht="15.75" customHeight="1">
      <c r="A958" s="279"/>
      <c r="B958" s="280"/>
      <c r="C958" s="280"/>
      <c r="D958" s="280"/>
      <c r="E958" s="281"/>
      <c r="F958" s="281"/>
      <c r="G958" s="280"/>
      <c r="H958" s="282"/>
      <c r="I958" s="283"/>
      <c r="J958" s="280"/>
      <c r="K958" s="103"/>
      <c r="L958" s="146"/>
      <c r="M958" s="103"/>
      <c r="N958" s="103"/>
      <c r="O958" s="103">
        <f t="shared" si="3"/>
        <v>0</v>
      </c>
      <c r="P958" s="104">
        <f t="shared" si="4"/>
        <v>0</v>
      </c>
      <c r="Q958" s="147"/>
      <c r="R958" s="103"/>
      <c r="S958" s="103">
        <f t="shared" si="6"/>
        <v>0</v>
      </c>
      <c r="U958" s="107" t="str">
        <f t="shared" si="7"/>
        <v>0</v>
      </c>
    </row>
    <row r="959" ht="15.75" customHeight="1">
      <c r="A959" s="279"/>
      <c r="B959" s="280"/>
      <c r="C959" s="280"/>
      <c r="D959" s="280"/>
      <c r="E959" s="281"/>
      <c r="F959" s="281"/>
      <c r="G959" s="280"/>
      <c r="H959" s="282"/>
      <c r="I959" s="283"/>
      <c r="J959" s="280"/>
      <c r="K959" s="103"/>
      <c r="L959" s="146"/>
      <c r="M959" s="103"/>
      <c r="N959" s="103"/>
      <c r="O959" s="103">
        <f t="shared" si="3"/>
        <v>0</v>
      </c>
      <c r="P959" s="104">
        <f t="shared" si="4"/>
        <v>0</v>
      </c>
      <c r="Q959" s="147"/>
      <c r="R959" s="103"/>
      <c r="S959" s="103">
        <f t="shared" si="6"/>
        <v>0</v>
      </c>
      <c r="U959" s="107" t="str">
        <f t="shared" si="7"/>
        <v>0</v>
      </c>
    </row>
    <row r="960" ht="15.75" customHeight="1">
      <c r="A960" s="279"/>
      <c r="B960" s="280"/>
      <c r="C960" s="280"/>
      <c r="D960" s="280"/>
      <c r="E960" s="281"/>
      <c r="F960" s="281"/>
      <c r="G960" s="280"/>
      <c r="H960" s="282"/>
      <c r="I960" s="283"/>
      <c r="J960" s="280"/>
      <c r="K960" s="103"/>
      <c r="L960" s="146"/>
      <c r="M960" s="103"/>
      <c r="N960" s="103"/>
      <c r="O960" s="103">
        <f t="shared" si="3"/>
        <v>0</v>
      </c>
      <c r="P960" s="104">
        <f t="shared" si="4"/>
        <v>0</v>
      </c>
      <c r="Q960" s="147"/>
      <c r="R960" s="103"/>
      <c r="S960" s="103">
        <f t="shared" si="6"/>
        <v>0</v>
      </c>
      <c r="U960" s="107" t="str">
        <f t="shared" si="7"/>
        <v>0</v>
      </c>
    </row>
    <row r="961" ht="15.75" customHeight="1">
      <c r="A961" s="279"/>
      <c r="B961" s="280"/>
      <c r="C961" s="280"/>
      <c r="D961" s="280"/>
      <c r="E961" s="281"/>
      <c r="F961" s="281"/>
      <c r="G961" s="280"/>
      <c r="H961" s="282"/>
      <c r="I961" s="283"/>
      <c r="J961" s="280"/>
      <c r="K961" s="103"/>
      <c r="L961" s="146"/>
      <c r="M961" s="103"/>
      <c r="N961" s="103"/>
      <c r="O961" s="103">
        <f t="shared" si="3"/>
        <v>0</v>
      </c>
      <c r="P961" s="104">
        <f t="shared" si="4"/>
        <v>0</v>
      </c>
      <c r="Q961" s="147"/>
      <c r="R961" s="103"/>
      <c r="S961" s="103">
        <f t="shared" si="6"/>
        <v>0</v>
      </c>
      <c r="U961" s="107" t="str">
        <f t="shared" si="7"/>
        <v>0</v>
      </c>
    </row>
    <row r="962" ht="15.75" customHeight="1">
      <c r="A962" s="279"/>
      <c r="B962" s="280"/>
      <c r="C962" s="280"/>
      <c r="D962" s="280"/>
      <c r="E962" s="281"/>
      <c r="F962" s="281"/>
      <c r="G962" s="280"/>
      <c r="H962" s="282"/>
      <c r="I962" s="283"/>
      <c r="J962" s="280"/>
      <c r="K962" s="103"/>
      <c r="L962" s="146"/>
      <c r="M962" s="103"/>
      <c r="N962" s="103"/>
      <c r="O962" s="103">
        <f t="shared" si="3"/>
        <v>0</v>
      </c>
      <c r="P962" s="104">
        <f t="shared" si="4"/>
        <v>0</v>
      </c>
      <c r="Q962" s="147"/>
      <c r="R962" s="103"/>
      <c r="S962" s="103">
        <f t="shared" si="6"/>
        <v>0</v>
      </c>
      <c r="U962" s="107" t="str">
        <f t="shared" si="7"/>
        <v>0</v>
      </c>
    </row>
    <row r="963" ht="15.75" customHeight="1">
      <c r="A963" s="279"/>
      <c r="B963" s="280"/>
      <c r="C963" s="280"/>
      <c r="D963" s="280"/>
      <c r="E963" s="281"/>
      <c r="F963" s="281"/>
      <c r="G963" s="280"/>
      <c r="H963" s="282"/>
      <c r="I963" s="283"/>
      <c r="J963" s="280"/>
      <c r="K963" s="103"/>
      <c r="L963" s="146"/>
      <c r="M963" s="103"/>
      <c r="N963" s="103"/>
      <c r="O963" s="103">
        <f t="shared" si="3"/>
        <v>0</v>
      </c>
      <c r="P963" s="104">
        <f t="shared" si="4"/>
        <v>0</v>
      </c>
      <c r="Q963" s="147"/>
      <c r="R963" s="103"/>
      <c r="S963" s="103">
        <f t="shared" si="6"/>
        <v>0</v>
      </c>
      <c r="U963" s="107" t="str">
        <f t="shared" si="7"/>
        <v>0</v>
      </c>
    </row>
    <row r="964" ht="15.75" customHeight="1">
      <c r="A964" s="279"/>
      <c r="B964" s="280"/>
      <c r="C964" s="280"/>
      <c r="D964" s="280"/>
      <c r="E964" s="281"/>
      <c r="F964" s="281"/>
      <c r="G964" s="280"/>
      <c r="H964" s="282"/>
      <c r="I964" s="283"/>
      <c r="J964" s="280"/>
      <c r="K964" s="103"/>
      <c r="L964" s="146"/>
      <c r="M964" s="103"/>
      <c r="N964" s="103"/>
      <c r="O964" s="103">
        <f t="shared" si="3"/>
        <v>0</v>
      </c>
      <c r="P964" s="104">
        <f t="shared" si="4"/>
        <v>0</v>
      </c>
      <c r="Q964" s="147"/>
      <c r="R964" s="103"/>
      <c r="S964" s="103">
        <f t="shared" si="6"/>
        <v>0</v>
      </c>
      <c r="U964" s="107" t="str">
        <f t="shared" si="7"/>
        <v>0</v>
      </c>
    </row>
    <row r="965" ht="15.75" customHeight="1">
      <c r="A965" s="279"/>
      <c r="B965" s="280"/>
      <c r="C965" s="280"/>
      <c r="D965" s="280"/>
      <c r="E965" s="281"/>
      <c r="F965" s="281"/>
      <c r="G965" s="280"/>
      <c r="H965" s="282"/>
      <c r="I965" s="283"/>
      <c r="J965" s="280"/>
      <c r="K965" s="103"/>
      <c r="L965" s="146"/>
      <c r="M965" s="103"/>
      <c r="N965" s="103"/>
      <c r="O965" s="103">
        <f t="shared" si="3"/>
        <v>0</v>
      </c>
      <c r="P965" s="104">
        <f t="shared" si="4"/>
        <v>0</v>
      </c>
      <c r="Q965" s="147"/>
      <c r="R965" s="103"/>
      <c r="S965" s="103">
        <f t="shared" si="6"/>
        <v>0</v>
      </c>
      <c r="U965" s="107" t="str">
        <f t="shared" si="7"/>
        <v>0</v>
      </c>
    </row>
    <row r="966" ht="15.75" customHeight="1">
      <c r="A966" s="279"/>
      <c r="B966" s="280"/>
      <c r="C966" s="280"/>
      <c r="D966" s="280"/>
      <c r="E966" s="281"/>
      <c r="F966" s="281"/>
      <c r="G966" s="280"/>
      <c r="H966" s="282"/>
      <c r="I966" s="283"/>
      <c r="J966" s="280"/>
      <c r="K966" s="103"/>
      <c r="L966" s="146"/>
      <c r="M966" s="103"/>
      <c r="N966" s="103"/>
      <c r="O966" s="103">
        <f t="shared" si="3"/>
        <v>0</v>
      </c>
      <c r="P966" s="104">
        <f t="shared" si="4"/>
        <v>0</v>
      </c>
      <c r="Q966" s="147"/>
      <c r="R966" s="103"/>
      <c r="S966" s="103">
        <f t="shared" si="6"/>
        <v>0</v>
      </c>
      <c r="U966" s="107" t="str">
        <f t="shared" si="7"/>
        <v>0</v>
      </c>
    </row>
    <row r="967" ht="15.75" customHeight="1">
      <c r="A967" s="279"/>
      <c r="B967" s="280"/>
      <c r="C967" s="280"/>
      <c r="D967" s="280"/>
      <c r="E967" s="281"/>
      <c r="F967" s="281"/>
      <c r="G967" s="280"/>
      <c r="H967" s="282"/>
      <c r="I967" s="283"/>
      <c r="J967" s="280"/>
      <c r="K967" s="103"/>
      <c r="L967" s="146"/>
      <c r="M967" s="103"/>
      <c r="N967" s="103"/>
      <c r="O967" s="103">
        <f t="shared" si="3"/>
        <v>0</v>
      </c>
      <c r="P967" s="104">
        <f t="shared" si="4"/>
        <v>0</v>
      </c>
      <c r="Q967" s="147"/>
      <c r="R967" s="103"/>
      <c r="S967" s="103">
        <f t="shared" si="6"/>
        <v>0</v>
      </c>
      <c r="U967" s="107" t="str">
        <f t="shared" si="7"/>
        <v>0</v>
      </c>
    </row>
    <row r="968" ht="15.75" customHeight="1">
      <c r="A968" s="279"/>
      <c r="B968" s="280"/>
      <c r="C968" s="280"/>
      <c r="D968" s="280"/>
      <c r="E968" s="281"/>
      <c r="F968" s="281"/>
      <c r="G968" s="280"/>
      <c r="H968" s="282"/>
      <c r="I968" s="283"/>
      <c r="J968" s="280"/>
      <c r="K968" s="103"/>
      <c r="L968" s="146"/>
      <c r="M968" s="103"/>
      <c r="N968" s="103"/>
      <c r="O968" s="103">
        <f t="shared" si="3"/>
        <v>0</v>
      </c>
      <c r="P968" s="104">
        <f t="shared" si="4"/>
        <v>0</v>
      </c>
      <c r="Q968" s="147"/>
      <c r="R968" s="103"/>
      <c r="S968" s="103">
        <f t="shared" si="6"/>
        <v>0</v>
      </c>
      <c r="U968" s="107" t="str">
        <f t="shared" si="7"/>
        <v>0</v>
      </c>
    </row>
    <row r="969" ht="15.75" customHeight="1">
      <c r="A969" s="279"/>
      <c r="B969" s="280"/>
      <c r="C969" s="280"/>
      <c r="D969" s="280"/>
      <c r="E969" s="281"/>
      <c r="F969" s="281"/>
      <c r="G969" s="280"/>
      <c r="H969" s="282"/>
      <c r="I969" s="283"/>
      <c r="J969" s="280"/>
      <c r="K969" s="103"/>
      <c r="L969" s="146"/>
      <c r="M969" s="103"/>
      <c r="N969" s="103"/>
      <c r="O969" s="103">
        <f t="shared" si="3"/>
        <v>0</v>
      </c>
      <c r="P969" s="104">
        <f t="shared" si="4"/>
        <v>0</v>
      </c>
      <c r="Q969" s="147"/>
      <c r="R969" s="103"/>
      <c r="S969" s="103">
        <f t="shared" si="6"/>
        <v>0</v>
      </c>
      <c r="U969" s="107" t="str">
        <f t="shared" si="7"/>
        <v>0</v>
      </c>
    </row>
    <row r="970" ht="15.75" customHeight="1">
      <c r="A970" s="279"/>
      <c r="B970" s="280"/>
      <c r="C970" s="280"/>
      <c r="D970" s="280"/>
      <c r="E970" s="281"/>
      <c r="F970" s="281"/>
      <c r="G970" s="280"/>
      <c r="H970" s="282"/>
      <c r="I970" s="283"/>
      <c r="J970" s="280"/>
      <c r="K970" s="103"/>
      <c r="L970" s="146"/>
      <c r="M970" s="103"/>
      <c r="N970" s="103"/>
      <c r="O970" s="103">
        <f t="shared" si="3"/>
        <v>0</v>
      </c>
      <c r="P970" s="104">
        <f t="shared" si="4"/>
        <v>0</v>
      </c>
      <c r="Q970" s="147"/>
      <c r="R970" s="103"/>
      <c r="S970" s="103">
        <f t="shared" si="6"/>
        <v>0</v>
      </c>
      <c r="U970" s="107" t="str">
        <f t="shared" si="7"/>
        <v>0</v>
      </c>
    </row>
    <row r="971" ht="15.75" customHeight="1">
      <c r="A971" s="279"/>
      <c r="B971" s="280"/>
      <c r="C971" s="280"/>
      <c r="D971" s="280"/>
      <c r="E971" s="281"/>
      <c r="F971" s="281"/>
      <c r="G971" s="280"/>
      <c r="H971" s="282"/>
      <c r="I971" s="283"/>
      <c r="J971" s="280"/>
      <c r="K971" s="103"/>
      <c r="L971" s="146"/>
      <c r="M971" s="103"/>
      <c r="N971" s="103"/>
      <c r="O971" s="103">
        <f t="shared" si="3"/>
        <v>0</v>
      </c>
      <c r="P971" s="104">
        <f t="shared" si="4"/>
        <v>0</v>
      </c>
      <c r="Q971" s="147"/>
      <c r="R971" s="103"/>
      <c r="S971" s="103">
        <f t="shared" si="6"/>
        <v>0</v>
      </c>
      <c r="U971" s="107" t="str">
        <f t="shared" si="7"/>
        <v>0</v>
      </c>
    </row>
    <row r="972" ht="15.75" customHeight="1">
      <c r="A972" s="279"/>
      <c r="B972" s="280"/>
      <c r="C972" s="280"/>
      <c r="D972" s="280"/>
      <c r="E972" s="281"/>
      <c r="F972" s="281"/>
      <c r="G972" s="280"/>
      <c r="H972" s="282"/>
      <c r="I972" s="283"/>
      <c r="J972" s="280"/>
      <c r="K972" s="103"/>
      <c r="L972" s="146"/>
      <c r="M972" s="103"/>
      <c r="N972" s="103"/>
      <c r="O972" s="103">
        <f t="shared" si="3"/>
        <v>0</v>
      </c>
      <c r="P972" s="104">
        <f t="shared" si="4"/>
        <v>0</v>
      </c>
      <c r="Q972" s="147"/>
      <c r="R972" s="103"/>
      <c r="S972" s="103">
        <f t="shared" si="6"/>
        <v>0</v>
      </c>
      <c r="U972" s="107" t="str">
        <f t="shared" si="7"/>
        <v>0</v>
      </c>
    </row>
    <row r="973" ht="15.75" customHeight="1">
      <c r="A973" s="279"/>
      <c r="B973" s="280"/>
      <c r="C973" s="280"/>
      <c r="D973" s="280"/>
      <c r="E973" s="281"/>
      <c r="F973" s="281"/>
      <c r="G973" s="280"/>
      <c r="H973" s="282"/>
      <c r="I973" s="283"/>
      <c r="J973" s="280"/>
      <c r="K973" s="103"/>
      <c r="L973" s="146"/>
      <c r="M973" s="103"/>
      <c r="N973" s="103"/>
      <c r="O973" s="103">
        <f t="shared" si="3"/>
        <v>0</v>
      </c>
      <c r="P973" s="104">
        <f t="shared" si="4"/>
        <v>0</v>
      </c>
      <c r="Q973" s="147"/>
      <c r="R973" s="103"/>
      <c r="S973" s="103">
        <f t="shared" si="6"/>
        <v>0</v>
      </c>
      <c r="U973" s="107" t="str">
        <f t="shared" si="7"/>
        <v>0</v>
      </c>
    </row>
    <row r="974" ht="15.75" customHeight="1">
      <c r="A974" s="279"/>
      <c r="B974" s="280"/>
      <c r="C974" s="280"/>
      <c r="D974" s="280"/>
      <c r="E974" s="281"/>
      <c r="F974" s="281"/>
      <c r="G974" s="280"/>
      <c r="H974" s="282"/>
      <c r="I974" s="283"/>
      <c r="J974" s="280"/>
      <c r="K974" s="103"/>
      <c r="L974" s="146"/>
      <c r="M974" s="103"/>
      <c r="N974" s="103"/>
      <c r="O974" s="103">
        <f t="shared" si="3"/>
        <v>0</v>
      </c>
      <c r="P974" s="104">
        <f t="shared" si="4"/>
        <v>0</v>
      </c>
      <c r="Q974" s="147"/>
      <c r="R974" s="103"/>
      <c r="S974" s="103">
        <f t="shared" si="6"/>
        <v>0</v>
      </c>
      <c r="U974" s="107" t="str">
        <f t="shared" si="7"/>
        <v>0</v>
      </c>
    </row>
    <row r="975" ht="15.75" customHeight="1">
      <c r="A975" s="279"/>
      <c r="B975" s="280"/>
      <c r="C975" s="280"/>
      <c r="D975" s="280"/>
      <c r="E975" s="281"/>
      <c r="F975" s="281"/>
      <c r="G975" s="280"/>
      <c r="H975" s="282"/>
      <c r="I975" s="283"/>
      <c r="J975" s="280"/>
      <c r="K975" s="103"/>
      <c r="L975" s="146"/>
      <c r="M975" s="103"/>
      <c r="N975" s="103"/>
      <c r="O975" s="103">
        <f t="shared" si="3"/>
        <v>0</v>
      </c>
      <c r="P975" s="104">
        <f t="shared" si="4"/>
        <v>0</v>
      </c>
      <c r="Q975" s="147"/>
      <c r="R975" s="103"/>
      <c r="S975" s="103">
        <f t="shared" si="6"/>
        <v>0</v>
      </c>
      <c r="U975" s="107" t="str">
        <f t="shared" si="7"/>
        <v>0</v>
      </c>
    </row>
    <row r="976" ht="15.75" customHeight="1">
      <c r="A976" s="279"/>
      <c r="B976" s="280"/>
      <c r="C976" s="280"/>
      <c r="D976" s="280"/>
      <c r="E976" s="281"/>
      <c r="F976" s="281"/>
      <c r="G976" s="280"/>
      <c r="H976" s="282"/>
      <c r="I976" s="283"/>
      <c r="J976" s="280"/>
      <c r="K976" s="103"/>
      <c r="L976" s="146"/>
      <c r="M976" s="103"/>
      <c r="N976" s="103"/>
      <c r="O976" s="103">
        <f t="shared" si="3"/>
        <v>0</v>
      </c>
      <c r="P976" s="104">
        <f t="shared" si="4"/>
        <v>0</v>
      </c>
      <c r="Q976" s="147"/>
      <c r="R976" s="103"/>
      <c r="S976" s="103">
        <f t="shared" si="6"/>
        <v>0</v>
      </c>
      <c r="U976" s="107" t="str">
        <f t="shared" si="7"/>
        <v>0</v>
      </c>
    </row>
    <row r="977" ht="15.75" customHeight="1">
      <c r="A977" s="279"/>
      <c r="B977" s="280"/>
      <c r="C977" s="280"/>
      <c r="D977" s="280"/>
      <c r="E977" s="281"/>
      <c r="F977" s="281"/>
      <c r="G977" s="280"/>
      <c r="H977" s="282"/>
      <c r="I977" s="283"/>
      <c r="J977" s="280"/>
      <c r="K977" s="103"/>
      <c r="L977" s="146"/>
      <c r="M977" s="103"/>
      <c r="N977" s="103"/>
      <c r="O977" s="103">
        <f t="shared" si="3"/>
        <v>0</v>
      </c>
      <c r="P977" s="104">
        <f t="shared" si="4"/>
        <v>0</v>
      </c>
      <c r="Q977" s="147"/>
      <c r="R977" s="103"/>
      <c r="S977" s="103">
        <f t="shared" si="6"/>
        <v>0</v>
      </c>
      <c r="U977" s="107" t="str">
        <f t="shared" si="7"/>
        <v>0</v>
      </c>
    </row>
    <row r="978" ht="15.75" customHeight="1">
      <c r="A978" s="279"/>
      <c r="B978" s="280"/>
      <c r="C978" s="280"/>
      <c r="D978" s="280"/>
      <c r="E978" s="281"/>
      <c r="F978" s="281"/>
      <c r="G978" s="280"/>
      <c r="H978" s="282"/>
      <c r="I978" s="283"/>
      <c r="J978" s="280"/>
      <c r="K978" s="103"/>
      <c r="L978" s="146"/>
      <c r="M978" s="103"/>
      <c r="N978" s="103"/>
      <c r="O978" s="103">
        <f t="shared" si="3"/>
        <v>0</v>
      </c>
      <c r="P978" s="104">
        <f t="shared" si="4"/>
        <v>0</v>
      </c>
      <c r="Q978" s="147"/>
      <c r="R978" s="103"/>
      <c r="S978" s="103">
        <f t="shared" si="6"/>
        <v>0</v>
      </c>
      <c r="U978" s="107" t="str">
        <f t="shared" si="7"/>
        <v>0</v>
      </c>
    </row>
    <row r="979" ht="15.75" customHeight="1">
      <c r="A979" s="279"/>
      <c r="B979" s="280"/>
      <c r="C979" s="280"/>
      <c r="D979" s="280"/>
      <c r="E979" s="281"/>
      <c r="F979" s="281"/>
      <c r="G979" s="280"/>
      <c r="H979" s="282"/>
      <c r="I979" s="283"/>
      <c r="J979" s="280"/>
      <c r="K979" s="103"/>
      <c r="L979" s="146"/>
      <c r="M979" s="103"/>
      <c r="N979" s="103"/>
      <c r="O979" s="103">
        <f t="shared" si="3"/>
        <v>0</v>
      </c>
      <c r="P979" s="104">
        <f t="shared" si="4"/>
        <v>0</v>
      </c>
      <c r="Q979" s="147"/>
      <c r="R979" s="103"/>
      <c r="S979" s="103">
        <f t="shared" si="6"/>
        <v>0</v>
      </c>
      <c r="U979" s="107" t="str">
        <f t="shared" si="7"/>
        <v>0</v>
      </c>
    </row>
    <row r="980" ht="15.75" customHeight="1">
      <c r="A980" s="279"/>
      <c r="B980" s="280"/>
      <c r="C980" s="280"/>
      <c r="D980" s="280"/>
      <c r="E980" s="281"/>
      <c r="F980" s="281"/>
      <c r="G980" s="280"/>
      <c r="H980" s="282"/>
      <c r="I980" s="283"/>
      <c r="J980" s="280"/>
      <c r="K980" s="103"/>
      <c r="L980" s="146"/>
      <c r="M980" s="103"/>
      <c r="N980" s="103"/>
      <c r="O980" s="103">
        <f t="shared" si="3"/>
        <v>0</v>
      </c>
      <c r="P980" s="104">
        <f t="shared" si="4"/>
        <v>0</v>
      </c>
      <c r="Q980" s="147"/>
      <c r="R980" s="103"/>
      <c r="S980" s="103">
        <f t="shared" si="6"/>
        <v>0</v>
      </c>
      <c r="U980" s="107" t="str">
        <f t="shared" si="7"/>
        <v>0</v>
      </c>
    </row>
    <row r="981" ht="15.75" customHeight="1">
      <c r="A981" s="279"/>
      <c r="B981" s="280"/>
      <c r="C981" s="280"/>
      <c r="D981" s="280"/>
      <c r="E981" s="281"/>
      <c r="F981" s="281"/>
      <c r="G981" s="280"/>
      <c r="H981" s="282"/>
      <c r="I981" s="283"/>
      <c r="J981" s="280"/>
      <c r="K981" s="103"/>
      <c r="L981" s="146"/>
      <c r="M981" s="103"/>
      <c r="N981" s="103"/>
      <c r="O981" s="103">
        <f t="shared" si="3"/>
        <v>0</v>
      </c>
      <c r="P981" s="104">
        <f t="shared" si="4"/>
        <v>0</v>
      </c>
      <c r="Q981" s="147"/>
      <c r="R981" s="103"/>
      <c r="S981" s="103">
        <f t="shared" si="6"/>
        <v>0</v>
      </c>
      <c r="U981" s="107" t="str">
        <f t="shared" si="7"/>
        <v>0</v>
      </c>
    </row>
    <row r="982" ht="15.75" customHeight="1">
      <c r="A982" s="279"/>
      <c r="B982" s="280"/>
      <c r="C982" s="280"/>
      <c r="D982" s="280"/>
      <c r="E982" s="281"/>
      <c r="F982" s="281"/>
      <c r="G982" s="280"/>
      <c r="H982" s="282"/>
      <c r="I982" s="283"/>
      <c r="J982" s="280"/>
      <c r="K982" s="103"/>
      <c r="L982" s="146"/>
      <c r="M982" s="103"/>
      <c r="N982" s="103"/>
      <c r="O982" s="103">
        <f t="shared" si="3"/>
        <v>0</v>
      </c>
      <c r="P982" s="104">
        <f t="shared" si="4"/>
        <v>0</v>
      </c>
      <c r="Q982" s="147"/>
      <c r="R982" s="103"/>
      <c r="S982" s="103">
        <f t="shared" si="6"/>
        <v>0</v>
      </c>
      <c r="U982" s="107" t="str">
        <f t="shared" si="7"/>
        <v>0</v>
      </c>
    </row>
    <row r="983" ht="15.75" customHeight="1">
      <c r="A983" s="279"/>
      <c r="B983" s="280"/>
      <c r="C983" s="280"/>
      <c r="D983" s="280"/>
      <c r="E983" s="281"/>
      <c r="F983" s="281"/>
      <c r="G983" s="280"/>
      <c r="H983" s="282"/>
      <c r="I983" s="283"/>
      <c r="J983" s="280"/>
      <c r="K983" s="103"/>
      <c r="L983" s="146"/>
      <c r="M983" s="103"/>
      <c r="N983" s="103"/>
      <c r="O983" s="103">
        <f t="shared" si="3"/>
        <v>0</v>
      </c>
      <c r="P983" s="104">
        <f t="shared" si="4"/>
        <v>0</v>
      </c>
      <c r="Q983" s="147"/>
      <c r="R983" s="103"/>
      <c r="S983" s="103">
        <f t="shared" si="6"/>
        <v>0</v>
      </c>
      <c r="U983" s="107" t="str">
        <f t="shared" si="7"/>
        <v>0</v>
      </c>
    </row>
    <row r="984" ht="15.75" customHeight="1">
      <c r="A984" s="279"/>
      <c r="B984" s="280"/>
      <c r="C984" s="280"/>
      <c r="D984" s="280"/>
      <c r="E984" s="281"/>
      <c r="F984" s="281"/>
      <c r="G984" s="280"/>
      <c r="H984" s="282"/>
      <c r="I984" s="283"/>
      <c r="J984" s="280"/>
      <c r="K984" s="103"/>
      <c r="L984" s="146"/>
      <c r="M984" s="103"/>
      <c r="N984" s="103"/>
      <c r="O984" s="103">
        <f t="shared" si="3"/>
        <v>0</v>
      </c>
      <c r="P984" s="104">
        <f t="shared" si="4"/>
        <v>0</v>
      </c>
      <c r="Q984" s="147"/>
      <c r="R984" s="103"/>
      <c r="S984" s="103">
        <f t="shared" si="6"/>
        <v>0</v>
      </c>
      <c r="U984" s="107" t="str">
        <f t="shared" si="7"/>
        <v>0</v>
      </c>
    </row>
    <row r="985" ht="15.75" customHeight="1">
      <c r="A985" s="279"/>
      <c r="B985" s="280"/>
      <c r="C985" s="280"/>
      <c r="D985" s="280"/>
      <c r="E985" s="281"/>
      <c r="F985" s="281"/>
      <c r="G985" s="280"/>
      <c r="H985" s="282"/>
      <c r="I985" s="283"/>
      <c r="J985" s="280"/>
      <c r="K985" s="103"/>
      <c r="L985" s="146"/>
      <c r="M985" s="103"/>
      <c r="N985" s="103"/>
      <c r="O985" s="103">
        <f t="shared" si="3"/>
        <v>0</v>
      </c>
      <c r="P985" s="104">
        <f t="shared" si="4"/>
        <v>0</v>
      </c>
      <c r="Q985" s="147"/>
      <c r="R985" s="103"/>
      <c r="S985" s="103">
        <f t="shared" si="6"/>
        <v>0</v>
      </c>
      <c r="U985" s="107" t="str">
        <f t="shared" si="7"/>
        <v>0</v>
      </c>
    </row>
    <row r="986" ht="15.75" customHeight="1">
      <c r="A986" s="279"/>
      <c r="B986" s="280"/>
      <c r="C986" s="280"/>
      <c r="D986" s="280"/>
      <c r="E986" s="281"/>
      <c r="F986" s="281"/>
      <c r="G986" s="280"/>
      <c r="H986" s="282"/>
      <c r="I986" s="283"/>
      <c r="J986" s="280"/>
      <c r="K986" s="103"/>
      <c r="L986" s="146"/>
      <c r="M986" s="103"/>
      <c r="N986" s="103"/>
      <c r="O986" s="103">
        <f t="shared" si="3"/>
        <v>0</v>
      </c>
      <c r="P986" s="104">
        <f t="shared" si="4"/>
        <v>0</v>
      </c>
      <c r="Q986" s="147"/>
      <c r="R986" s="103"/>
      <c r="S986" s="103">
        <f t="shared" si="6"/>
        <v>0</v>
      </c>
      <c r="U986" s="107" t="str">
        <f t="shared" si="7"/>
        <v>0</v>
      </c>
    </row>
    <row r="987" ht="15.75" customHeight="1">
      <c r="A987" s="279"/>
      <c r="B987" s="280"/>
      <c r="C987" s="280"/>
      <c r="D987" s="280"/>
      <c r="E987" s="281"/>
      <c r="F987" s="281"/>
      <c r="G987" s="280"/>
      <c r="H987" s="282"/>
      <c r="I987" s="283"/>
      <c r="J987" s="280"/>
      <c r="K987" s="103"/>
      <c r="L987" s="146"/>
      <c r="M987" s="103"/>
      <c r="N987" s="103"/>
      <c r="O987" s="103">
        <f t="shared" si="3"/>
        <v>0</v>
      </c>
      <c r="P987" s="104">
        <f t="shared" si="4"/>
        <v>0</v>
      </c>
      <c r="Q987" s="147"/>
      <c r="R987" s="103"/>
      <c r="S987" s="103">
        <f t="shared" si="6"/>
        <v>0</v>
      </c>
      <c r="U987" s="107" t="str">
        <f t="shared" si="7"/>
        <v>0</v>
      </c>
    </row>
    <row r="988" ht="15.75" customHeight="1">
      <c r="A988" s="279"/>
      <c r="B988" s="280"/>
      <c r="C988" s="280"/>
      <c r="D988" s="280"/>
      <c r="E988" s="281"/>
      <c r="F988" s="281"/>
      <c r="G988" s="280"/>
      <c r="H988" s="282"/>
      <c r="I988" s="283"/>
      <c r="J988" s="280"/>
      <c r="K988" s="103"/>
      <c r="L988" s="146"/>
      <c r="M988" s="103"/>
      <c r="N988" s="103"/>
      <c r="O988" s="103">
        <f t="shared" si="3"/>
        <v>0</v>
      </c>
      <c r="P988" s="104">
        <f t="shared" si="4"/>
        <v>0</v>
      </c>
      <c r="Q988" s="147"/>
      <c r="R988" s="103"/>
      <c r="S988" s="103">
        <f t="shared" si="6"/>
        <v>0</v>
      </c>
      <c r="U988" s="107" t="str">
        <f t="shared" si="7"/>
        <v>0</v>
      </c>
    </row>
    <row r="989" ht="15.75" customHeight="1">
      <c r="A989" s="279"/>
      <c r="B989" s="280"/>
      <c r="C989" s="280"/>
      <c r="D989" s="280"/>
      <c r="E989" s="281"/>
      <c r="F989" s="281"/>
      <c r="G989" s="280"/>
      <c r="H989" s="282"/>
      <c r="I989" s="283"/>
      <c r="J989" s="280"/>
      <c r="K989" s="103"/>
      <c r="L989" s="146"/>
      <c r="M989" s="103"/>
      <c r="N989" s="103"/>
      <c r="O989" s="103">
        <f t="shared" si="3"/>
        <v>0</v>
      </c>
      <c r="P989" s="104">
        <f t="shared" si="4"/>
        <v>0</v>
      </c>
      <c r="Q989" s="147"/>
      <c r="R989" s="103"/>
      <c r="S989" s="103">
        <f t="shared" si="6"/>
        <v>0</v>
      </c>
      <c r="U989" s="107" t="str">
        <f t="shared" si="7"/>
        <v>0</v>
      </c>
    </row>
    <row r="990" ht="15.75" customHeight="1">
      <c r="A990" s="279"/>
      <c r="B990" s="280"/>
      <c r="C990" s="280"/>
      <c r="D990" s="280"/>
      <c r="E990" s="281"/>
      <c r="F990" s="281"/>
      <c r="G990" s="280"/>
      <c r="H990" s="282"/>
      <c r="I990" s="283"/>
      <c r="J990" s="280"/>
      <c r="K990" s="103"/>
      <c r="L990" s="146"/>
      <c r="M990" s="103"/>
      <c r="N990" s="103"/>
      <c r="O990" s="103">
        <f t="shared" si="3"/>
        <v>0</v>
      </c>
      <c r="P990" s="104">
        <f t="shared" si="4"/>
        <v>0</v>
      </c>
      <c r="Q990" s="147"/>
      <c r="R990" s="103"/>
      <c r="S990" s="103">
        <f t="shared" si="6"/>
        <v>0</v>
      </c>
      <c r="U990" s="107" t="str">
        <f t="shared" si="7"/>
        <v>0</v>
      </c>
    </row>
    <row r="991" ht="15.75" customHeight="1">
      <c r="A991" s="279"/>
      <c r="B991" s="280"/>
      <c r="C991" s="280"/>
      <c r="D991" s="280"/>
      <c r="E991" s="281"/>
      <c r="F991" s="281"/>
      <c r="G991" s="280"/>
      <c r="H991" s="282"/>
      <c r="I991" s="283"/>
      <c r="J991" s="280"/>
      <c r="K991" s="103"/>
      <c r="L991" s="146"/>
      <c r="M991" s="103"/>
      <c r="N991" s="103"/>
      <c r="O991" s="103">
        <f t="shared" si="3"/>
        <v>0</v>
      </c>
      <c r="P991" s="104">
        <f t="shared" si="4"/>
        <v>0</v>
      </c>
      <c r="Q991" s="147"/>
      <c r="R991" s="103"/>
      <c r="S991" s="103">
        <f t="shared" si="6"/>
        <v>0</v>
      </c>
      <c r="U991" s="107" t="str">
        <f t="shared" si="7"/>
        <v>0</v>
      </c>
    </row>
    <row r="992" ht="15.75" customHeight="1">
      <c r="A992" s="279"/>
      <c r="B992" s="280"/>
      <c r="C992" s="280"/>
      <c r="D992" s="280"/>
      <c r="E992" s="281"/>
      <c r="F992" s="281"/>
      <c r="G992" s="280"/>
      <c r="H992" s="282"/>
      <c r="I992" s="283"/>
      <c r="J992" s="280"/>
      <c r="K992" s="103"/>
      <c r="L992" s="146"/>
      <c r="M992" s="103"/>
      <c r="N992" s="103"/>
      <c r="O992" s="103">
        <f t="shared" si="3"/>
        <v>0</v>
      </c>
      <c r="P992" s="104">
        <f t="shared" si="4"/>
        <v>0</v>
      </c>
      <c r="Q992" s="147"/>
      <c r="R992" s="103"/>
      <c r="S992" s="103">
        <f t="shared" si="6"/>
        <v>0</v>
      </c>
      <c r="U992" s="107" t="str">
        <f t="shared" si="7"/>
        <v>0</v>
      </c>
    </row>
    <row r="993" ht="15.75" customHeight="1">
      <c r="A993" s="279"/>
      <c r="B993" s="280"/>
      <c r="C993" s="280"/>
      <c r="D993" s="280"/>
      <c r="E993" s="281"/>
      <c r="F993" s="281"/>
      <c r="G993" s="280"/>
      <c r="H993" s="282"/>
      <c r="I993" s="283"/>
      <c r="J993" s="280"/>
      <c r="K993" s="103"/>
      <c r="L993" s="146"/>
      <c r="M993" s="103"/>
      <c r="N993" s="103"/>
      <c r="O993" s="103">
        <f t="shared" si="3"/>
        <v>0</v>
      </c>
      <c r="P993" s="104">
        <f t="shared" si="4"/>
        <v>0</v>
      </c>
      <c r="Q993" s="147"/>
      <c r="R993" s="103"/>
      <c r="S993" s="103">
        <f t="shared" si="6"/>
        <v>0</v>
      </c>
      <c r="U993" s="107" t="str">
        <f t="shared" si="7"/>
        <v>0</v>
      </c>
    </row>
    <row r="994" ht="15.75" customHeight="1">
      <c r="A994" s="279"/>
      <c r="B994" s="280"/>
      <c r="C994" s="280"/>
      <c r="D994" s="280"/>
      <c r="E994" s="281"/>
      <c r="F994" s="281"/>
      <c r="G994" s="280"/>
      <c r="H994" s="282"/>
      <c r="I994" s="283"/>
      <c r="J994" s="280"/>
      <c r="K994" s="103"/>
      <c r="L994" s="146"/>
      <c r="M994" s="103"/>
      <c r="N994" s="103"/>
      <c r="O994" s="103">
        <f t="shared" si="3"/>
        <v>0</v>
      </c>
      <c r="P994" s="104">
        <f t="shared" si="4"/>
        <v>0</v>
      </c>
      <c r="Q994" s="147"/>
      <c r="R994" s="103"/>
      <c r="S994" s="103">
        <f t="shared" si="6"/>
        <v>0</v>
      </c>
      <c r="U994" s="107" t="str">
        <f t="shared" si="7"/>
        <v>0</v>
      </c>
    </row>
    <row r="995" ht="15.75" customHeight="1">
      <c r="A995" s="279"/>
      <c r="B995" s="280"/>
      <c r="C995" s="280"/>
      <c r="D995" s="280"/>
      <c r="E995" s="281"/>
      <c r="F995" s="281"/>
      <c r="G995" s="280"/>
      <c r="H995" s="282"/>
      <c r="I995" s="283"/>
      <c r="J995" s="280"/>
      <c r="K995" s="103"/>
      <c r="L995" s="146"/>
      <c r="M995" s="103"/>
      <c r="N995" s="103"/>
      <c r="O995" s="103">
        <f t="shared" si="3"/>
        <v>0</v>
      </c>
      <c r="P995" s="104">
        <f t="shared" si="4"/>
        <v>0</v>
      </c>
      <c r="Q995" s="147"/>
      <c r="R995" s="103"/>
      <c r="S995" s="103">
        <f t="shared" si="6"/>
        <v>0</v>
      </c>
      <c r="U995" s="107" t="str">
        <f t="shared" si="7"/>
        <v>0</v>
      </c>
    </row>
    <row r="996" ht="15.75" customHeight="1">
      <c r="A996" s="279"/>
      <c r="B996" s="280"/>
      <c r="C996" s="280"/>
      <c r="D996" s="280"/>
      <c r="E996" s="281"/>
      <c r="F996" s="281"/>
      <c r="G996" s="280"/>
      <c r="H996" s="282"/>
      <c r="I996" s="283"/>
      <c r="J996" s="280"/>
      <c r="K996" s="103"/>
      <c r="L996" s="146"/>
      <c r="M996" s="103"/>
      <c r="N996" s="103"/>
      <c r="O996" s="103">
        <f t="shared" si="3"/>
        <v>0</v>
      </c>
      <c r="P996" s="104">
        <f t="shared" si="4"/>
        <v>0</v>
      </c>
      <c r="Q996" s="147"/>
      <c r="R996" s="103"/>
      <c r="S996" s="103">
        <f t="shared" si="6"/>
        <v>0</v>
      </c>
      <c r="U996" s="107" t="str">
        <f t="shared" si="7"/>
        <v>0</v>
      </c>
    </row>
    <row r="997" ht="15.75" customHeight="1">
      <c r="A997" s="279"/>
      <c r="B997" s="280"/>
      <c r="C997" s="280"/>
      <c r="D997" s="280"/>
      <c r="E997" s="281"/>
      <c r="F997" s="281"/>
      <c r="G997" s="280"/>
      <c r="H997" s="282"/>
      <c r="I997" s="283"/>
      <c r="J997" s="280"/>
      <c r="K997" s="103"/>
      <c r="L997" s="146"/>
      <c r="M997" s="103"/>
      <c r="N997" s="103"/>
      <c r="O997" s="103">
        <f t="shared" si="3"/>
        <v>0</v>
      </c>
      <c r="P997" s="104">
        <f t="shared" si="4"/>
        <v>0</v>
      </c>
      <c r="Q997" s="147"/>
      <c r="R997" s="103"/>
      <c r="S997" s="103">
        <f t="shared" si="6"/>
        <v>0</v>
      </c>
      <c r="U997" s="107" t="str">
        <f t="shared" si="7"/>
        <v>0</v>
      </c>
    </row>
    <row r="998" ht="15.75" customHeight="1">
      <c r="A998" s="279"/>
      <c r="B998" s="280"/>
      <c r="C998" s="280"/>
      <c r="D998" s="280"/>
      <c r="E998" s="281"/>
      <c r="F998" s="281"/>
      <c r="G998" s="280"/>
      <c r="H998" s="282"/>
      <c r="I998" s="283"/>
      <c r="J998" s="280"/>
      <c r="K998" s="103"/>
      <c r="L998" s="146"/>
      <c r="M998" s="103"/>
      <c r="N998" s="103"/>
      <c r="O998" s="103">
        <f t="shared" si="3"/>
        <v>0</v>
      </c>
      <c r="P998" s="104">
        <f t="shared" si="4"/>
        <v>0</v>
      </c>
      <c r="Q998" s="147"/>
      <c r="R998" s="103"/>
      <c r="S998" s="103">
        <f t="shared" si="6"/>
        <v>0</v>
      </c>
      <c r="U998" s="107" t="str">
        <f t="shared" si="7"/>
        <v>0</v>
      </c>
    </row>
    <row r="999" ht="15.75" customHeight="1">
      <c r="A999" s="279"/>
      <c r="B999" s="280"/>
      <c r="C999" s="280"/>
      <c r="D999" s="280"/>
      <c r="E999" s="281"/>
      <c r="F999" s="281"/>
      <c r="G999" s="280"/>
      <c r="H999" s="282"/>
      <c r="I999" s="283"/>
      <c r="J999" s="280"/>
      <c r="K999" s="103"/>
      <c r="L999" s="146"/>
      <c r="M999" s="103"/>
      <c r="N999" s="103"/>
      <c r="O999" s="103">
        <f t="shared" si="3"/>
        <v>0</v>
      </c>
      <c r="P999" s="104">
        <f t="shared" si="4"/>
        <v>0</v>
      </c>
      <c r="Q999" s="147"/>
      <c r="R999" s="103"/>
      <c r="S999" s="103">
        <f t="shared" si="6"/>
        <v>0</v>
      </c>
      <c r="U999" s="107" t="str">
        <f t="shared" si="7"/>
        <v>0</v>
      </c>
    </row>
    <row r="1000" ht="15.75" customHeight="1">
      <c r="A1000" s="279"/>
      <c r="B1000" s="280"/>
      <c r="C1000" s="280"/>
      <c r="D1000" s="280"/>
      <c r="E1000" s="281"/>
      <c r="F1000" s="281"/>
      <c r="G1000" s="280"/>
      <c r="H1000" s="282"/>
      <c r="I1000" s="283"/>
      <c r="J1000" s="280"/>
      <c r="K1000" s="103"/>
      <c r="L1000" s="146"/>
      <c r="M1000" s="103"/>
      <c r="N1000" s="103"/>
      <c r="O1000" s="103">
        <f t="shared" si="3"/>
        <v>0</v>
      </c>
      <c r="P1000" s="104">
        <f t="shared" si="4"/>
        <v>0</v>
      </c>
      <c r="Q1000" s="147"/>
      <c r="R1000" s="103"/>
      <c r="S1000" s="103">
        <f t="shared" si="6"/>
        <v>0</v>
      </c>
      <c r="U1000" s="107" t="str">
        <f t="shared" si="7"/>
        <v>0</v>
      </c>
    </row>
    <row r="1001" ht="15.75" customHeight="1">
      <c r="A1001" s="279"/>
      <c r="B1001" s="280"/>
      <c r="C1001" s="280"/>
      <c r="D1001" s="280"/>
      <c r="E1001" s="281"/>
      <c r="F1001" s="281"/>
      <c r="G1001" s="280"/>
      <c r="H1001" s="282"/>
      <c r="I1001" s="283"/>
      <c r="J1001" s="280"/>
      <c r="K1001" s="103"/>
      <c r="L1001" s="146"/>
      <c r="M1001" s="103"/>
      <c r="N1001" s="103"/>
      <c r="O1001" s="103">
        <f t="shared" si="3"/>
        <v>0</v>
      </c>
      <c r="P1001" s="104">
        <f t="shared" si="4"/>
        <v>0</v>
      </c>
      <c r="Q1001" s="147"/>
      <c r="R1001" s="103"/>
      <c r="S1001" s="103">
        <f t="shared" si="6"/>
        <v>0</v>
      </c>
      <c r="U1001" s="107" t="str">
        <f t="shared" si="7"/>
        <v>0</v>
      </c>
    </row>
    <row r="1002" ht="15.75" customHeight="1">
      <c r="A1002" s="279"/>
      <c r="B1002" s="280"/>
      <c r="C1002" s="280"/>
      <c r="D1002" s="280"/>
      <c r="E1002" s="281"/>
      <c r="F1002" s="281"/>
      <c r="G1002" s="280"/>
      <c r="H1002" s="282"/>
      <c r="I1002" s="283"/>
      <c r="J1002" s="280"/>
      <c r="K1002" s="103"/>
      <c r="L1002" s="146"/>
      <c r="M1002" s="103"/>
      <c r="N1002" s="103"/>
      <c r="O1002" s="103">
        <f t="shared" si="3"/>
        <v>0</v>
      </c>
      <c r="P1002" s="104">
        <f t="shared" si="4"/>
        <v>0</v>
      </c>
      <c r="Q1002" s="147"/>
      <c r="R1002" s="103"/>
      <c r="S1002" s="103">
        <f t="shared" si="6"/>
        <v>0</v>
      </c>
      <c r="U1002" s="107" t="str">
        <f t="shared" si="7"/>
        <v>0</v>
      </c>
    </row>
    <row r="1003" ht="15.75" customHeight="1">
      <c r="A1003" s="279"/>
      <c r="B1003" s="280"/>
      <c r="C1003" s="280"/>
      <c r="D1003" s="280"/>
      <c r="E1003" s="281"/>
      <c r="F1003" s="281"/>
      <c r="G1003" s="280"/>
      <c r="H1003" s="282"/>
      <c r="I1003" s="283"/>
      <c r="J1003" s="280"/>
      <c r="K1003" s="103"/>
      <c r="L1003" s="146"/>
      <c r="M1003" s="103"/>
      <c r="N1003" s="103"/>
      <c r="O1003" s="103">
        <f t="shared" si="3"/>
        <v>0</v>
      </c>
      <c r="P1003" s="104">
        <f t="shared" si="4"/>
        <v>0</v>
      </c>
      <c r="Q1003" s="147"/>
      <c r="R1003" s="103"/>
      <c r="S1003" s="103">
        <f t="shared" si="6"/>
        <v>0</v>
      </c>
      <c r="U1003" s="107" t="str">
        <f t="shared" si="7"/>
        <v>0</v>
      </c>
    </row>
    <row r="1004" ht="15.75" customHeight="1">
      <c r="A1004" s="279"/>
      <c r="B1004" s="280"/>
      <c r="C1004" s="280"/>
      <c r="D1004" s="280"/>
      <c r="E1004" s="281"/>
      <c r="F1004" s="281"/>
      <c r="G1004" s="280"/>
      <c r="H1004" s="282"/>
      <c r="I1004" s="283"/>
      <c r="J1004" s="280"/>
      <c r="K1004" s="103"/>
      <c r="L1004" s="146"/>
      <c r="M1004" s="103"/>
      <c r="N1004" s="103"/>
      <c r="O1004" s="103">
        <f t="shared" si="3"/>
        <v>0</v>
      </c>
      <c r="P1004" s="104">
        <f t="shared" si="4"/>
        <v>0</v>
      </c>
      <c r="Q1004" s="147"/>
      <c r="R1004" s="103"/>
      <c r="S1004" s="103">
        <f t="shared" si="6"/>
        <v>0</v>
      </c>
      <c r="U1004" s="107" t="str">
        <f t="shared" si="7"/>
        <v>0</v>
      </c>
    </row>
    <row r="1005" ht="15.75" customHeight="1">
      <c r="A1005" s="279"/>
      <c r="B1005" s="280"/>
      <c r="C1005" s="280"/>
      <c r="D1005" s="280"/>
      <c r="E1005" s="281"/>
      <c r="F1005" s="281"/>
      <c r="G1005" s="280"/>
      <c r="H1005" s="282"/>
      <c r="I1005" s="283"/>
      <c r="J1005" s="280"/>
      <c r="K1005" s="103"/>
      <c r="L1005" s="146"/>
      <c r="M1005" s="103"/>
      <c r="N1005" s="103"/>
      <c r="O1005" s="103">
        <f t="shared" si="3"/>
        <v>0</v>
      </c>
      <c r="P1005" s="104">
        <f t="shared" si="4"/>
        <v>0</v>
      </c>
      <c r="Q1005" s="147"/>
      <c r="R1005" s="103"/>
      <c r="S1005" s="103">
        <f t="shared" si="6"/>
        <v>0</v>
      </c>
      <c r="U1005" s="107" t="str">
        <f t="shared" si="7"/>
        <v>0</v>
      </c>
    </row>
    <row r="1006" ht="15.75" customHeight="1">
      <c r="A1006" s="279"/>
      <c r="B1006" s="280"/>
      <c r="C1006" s="280"/>
      <c r="D1006" s="280"/>
      <c r="E1006" s="281"/>
      <c r="F1006" s="281"/>
      <c r="G1006" s="280"/>
      <c r="H1006" s="282"/>
      <c r="I1006" s="283"/>
      <c r="J1006" s="280"/>
      <c r="K1006" s="103"/>
      <c r="L1006" s="146"/>
      <c r="M1006" s="103"/>
      <c r="N1006" s="103"/>
      <c r="O1006" s="103">
        <f t="shared" si="3"/>
        <v>0</v>
      </c>
      <c r="P1006" s="104">
        <f t="shared" si="4"/>
        <v>0</v>
      </c>
      <c r="Q1006" s="147"/>
      <c r="R1006" s="103"/>
      <c r="S1006" s="103">
        <f t="shared" si="6"/>
        <v>0</v>
      </c>
      <c r="U1006" s="107" t="str">
        <f t="shared" si="7"/>
        <v>0</v>
      </c>
    </row>
    <row r="1007" ht="15.75" customHeight="1">
      <c r="A1007" s="279"/>
      <c r="B1007" s="280"/>
      <c r="C1007" s="280"/>
      <c r="D1007" s="280"/>
      <c r="E1007" s="281"/>
      <c r="F1007" s="281"/>
      <c r="G1007" s="280"/>
      <c r="H1007" s="282"/>
      <c r="I1007" s="283"/>
      <c r="J1007" s="280"/>
      <c r="K1007" s="103"/>
      <c r="L1007" s="146"/>
      <c r="M1007" s="103"/>
      <c r="N1007" s="103"/>
      <c r="O1007" s="103">
        <f t="shared" si="3"/>
        <v>0</v>
      </c>
      <c r="P1007" s="104">
        <f t="shared" si="4"/>
        <v>0</v>
      </c>
      <c r="Q1007" s="147"/>
      <c r="R1007" s="103"/>
      <c r="S1007" s="103">
        <f t="shared" si="6"/>
        <v>0</v>
      </c>
      <c r="U1007" s="107" t="str">
        <f t="shared" si="7"/>
        <v>0</v>
      </c>
    </row>
    <row r="1008" ht="15.75" customHeight="1">
      <c r="A1008" s="279"/>
      <c r="B1008" s="280"/>
      <c r="C1008" s="280"/>
      <c r="D1008" s="280"/>
      <c r="E1008" s="281"/>
      <c r="F1008" s="281"/>
      <c r="G1008" s="280"/>
      <c r="H1008" s="282"/>
      <c r="I1008" s="283"/>
      <c r="J1008" s="280"/>
      <c r="K1008" s="103"/>
      <c r="L1008" s="146"/>
      <c r="M1008" s="103"/>
      <c r="N1008" s="103"/>
      <c r="O1008" s="103">
        <f t="shared" si="3"/>
        <v>0</v>
      </c>
      <c r="P1008" s="104">
        <f t="shared" si="4"/>
        <v>0</v>
      </c>
      <c r="Q1008" s="147"/>
      <c r="R1008" s="103"/>
      <c r="S1008" s="103">
        <f t="shared" si="6"/>
        <v>0</v>
      </c>
      <c r="U1008" s="107" t="str">
        <f t="shared" si="7"/>
        <v>0</v>
      </c>
    </row>
    <row r="1009" ht="15.75" customHeight="1">
      <c r="A1009" s="279"/>
      <c r="B1009" s="280"/>
      <c r="C1009" s="280"/>
      <c r="D1009" s="280"/>
      <c r="E1009" s="281"/>
      <c r="F1009" s="281"/>
      <c r="G1009" s="280"/>
      <c r="H1009" s="282"/>
      <c r="I1009" s="283"/>
      <c r="J1009" s="280"/>
      <c r="K1009" s="103"/>
      <c r="L1009" s="146"/>
      <c r="M1009" s="103"/>
      <c r="N1009" s="103"/>
      <c r="O1009" s="103">
        <f t="shared" si="3"/>
        <v>0</v>
      </c>
      <c r="P1009" s="104">
        <f t="shared" si="4"/>
        <v>0</v>
      </c>
      <c r="Q1009" s="147"/>
      <c r="R1009" s="103"/>
      <c r="S1009" s="103">
        <f t="shared" si="6"/>
        <v>0</v>
      </c>
      <c r="U1009" s="107" t="str">
        <f t="shared" si="7"/>
        <v>0</v>
      </c>
    </row>
    <row r="1010" ht="15.75" customHeight="1">
      <c r="A1010" s="279"/>
      <c r="B1010" s="280"/>
      <c r="C1010" s="280"/>
      <c r="D1010" s="280"/>
      <c r="E1010" s="281"/>
      <c r="F1010" s="281"/>
      <c r="G1010" s="280"/>
      <c r="H1010" s="282"/>
      <c r="I1010" s="283"/>
      <c r="J1010" s="280"/>
      <c r="K1010" s="103"/>
      <c r="L1010" s="146"/>
      <c r="M1010" s="103"/>
      <c r="N1010" s="103"/>
      <c r="O1010" s="103">
        <f t="shared" si="3"/>
        <v>0</v>
      </c>
      <c r="P1010" s="104">
        <f t="shared" si="4"/>
        <v>0</v>
      </c>
      <c r="Q1010" s="147"/>
      <c r="R1010" s="103"/>
      <c r="S1010" s="103">
        <f t="shared" si="6"/>
        <v>0</v>
      </c>
      <c r="U1010" s="107" t="str">
        <f t="shared" si="7"/>
        <v>0</v>
      </c>
    </row>
    <row r="1011" ht="15.75" customHeight="1">
      <c r="A1011" s="279"/>
      <c r="B1011" s="280"/>
      <c r="C1011" s="280"/>
      <c r="D1011" s="280"/>
      <c r="E1011" s="281"/>
      <c r="F1011" s="281"/>
      <c r="G1011" s="280"/>
      <c r="H1011" s="282"/>
      <c r="I1011" s="283"/>
      <c r="J1011" s="280"/>
      <c r="K1011" s="103"/>
      <c r="L1011" s="146"/>
      <c r="M1011" s="103"/>
      <c r="N1011" s="103"/>
      <c r="O1011" s="103">
        <f t="shared" si="3"/>
        <v>0</v>
      </c>
      <c r="P1011" s="104">
        <f t="shared" si="4"/>
        <v>0</v>
      </c>
      <c r="Q1011" s="147"/>
      <c r="R1011" s="103"/>
      <c r="S1011" s="103">
        <f t="shared" si="6"/>
        <v>0</v>
      </c>
      <c r="U1011" s="107" t="str">
        <f t="shared" si="7"/>
        <v>0</v>
      </c>
    </row>
    <row r="1012" ht="15.75" customHeight="1">
      <c r="A1012" s="279"/>
      <c r="B1012" s="280"/>
      <c r="C1012" s="280"/>
      <c r="D1012" s="280"/>
      <c r="E1012" s="281"/>
      <c r="F1012" s="281"/>
      <c r="G1012" s="280"/>
      <c r="H1012" s="282"/>
      <c r="I1012" s="283"/>
      <c r="J1012" s="280"/>
      <c r="K1012" s="103"/>
      <c r="L1012" s="146"/>
      <c r="M1012" s="103"/>
      <c r="N1012" s="103"/>
      <c r="O1012" s="103">
        <f t="shared" si="3"/>
        <v>0</v>
      </c>
      <c r="P1012" s="104">
        <f t="shared" si="4"/>
        <v>0</v>
      </c>
      <c r="Q1012" s="147"/>
      <c r="R1012" s="103"/>
      <c r="S1012" s="103">
        <f t="shared" si="6"/>
        <v>0</v>
      </c>
      <c r="U1012" s="107" t="str">
        <f t="shared" si="7"/>
        <v>0</v>
      </c>
    </row>
    <row r="1013" ht="15.75" customHeight="1">
      <c r="A1013" s="279"/>
      <c r="B1013" s="280"/>
      <c r="C1013" s="280"/>
      <c r="D1013" s="280"/>
      <c r="E1013" s="281"/>
      <c r="F1013" s="281"/>
      <c r="G1013" s="280"/>
      <c r="H1013" s="282"/>
      <c r="I1013" s="283"/>
      <c r="J1013" s="280"/>
      <c r="K1013" s="103"/>
      <c r="L1013" s="146"/>
      <c r="M1013" s="103"/>
      <c r="N1013" s="103"/>
      <c r="O1013" s="103">
        <f t="shared" si="3"/>
        <v>0</v>
      </c>
      <c r="P1013" s="104">
        <f t="shared" si="4"/>
        <v>0</v>
      </c>
      <c r="Q1013" s="147"/>
      <c r="R1013" s="103"/>
      <c r="S1013" s="103">
        <f t="shared" si="6"/>
        <v>0</v>
      </c>
      <c r="U1013" s="107" t="str">
        <f t="shared" si="7"/>
        <v>0</v>
      </c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list" allowBlank="1" sqref="H2:H1013">
      <formula1>"Venta,Venta Perdida,Separado"</formula1>
    </dataValidation>
    <dataValidation type="list" allowBlank="1" sqref="F2:F1013">
      <formula1>#REF!</formula1>
    </dataValidation>
    <dataValidation type="custom" allowBlank="1" showDropDown="1" sqref="M2:P1013 R2:R1013">
      <formula1>AND(ISNUMBER(M2),(NOT(OR(NOT(ISERROR(DATEVALUE(M2))), AND(ISNUMBER(M2), LEFT(CELL("format", M2))="D")))))</formula1>
    </dataValidation>
    <dataValidation type="list" allowBlank="1" sqref="E2:E1013 Q2:Q1013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17.38"/>
    <col customWidth="1" min="4" max="4" width="15.0"/>
    <col customWidth="1" min="5" max="5" width="18.88"/>
    <col customWidth="1" min="6" max="6" width="18.0"/>
    <col customWidth="1" min="7" max="7" width="20.88"/>
    <col customWidth="1" min="8" max="8" width="20.25"/>
    <col customWidth="1" min="9" max="9" width="16.0"/>
    <col customWidth="1" min="10" max="10" width="37.75"/>
    <col customWidth="1" min="11" max="11" width="6.13"/>
    <col customWidth="1" min="12" max="12" width="7.5"/>
    <col customWidth="1" min="13" max="13" width="14.0"/>
    <col customWidth="1" min="14" max="15" width="14.63"/>
    <col customWidth="1" min="16" max="16" width="12.25"/>
    <col customWidth="1" min="17" max="17" width="17.13"/>
    <col customWidth="1" min="18" max="18" width="12.38"/>
    <col customWidth="1" min="19" max="19" width="11.63"/>
    <col customWidth="1" min="20" max="20" width="14.63"/>
    <col customWidth="1" min="21" max="21" width="11.63"/>
  </cols>
  <sheetData>
    <row r="1" ht="33.75" customHeight="1">
      <c r="A1" s="91" t="s">
        <v>179</v>
      </c>
      <c r="B1" s="91" t="s">
        <v>180</v>
      </c>
      <c r="C1" s="91" t="s">
        <v>181</v>
      </c>
      <c r="D1" s="91" t="s">
        <v>182</v>
      </c>
      <c r="E1" s="91" t="s">
        <v>96</v>
      </c>
      <c r="F1" s="91" t="s">
        <v>183</v>
      </c>
      <c r="G1" s="91" t="s">
        <v>16</v>
      </c>
      <c r="H1" s="91" t="s">
        <v>184</v>
      </c>
      <c r="I1" s="91" t="s">
        <v>185</v>
      </c>
      <c r="J1" s="91" t="s">
        <v>186</v>
      </c>
      <c r="K1" s="92" t="s">
        <v>187</v>
      </c>
      <c r="L1" s="93" t="s">
        <v>188</v>
      </c>
      <c r="M1" s="92" t="s">
        <v>189</v>
      </c>
      <c r="N1" s="92" t="s">
        <v>190</v>
      </c>
      <c r="O1" s="92" t="s">
        <v>191</v>
      </c>
      <c r="P1" s="92" t="s">
        <v>192</v>
      </c>
      <c r="Q1" s="92" t="s">
        <v>193</v>
      </c>
      <c r="R1" s="92" t="s">
        <v>194</v>
      </c>
      <c r="S1" s="92" t="s">
        <v>195</v>
      </c>
      <c r="T1" s="92" t="s">
        <v>196</v>
      </c>
      <c r="U1" s="92" t="s">
        <v>197</v>
      </c>
    </row>
    <row r="2">
      <c r="A2" s="94"/>
      <c r="B2" s="95"/>
      <c r="C2" s="96" t="s">
        <v>313</v>
      </c>
      <c r="D2" s="97"/>
      <c r="E2" s="98" t="s">
        <v>178</v>
      </c>
      <c r="F2" s="98" t="s">
        <v>200</v>
      </c>
      <c r="G2" s="96" t="s">
        <v>54</v>
      </c>
      <c r="H2" s="98" t="s">
        <v>315</v>
      </c>
      <c r="I2" s="99"/>
      <c r="J2" s="100"/>
      <c r="K2" s="101"/>
      <c r="M2" s="101"/>
      <c r="N2" s="101"/>
      <c r="O2" s="103">
        <f t="shared" ref="O2:O1013" si="1">M2-N2</f>
        <v>0</v>
      </c>
      <c r="P2" s="104">
        <f t="shared" ref="P2:P1013" si="2">IFERROR(O2/M2,0)</f>
        <v>0</v>
      </c>
      <c r="Q2" s="147"/>
      <c r="R2" s="101"/>
      <c r="S2" s="103">
        <f t="shared" ref="S2:S1013" si="3">N2-R2</f>
        <v>0</v>
      </c>
      <c r="T2" s="106"/>
      <c r="U2" s="107" t="str">
        <f t="shared" ref="U2:U1013" si="4">IF(T2-A2&gt;0,T2-A2,"0")</f>
        <v>0</v>
      </c>
    </row>
    <row r="3">
      <c r="A3" s="94"/>
      <c r="B3" s="95"/>
      <c r="C3" s="96"/>
      <c r="D3" s="97"/>
      <c r="E3" s="98"/>
      <c r="F3" s="98"/>
      <c r="G3" s="96"/>
      <c r="H3" s="98" t="s">
        <v>316</v>
      </c>
      <c r="I3" s="99"/>
      <c r="J3" s="100"/>
      <c r="K3" s="101"/>
      <c r="M3" s="101"/>
      <c r="N3" s="101"/>
      <c r="O3" s="103">
        <f t="shared" si="1"/>
        <v>0</v>
      </c>
      <c r="P3" s="104">
        <f t="shared" si="2"/>
        <v>0</v>
      </c>
      <c r="Q3" s="147"/>
      <c r="R3" s="101"/>
      <c r="S3" s="103">
        <f t="shared" si="3"/>
        <v>0</v>
      </c>
      <c r="T3" s="106"/>
      <c r="U3" s="107" t="str">
        <f t="shared" si="4"/>
        <v>0</v>
      </c>
    </row>
    <row r="4">
      <c r="A4" s="94"/>
      <c r="B4" s="95"/>
      <c r="C4" s="96"/>
      <c r="D4" s="97"/>
      <c r="E4" s="98"/>
      <c r="F4" s="98"/>
      <c r="G4" s="96"/>
      <c r="H4" s="98"/>
      <c r="I4" s="99"/>
      <c r="J4" s="100"/>
      <c r="K4" s="101"/>
      <c r="M4" s="101"/>
      <c r="N4" s="101"/>
      <c r="O4" s="103">
        <f t="shared" si="1"/>
        <v>0</v>
      </c>
      <c r="P4" s="104">
        <f t="shared" si="2"/>
        <v>0</v>
      </c>
      <c r="Q4" s="147"/>
      <c r="R4" s="101"/>
      <c r="S4" s="103">
        <f t="shared" si="3"/>
        <v>0</v>
      </c>
      <c r="T4" s="106"/>
      <c r="U4" s="107" t="str">
        <f t="shared" si="4"/>
        <v>0</v>
      </c>
    </row>
    <row r="5">
      <c r="A5" s="94"/>
      <c r="B5" s="95"/>
      <c r="C5" s="96"/>
      <c r="D5" s="97"/>
      <c r="E5" s="98"/>
      <c r="F5" s="98"/>
      <c r="G5" s="96"/>
      <c r="H5" s="98"/>
      <c r="I5" s="99"/>
      <c r="J5" s="100"/>
      <c r="K5" s="101"/>
      <c r="M5" s="101"/>
      <c r="N5" s="101"/>
      <c r="O5" s="103">
        <f t="shared" si="1"/>
        <v>0</v>
      </c>
      <c r="P5" s="104">
        <f t="shared" si="2"/>
        <v>0</v>
      </c>
      <c r="Q5" s="147"/>
      <c r="R5" s="101"/>
      <c r="S5" s="103">
        <f t="shared" si="3"/>
        <v>0</v>
      </c>
      <c r="T5" s="106"/>
      <c r="U5" s="107" t="str">
        <f t="shared" si="4"/>
        <v>0</v>
      </c>
    </row>
    <row r="6">
      <c r="A6" s="94"/>
      <c r="B6" s="95"/>
      <c r="C6" s="96"/>
      <c r="D6" s="97"/>
      <c r="E6" s="98"/>
      <c r="F6" s="98"/>
      <c r="G6" s="96"/>
      <c r="H6" s="98"/>
      <c r="I6" s="99"/>
      <c r="J6" s="100"/>
      <c r="K6" s="101"/>
      <c r="M6" s="101"/>
      <c r="N6" s="101"/>
      <c r="O6" s="103">
        <f t="shared" si="1"/>
        <v>0</v>
      </c>
      <c r="P6" s="104">
        <f t="shared" si="2"/>
        <v>0</v>
      </c>
      <c r="Q6" s="147"/>
      <c r="R6" s="101"/>
      <c r="S6" s="103">
        <f t="shared" si="3"/>
        <v>0</v>
      </c>
      <c r="T6" s="106"/>
      <c r="U6" s="107" t="str">
        <f t="shared" si="4"/>
        <v>0</v>
      </c>
    </row>
    <row r="7">
      <c r="A7" s="108"/>
      <c r="B7" s="95"/>
      <c r="C7" s="96"/>
      <c r="D7" s="97"/>
      <c r="E7" s="98"/>
      <c r="F7" s="98"/>
      <c r="G7" s="96"/>
      <c r="H7" s="98"/>
      <c r="I7" s="99"/>
      <c r="J7" s="100"/>
      <c r="K7" s="101"/>
      <c r="M7" s="101"/>
      <c r="N7" s="101"/>
      <c r="O7" s="103">
        <f t="shared" si="1"/>
        <v>0</v>
      </c>
      <c r="P7" s="104">
        <f t="shared" si="2"/>
        <v>0</v>
      </c>
      <c r="Q7" s="147"/>
      <c r="R7" s="101"/>
      <c r="S7" s="103">
        <f t="shared" si="3"/>
        <v>0</v>
      </c>
      <c r="T7" s="109"/>
      <c r="U7" s="107" t="str">
        <f t="shared" si="4"/>
        <v>0</v>
      </c>
    </row>
    <row r="8">
      <c r="A8" s="108"/>
      <c r="B8" s="95"/>
      <c r="C8" s="96"/>
      <c r="D8" s="97"/>
      <c r="E8" s="98"/>
      <c r="F8" s="98"/>
      <c r="G8" s="96"/>
      <c r="H8" s="98"/>
      <c r="I8" s="99"/>
      <c r="J8" s="100"/>
      <c r="K8" s="101"/>
      <c r="M8" s="101"/>
      <c r="N8" s="101"/>
      <c r="O8" s="103">
        <f t="shared" si="1"/>
        <v>0</v>
      </c>
      <c r="P8" s="104">
        <f t="shared" si="2"/>
        <v>0</v>
      </c>
      <c r="Q8" s="147"/>
      <c r="R8" s="101"/>
      <c r="S8" s="103">
        <f t="shared" si="3"/>
        <v>0</v>
      </c>
      <c r="T8" s="109"/>
      <c r="U8" s="107" t="str">
        <f t="shared" si="4"/>
        <v>0</v>
      </c>
    </row>
    <row r="9">
      <c r="A9" s="94"/>
      <c r="B9" s="95"/>
      <c r="C9" s="96"/>
      <c r="D9" s="97"/>
      <c r="E9" s="98"/>
      <c r="F9" s="98"/>
      <c r="G9" s="96"/>
      <c r="H9" s="98"/>
      <c r="I9" s="99"/>
      <c r="J9" s="100"/>
      <c r="K9" s="101"/>
      <c r="M9" s="101"/>
      <c r="N9" s="101"/>
      <c r="O9" s="103">
        <f t="shared" si="1"/>
        <v>0</v>
      </c>
      <c r="P9" s="104">
        <f t="shared" si="2"/>
        <v>0</v>
      </c>
      <c r="Q9" s="147"/>
      <c r="R9" s="101"/>
      <c r="S9" s="103">
        <f t="shared" si="3"/>
        <v>0</v>
      </c>
      <c r="T9" s="106"/>
      <c r="U9" s="107" t="str">
        <f t="shared" si="4"/>
        <v>0</v>
      </c>
    </row>
    <row r="10">
      <c r="A10" s="108"/>
      <c r="B10" s="95"/>
      <c r="C10" s="96"/>
      <c r="D10" s="97"/>
      <c r="E10" s="98"/>
      <c r="F10" s="98"/>
      <c r="G10" s="96"/>
      <c r="H10" s="98"/>
      <c r="I10" s="99"/>
      <c r="J10" s="100"/>
      <c r="K10" s="101"/>
      <c r="M10" s="101"/>
      <c r="N10" s="101"/>
      <c r="O10" s="103">
        <f t="shared" si="1"/>
        <v>0</v>
      </c>
      <c r="P10" s="104">
        <f t="shared" si="2"/>
        <v>0</v>
      </c>
      <c r="Q10" s="147"/>
      <c r="R10" s="101"/>
      <c r="S10" s="103">
        <f t="shared" si="3"/>
        <v>0</v>
      </c>
      <c r="T10" s="109"/>
      <c r="U10" s="107" t="str">
        <f t="shared" si="4"/>
        <v>0</v>
      </c>
    </row>
    <row r="11">
      <c r="A11" s="94"/>
      <c r="B11" s="95"/>
      <c r="C11" s="96"/>
      <c r="D11" s="97"/>
      <c r="E11" s="98"/>
      <c r="F11" s="98"/>
      <c r="G11" s="96"/>
      <c r="H11" s="98"/>
      <c r="I11" s="99"/>
      <c r="J11" s="100"/>
      <c r="K11" s="101"/>
      <c r="M11" s="101"/>
      <c r="N11" s="101"/>
      <c r="O11" s="103">
        <f t="shared" si="1"/>
        <v>0</v>
      </c>
      <c r="P11" s="104">
        <f t="shared" si="2"/>
        <v>0</v>
      </c>
      <c r="Q11" s="147"/>
      <c r="R11" s="101"/>
      <c r="S11" s="103">
        <f t="shared" si="3"/>
        <v>0</v>
      </c>
      <c r="T11" s="106"/>
      <c r="U11" s="107" t="str">
        <f t="shared" si="4"/>
        <v>0</v>
      </c>
    </row>
    <row r="12">
      <c r="A12" s="108"/>
      <c r="B12" s="95"/>
      <c r="C12" s="96"/>
      <c r="D12" s="97"/>
      <c r="E12" s="98"/>
      <c r="F12" s="98"/>
      <c r="G12" s="96"/>
      <c r="H12" s="98"/>
      <c r="I12" s="99"/>
      <c r="J12" s="100"/>
      <c r="K12" s="101"/>
      <c r="M12" s="101"/>
      <c r="N12" s="101"/>
      <c r="O12" s="103">
        <f t="shared" si="1"/>
        <v>0</v>
      </c>
      <c r="P12" s="104">
        <f t="shared" si="2"/>
        <v>0</v>
      </c>
      <c r="Q12" s="147"/>
      <c r="R12" s="101"/>
      <c r="S12" s="103">
        <f t="shared" si="3"/>
        <v>0</v>
      </c>
      <c r="T12" s="106"/>
      <c r="U12" s="107" t="str">
        <f t="shared" si="4"/>
        <v>0</v>
      </c>
    </row>
    <row r="13">
      <c r="A13" s="94"/>
      <c r="B13" s="95"/>
      <c r="C13" s="97"/>
      <c r="D13" s="97"/>
      <c r="E13" s="98"/>
      <c r="F13" s="98"/>
      <c r="G13" s="96"/>
      <c r="H13" s="98"/>
      <c r="I13" s="133"/>
      <c r="J13" s="100"/>
      <c r="K13" s="101"/>
      <c r="M13" s="101"/>
      <c r="N13" s="101"/>
      <c r="O13" s="103">
        <f t="shared" si="1"/>
        <v>0</v>
      </c>
      <c r="P13" s="104">
        <f t="shared" si="2"/>
        <v>0</v>
      </c>
      <c r="Q13" s="147"/>
      <c r="R13" s="101"/>
      <c r="S13" s="103">
        <f t="shared" si="3"/>
        <v>0</v>
      </c>
      <c r="U13" s="107" t="str">
        <f t="shared" si="4"/>
        <v>0</v>
      </c>
    </row>
    <row r="14">
      <c r="A14" s="94"/>
      <c r="B14" s="95"/>
      <c r="C14" s="96"/>
      <c r="D14" s="97"/>
      <c r="E14" s="98"/>
      <c r="F14" s="98"/>
      <c r="G14" s="96"/>
      <c r="H14" s="98"/>
      <c r="I14" s="133"/>
      <c r="J14" s="135"/>
      <c r="K14" s="101"/>
      <c r="M14" s="101"/>
      <c r="N14" s="101"/>
      <c r="O14" s="103">
        <f t="shared" si="1"/>
        <v>0</v>
      </c>
      <c r="P14" s="104">
        <f t="shared" si="2"/>
        <v>0</v>
      </c>
      <c r="Q14" s="147"/>
      <c r="R14" s="101"/>
      <c r="S14" s="103">
        <f t="shared" si="3"/>
        <v>0</v>
      </c>
      <c r="U14" s="107" t="str">
        <f t="shared" si="4"/>
        <v>0</v>
      </c>
    </row>
    <row r="15">
      <c r="A15" s="94"/>
      <c r="B15" s="95"/>
      <c r="C15" s="96"/>
      <c r="D15" s="97"/>
      <c r="E15" s="98"/>
      <c r="F15" s="98"/>
      <c r="G15" s="96"/>
      <c r="H15" s="98"/>
      <c r="I15" s="133"/>
      <c r="J15" s="100"/>
      <c r="K15" s="101"/>
      <c r="M15" s="101"/>
      <c r="N15" s="101"/>
      <c r="O15" s="103">
        <f t="shared" si="1"/>
        <v>0</v>
      </c>
      <c r="P15" s="104">
        <f t="shared" si="2"/>
        <v>0</v>
      </c>
      <c r="Q15" s="147"/>
      <c r="R15" s="101"/>
      <c r="S15" s="103">
        <f t="shared" si="3"/>
        <v>0</v>
      </c>
      <c r="U15" s="107" t="str">
        <f t="shared" si="4"/>
        <v>0</v>
      </c>
    </row>
    <row r="16">
      <c r="A16" s="94"/>
      <c r="B16" s="95"/>
      <c r="C16" s="96"/>
      <c r="D16" s="97"/>
      <c r="E16" s="98"/>
      <c r="F16" s="98"/>
      <c r="G16" s="96"/>
      <c r="H16" s="98"/>
      <c r="I16" s="133"/>
      <c r="J16" s="100"/>
      <c r="K16" s="101"/>
      <c r="M16" s="101"/>
      <c r="N16" s="101"/>
      <c r="O16" s="103">
        <f t="shared" si="1"/>
        <v>0</v>
      </c>
      <c r="P16" s="104">
        <f t="shared" si="2"/>
        <v>0</v>
      </c>
      <c r="Q16" s="147"/>
      <c r="R16" s="101"/>
      <c r="S16" s="103">
        <f t="shared" si="3"/>
        <v>0</v>
      </c>
      <c r="U16" s="107" t="str">
        <f t="shared" si="4"/>
        <v>0</v>
      </c>
    </row>
    <row r="17">
      <c r="A17" s="145"/>
      <c r="B17" s="95"/>
      <c r="C17" s="97"/>
      <c r="D17" s="97"/>
      <c r="E17" s="148"/>
      <c r="F17" s="148"/>
      <c r="G17" s="97"/>
      <c r="H17" s="149"/>
      <c r="I17" s="99"/>
      <c r="J17" s="100"/>
      <c r="K17" s="103"/>
      <c r="M17" s="103"/>
      <c r="N17" s="103"/>
      <c r="O17" s="103">
        <f t="shared" si="1"/>
        <v>0</v>
      </c>
      <c r="P17" s="104">
        <f t="shared" si="2"/>
        <v>0</v>
      </c>
      <c r="Q17" s="147"/>
      <c r="R17" s="103"/>
      <c r="S17" s="103">
        <f t="shared" si="3"/>
        <v>0</v>
      </c>
      <c r="U17" s="107" t="str">
        <f t="shared" si="4"/>
        <v>0</v>
      </c>
    </row>
    <row r="18">
      <c r="A18" s="145"/>
      <c r="B18" s="95"/>
      <c r="C18" s="97"/>
      <c r="D18" s="97"/>
      <c r="E18" s="148"/>
      <c r="F18" s="148"/>
      <c r="G18" s="97"/>
      <c r="H18" s="149"/>
      <c r="I18" s="99"/>
      <c r="J18" s="100"/>
      <c r="K18" s="103"/>
      <c r="M18" s="103"/>
      <c r="N18" s="103"/>
      <c r="O18" s="103">
        <f t="shared" si="1"/>
        <v>0</v>
      </c>
      <c r="P18" s="104">
        <f t="shared" si="2"/>
        <v>0</v>
      </c>
      <c r="Q18" s="147"/>
      <c r="R18" s="103"/>
      <c r="S18" s="103">
        <f t="shared" si="3"/>
        <v>0</v>
      </c>
      <c r="U18" s="107" t="str">
        <f t="shared" si="4"/>
        <v>0</v>
      </c>
    </row>
    <row r="19">
      <c r="A19" s="145"/>
      <c r="B19" s="95"/>
      <c r="C19" s="97"/>
      <c r="D19" s="97"/>
      <c r="E19" s="148"/>
      <c r="F19" s="148"/>
      <c r="G19" s="97"/>
      <c r="H19" s="149"/>
      <c r="I19" s="99"/>
      <c r="J19" s="100"/>
      <c r="K19" s="103"/>
      <c r="M19" s="103"/>
      <c r="N19" s="103"/>
      <c r="O19" s="103">
        <f t="shared" si="1"/>
        <v>0</v>
      </c>
      <c r="P19" s="104">
        <f t="shared" si="2"/>
        <v>0</v>
      </c>
      <c r="Q19" s="147"/>
      <c r="R19" s="103"/>
      <c r="S19" s="103">
        <f t="shared" si="3"/>
        <v>0</v>
      </c>
      <c r="U19" s="107" t="str">
        <f t="shared" si="4"/>
        <v>0</v>
      </c>
    </row>
    <row r="20">
      <c r="A20" s="145"/>
      <c r="B20" s="95"/>
      <c r="C20" s="97"/>
      <c r="D20" s="97"/>
      <c r="E20" s="148"/>
      <c r="F20" s="148"/>
      <c r="G20" s="97"/>
      <c r="H20" s="149"/>
      <c r="I20" s="99"/>
      <c r="J20" s="100"/>
      <c r="K20" s="103"/>
      <c r="M20" s="103"/>
      <c r="N20" s="103"/>
      <c r="O20" s="103">
        <f t="shared" si="1"/>
        <v>0</v>
      </c>
      <c r="P20" s="104">
        <f t="shared" si="2"/>
        <v>0</v>
      </c>
      <c r="Q20" s="147"/>
      <c r="R20" s="103"/>
      <c r="S20" s="103">
        <f t="shared" si="3"/>
        <v>0</v>
      </c>
      <c r="U20" s="107" t="str">
        <f t="shared" si="4"/>
        <v>0</v>
      </c>
    </row>
    <row r="21">
      <c r="A21" s="145"/>
      <c r="B21" s="95"/>
      <c r="C21" s="97"/>
      <c r="D21" s="97"/>
      <c r="E21" s="148"/>
      <c r="F21" s="148"/>
      <c r="G21" s="97"/>
      <c r="H21" s="149"/>
      <c r="I21" s="99"/>
      <c r="J21" s="100"/>
      <c r="K21" s="103"/>
      <c r="M21" s="103"/>
      <c r="N21" s="103"/>
      <c r="O21" s="103">
        <f t="shared" si="1"/>
        <v>0</v>
      </c>
      <c r="P21" s="104">
        <f t="shared" si="2"/>
        <v>0</v>
      </c>
      <c r="Q21" s="147"/>
      <c r="R21" s="103"/>
      <c r="S21" s="103">
        <f t="shared" si="3"/>
        <v>0</v>
      </c>
      <c r="U21" s="107" t="str">
        <f t="shared" si="4"/>
        <v>0</v>
      </c>
    </row>
    <row r="22">
      <c r="A22" s="145"/>
      <c r="B22" s="95"/>
      <c r="C22" s="97"/>
      <c r="D22" s="97"/>
      <c r="E22" s="148"/>
      <c r="F22" s="148"/>
      <c r="G22" s="97"/>
      <c r="H22" s="149"/>
      <c r="I22" s="99"/>
      <c r="J22" s="100"/>
      <c r="K22" s="103"/>
      <c r="L22" s="146"/>
      <c r="M22" s="103"/>
      <c r="N22" s="103"/>
      <c r="O22" s="103">
        <f t="shared" si="1"/>
        <v>0</v>
      </c>
      <c r="P22" s="104">
        <f t="shared" si="2"/>
        <v>0</v>
      </c>
      <c r="Q22" s="147"/>
      <c r="R22" s="103"/>
      <c r="S22" s="103">
        <f t="shared" si="3"/>
        <v>0</v>
      </c>
      <c r="U22" s="107" t="str">
        <f t="shared" si="4"/>
        <v>0</v>
      </c>
    </row>
    <row r="23">
      <c r="A23" s="145"/>
      <c r="B23" s="95"/>
      <c r="C23" s="97"/>
      <c r="D23" s="97"/>
      <c r="E23" s="148"/>
      <c r="F23" s="148"/>
      <c r="G23" s="97"/>
      <c r="H23" s="149"/>
      <c r="I23" s="99"/>
      <c r="J23" s="100"/>
      <c r="K23" s="103"/>
      <c r="L23" s="146"/>
      <c r="M23" s="103"/>
      <c r="N23" s="103"/>
      <c r="O23" s="103">
        <f t="shared" si="1"/>
        <v>0</v>
      </c>
      <c r="P23" s="104">
        <f t="shared" si="2"/>
        <v>0</v>
      </c>
      <c r="Q23" s="147"/>
      <c r="R23" s="103"/>
      <c r="S23" s="103">
        <f t="shared" si="3"/>
        <v>0</v>
      </c>
      <c r="U23" s="107" t="str">
        <f t="shared" si="4"/>
        <v>0</v>
      </c>
    </row>
    <row r="24">
      <c r="A24" s="145"/>
      <c r="B24" s="95"/>
      <c r="C24" s="97"/>
      <c r="D24" s="97"/>
      <c r="E24" s="148"/>
      <c r="F24" s="148"/>
      <c r="G24" s="97"/>
      <c r="H24" s="149"/>
      <c r="I24" s="99"/>
      <c r="J24" s="100"/>
      <c r="K24" s="103"/>
      <c r="L24" s="146"/>
      <c r="M24" s="103"/>
      <c r="N24" s="103"/>
      <c r="O24" s="103">
        <f t="shared" si="1"/>
        <v>0</v>
      </c>
      <c r="P24" s="104">
        <f t="shared" si="2"/>
        <v>0</v>
      </c>
      <c r="Q24" s="147"/>
      <c r="R24" s="103"/>
      <c r="S24" s="103">
        <f t="shared" si="3"/>
        <v>0</v>
      </c>
      <c r="U24" s="107" t="str">
        <f t="shared" si="4"/>
        <v>0</v>
      </c>
    </row>
    <row r="25">
      <c r="A25" s="145"/>
      <c r="B25" s="95"/>
      <c r="C25" s="97"/>
      <c r="D25" s="97"/>
      <c r="E25" s="148"/>
      <c r="F25" s="148"/>
      <c r="G25" s="97"/>
      <c r="H25" s="149"/>
      <c r="I25" s="99"/>
      <c r="J25" s="100"/>
      <c r="K25" s="103"/>
      <c r="L25" s="146"/>
      <c r="M25" s="103"/>
      <c r="N25" s="103"/>
      <c r="O25" s="103">
        <f t="shared" si="1"/>
        <v>0</v>
      </c>
      <c r="P25" s="104">
        <f t="shared" si="2"/>
        <v>0</v>
      </c>
      <c r="Q25" s="147"/>
      <c r="R25" s="103"/>
      <c r="S25" s="103">
        <f t="shared" si="3"/>
        <v>0</v>
      </c>
      <c r="U25" s="107" t="str">
        <f t="shared" si="4"/>
        <v>0</v>
      </c>
    </row>
    <row r="26">
      <c r="A26" s="145"/>
      <c r="B26" s="95"/>
      <c r="C26" s="97"/>
      <c r="D26" s="97"/>
      <c r="E26" s="148"/>
      <c r="F26" s="148"/>
      <c r="G26" s="97"/>
      <c r="H26" s="149"/>
      <c r="I26" s="99"/>
      <c r="J26" s="100"/>
      <c r="K26" s="103"/>
      <c r="L26" s="146"/>
      <c r="M26" s="103"/>
      <c r="N26" s="103"/>
      <c r="O26" s="103">
        <f t="shared" si="1"/>
        <v>0</v>
      </c>
      <c r="P26" s="104">
        <f t="shared" si="2"/>
        <v>0</v>
      </c>
      <c r="Q26" s="147"/>
      <c r="R26" s="103"/>
      <c r="S26" s="103">
        <f t="shared" si="3"/>
        <v>0</v>
      </c>
      <c r="U26" s="107" t="str">
        <f t="shared" si="4"/>
        <v>0</v>
      </c>
    </row>
    <row r="27">
      <c r="A27" s="145"/>
      <c r="B27" s="95"/>
      <c r="C27" s="97"/>
      <c r="D27" s="97"/>
      <c r="E27" s="148"/>
      <c r="F27" s="148"/>
      <c r="G27" s="97"/>
      <c r="H27" s="149"/>
      <c r="I27" s="99"/>
      <c r="J27" s="100"/>
      <c r="K27" s="103"/>
      <c r="L27" s="146"/>
      <c r="M27" s="103"/>
      <c r="N27" s="103"/>
      <c r="O27" s="103">
        <f t="shared" si="1"/>
        <v>0</v>
      </c>
      <c r="P27" s="104">
        <f t="shared" si="2"/>
        <v>0</v>
      </c>
      <c r="Q27" s="147"/>
      <c r="R27" s="103"/>
      <c r="S27" s="103">
        <f t="shared" si="3"/>
        <v>0</v>
      </c>
      <c r="U27" s="107" t="str">
        <f t="shared" si="4"/>
        <v>0</v>
      </c>
    </row>
    <row r="28">
      <c r="A28" s="145"/>
      <c r="B28" s="95"/>
      <c r="C28" s="97"/>
      <c r="D28" s="97"/>
      <c r="E28" s="148"/>
      <c r="F28" s="148"/>
      <c r="G28" s="97"/>
      <c r="H28" s="149"/>
      <c r="I28" s="99"/>
      <c r="J28" s="100"/>
      <c r="K28" s="103"/>
      <c r="L28" s="146"/>
      <c r="M28" s="103"/>
      <c r="N28" s="103"/>
      <c r="O28" s="103">
        <f t="shared" si="1"/>
        <v>0</v>
      </c>
      <c r="P28" s="104">
        <f t="shared" si="2"/>
        <v>0</v>
      </c>
      <c r="Q28" s="147"/>
      <c r="R28" s="103"/>
      <c r="S28" s="103">
        <f t="shared" si="3"/>
        <v>0</v>
      </c>
      <c r="U28" s="107" t="str">
        <f t="shared" si="4"/>
        <v>0</v>
      </c>
    </row>
    <row r="29">
      <c r="A29" s="145"/>
      <c r="B29" s="95"/>
      <c r="C29" s="97"/>
      <c r="D29" s="97"/>
      <c r="E29" s="148"/>
      <c r="F29" s="148"/>
      <c r="G29" s="97"/>
      <c r="H29" s="148"/>
      <c r="I29" s="99"/>
      <c r="J29" s="100"/>
      <c r="K29" s="103"/>
      <c r="L29" s="146"/>
      <c r="M29" s="103"/>
      <c r="N29" s="103"/>
      <c r="O29" s="103">
        <f t="shared" si="1"/>
        <v>0</v>
      </c>
      <c r="P29" s="104">
        <f t="shared" si="2"/>
        <v>0</v>
      </c>
      <c r="Q29" s="147"/>
      <c r="R29" s="103"/>
      <c r="S29" s="103">
        <f t="shared" si="3"/>
        <v>0</v>
      </c>
      <c r="U29" s="107" t="str">
        <f t="shared" si="4"/>
        <v>0</v>
      </c>
    </row>
    <row r="30">
      <c r="A30" s="145"/>
      <c r="B30" s="95"/>
      <c r="C30" s="97"/>
      <c r="D30" s="97"/>
      <c r="E30" s="148"/>
      <c r="F30" s="148"/>
      <c r="G30" s="97"/>
      <c r="H30" s="149"/>
      <c r="I30" s="99"/>
      <c r="J30" s="100"/>
      <c r="K30" s="103"/>
      <c r="L30" s="146"/>
      <c r="M30" s="103"/>
      <c r="N30" s="103"/>
      <c r="O30" s="103">
        <f t="shared" si="1"/>
        <v>0</v>
      </c>
      <c r="P30" s="104">
        <f t="shared" si="2"/>
        <v>0</v>
      </c>
      <c r="Q30" s="147"/>
      <c r="R30" s="103"/>
      <c r="S30" s="103">
        <f t="shared" si="3"/>
        <v>0</v>
      </c>
      <c r="U30" s="107" t="str">
        <f t="shared" si="4"/>
        <v>0</v>
      </c>
    </row>
    <row r="31">
      <c r="A31" s="145"/>
      <c r="B31" s="95"/>
      <c r="C31" s="97"/>
      <c r="D31" s="97"/>
      <c r="E31" s="148"/>
      <c r="F31" s="148"/>
      <c r="G31" s="97"/>
      <c r="H31" s="149"/>
      <c r="I31" s="99"/>
      <c r="J31" s="100"/>
      <c r="K31" s="103"/>
      <c r="L31" s="146"/>
      <c r="M31" s="103"/>
      <c r="N31" s="103"/>
      <c r="O31" s="103">
        <f t="shared" si="1"/>
        <v>0</v>
      </c>
      <c r="P31" s="104">
        <f t="shared" si="2"/>
        <v>0</v>
      </c>
      <c r="Q31" s="147"/>
      <c r="R31" s="103"/>
      <c r="S31" s="103">
        <f t="shared" si="3"/>
        <v>0</v>
      </c>
      <c r="U31" s="107" t="str">
        <f t="shared" si="4"/>
        <v>0</v>
      </c>
    </row>
    <row r="32">
      <c r="A32" s="145"/>
      <c r="B32" s="95"/>
      <c r="C32" s="97"/>
      <c r="D32" s="97"/>
      <c r="E32" s="148"/>
      <c r="F32" s="148"/>
      <c r="G32" s="97"/>
      <c r="H32" s="149"/>
      <c r="I32" s="99"/>
      <c r="J32" s="100"/>
      <c r="K32" s="103"/>
      <c r="L32" s="146"/>
      <c r="M32" s="103"/>
      <c r="N32" s="103"/>
      <c r="O32" s="103">
        <f t="shared" si="1"/>
        <v>0</v>
      </c>
      <c r="P32" s="104">
        <f t="shared" si="2"/>
        <v>0</v>
      </c>
      <c r="Q32" s="147"/>
      <c r="R32" s="103"/>
      <c r="S32" s="103">
        <f t="shared" si="3"/>
        <v>0</v>
      </c>
      <c r="U32" s="107" t="str">
        <f t="shared" si="4"/>
        <v>0</v>
      </c>
    </row>
    <row r="33">
      <c r="A33" s="145"/>
      <c r="B33" s="95"/>
      <c r="C33" s="97"/>
      <c r="D33" s="97"/>
      <c r="E33" s="148"/>
      <c r="F33" s="148"/>
      <c r="G33" s="97"/>
      <c r="H33" s="149"/>
      <c r="I33" s="99"/>
      <c r="J33" s="100"/>
      <c r="K33" s="103"/>
      <c r="L33" s="146"/>
      <c r="M33" s="103"/>
      <c r="N33" s="103"/>
      <c r="O33" s="103">
        <f t="shared" si="1"/>
        <v>0</v>
      </c>
      <c r="P33" s="104">
        <f t="shared" si="2"/>
        <v>0</v>
      </c>
      <c r="Q33" s="147"/>
      <c r="R33" s="103"/>
      <c r="S33" s="103">
        <f t="shared" si="3"/>
        <v>0</v>
      </c>
      <c r="U33" s="107" t="str">
        <f t="shared" si="4"/>
        <v>0</v>
      </c>
    </row>
    <row r="34" ht="15.75" customHeight="1">
      <c r="A34" s="145"/>
      <c r="B34" s="95"/>
      <c r="C34" s="97"/>
      <c r="D34" s="97"/>
      <c r="E34" s="148"/>
      <c r="F34" s="148"/>
      <c r="G34" s="97"/>
      <c r="H34" s="148"/>
      <c r="I34" s="99"/>
      <c r="J34" s="100"/>
      <c r="K34" s="103"/>
      <c r="L34" s="146"/>
      <c r="M34" s="103"/>
      <c r="N34" s="103"/>
      <c r="O34" s="103">
        <f t="shared" si="1"/>
        <v>0</v>
      </c>
      <c r="P34" s="104">
        <f t="shared" si="2"/>
        <v>0</v>
      </c>
      <c r="Q34" s="147"/>
      <c r="R34" s="103"/>
      <c r="S34" s="103">
        <f t="shared" si="3"/>
        <v>0</v>
      </c>
      <c r="U34" s="107" t="str">
        <f t="shared" si="4"/>
        <v>0</v>
      </c>
    </row>
    <row r="35" ht="15.75" customHeight="1">
      <c r="A35" s="145"/>
      <c r="B35" s="95"/>
      <c r="C35" s="97"/>
      <c r="D35" s="97"/>
      <c r="E35" s="148"/>
      <c r="F35" s="148"/>
      <c r="G35" s="97"/>
      <c r="H35" s="149"/>
      <c r="I35" s="99"/>
      <c r="J35" s="100"/>
      <c r="K35" s="103"/>
      <c r="L35" s="146"/>
      <c r="M35" s="103"/>
      <c r="N35" s="103"/>
      <c r="O35" s="103">
        <f t="shared" si="1"/>
        <v>0</v>
      </c>
      <c r="P35" s="104">
        <f t="shared" si="2"/>
        <v>0</v>
      </c>
      <c r="Q35" s="147"/>
      <c r="R35" s="103"/>
      <c r="S35" s="103">
        <f t="shared" si="3"/>
        <v>0</v>
      </c>
      <c r="U35" s="107" t="str">
        <f t="shared" si="4"/>
        <v>0</v>
      </c>
    </row>
    <row r="36" ht="15.75" customHeight="1">
      <c r="A36" s="145"/>
      <c r="B36" s="95"/>
      <c r="C36" s="97"/>
      <c r="D36" s="97"/>
      <c r="E36" s="148"/>
      <c r="F36" s="148"/>
      <c r="G36" s="97"/>
      <c r="H36" s="149"/>
      <c r="I36" s="99"/>
      <c r="J36" s="100"/>
      <c r="K36" s="103"/>
      <c r="L36" s="146"/>
      <c r="M36" s="103"/>
      <c r="N36" s="103"/>
      <c r="O36" s="103">
        <f t="shared" si="1"/>
        <v>0</v>
      </c>
      <c r="P36" s="104">
        <f t="shared" si="2"/>
        <v>0</v>
      </c>
      <c r="Q36" s="147"/>
      <c r="R36" s="103"/>
      <c r="S36" s="103">
        <f t="shared" si="3"/>
        <v>0</v>
      </c>
      <c r="U36" s="107" t="str">
        <f t="shared" si="4"/>
        <v>0</v>
      </c>
    </row>
    <row r="37" ht="15.75" customHeight="1">
      <c r="A37" s="145"/>
      <c r="B37" s="95"/>
      <c r="C37" s="97"/>
      <c r="D37" s="97"/>
      <c r="E37" s="148"/>
      <c r="F37" s="148"/>
      <c r="G37" s="97"/>
      <c r="H37" s="148"/>
      <c r="I37" s="99"/>
      <c r="J37" s="100"/>
      <c r="K37" s="103"/>
      <c r="L37" s="146"/>
      <c r="M37" s="103"/>
      <c r="N37" s="103"/>
      <c r="O37" s="103">
        <f t="shared" si="1"/>
        <v>0</v>
      </c>
      <c r="P37" s="104">
        <f t="shared" si="2"/>
        <v>0</v>
      </c>
      <c r="Q37" s="147"/>
      <c r="R37" s="103"/>
      <c r="S37" s="103">
        <f t="shared" si="3"/>
        <v>0</v>
      </c>
      <c r="U37" s="107" t="str">
        <f t="shared" si="4"/>
        <v>0</v>
      </c>
    </row>
    <row r="38" ht="15.75" customHeight="1">
      <c r="A38" s="145"/>
      <c r="B38" s="95"/>
      <c r="C38" s="97"/>
      <c r="D38" s="97"/>
      <c r="E38" s="148"/>
      <c r="F38" s="148"/>
      <c r="G38" s="97"/>
      <c r="H38" s="149"/>
      <c r="I38" s="99"/>
      <c r="J38" s="100"/>
      <c r="K38" s="103"/>
      <c r="L38" s="146"/>
      <c r="M38" s="103"/>
      <c r="N38" s="103"/>
      <c r="O38" s="103">
        <f t="shared" si="1"/>
        <v>0</v>
      </c>
      <c r="P38" s="104">
        <f t="shared" si="2"/>
        <v>0</v>
      </c>
      <c r="Q38" s="147"/>
      <c r="R38" s="103"/>
      <c r="S38" s="103">
        <f t="shared" si="3"/>
        <v>0</v>
      </c>
      <c r="U38" s="107" t="str">
        <f t="shared" si="4"/>
        <v>0</v>
      </c>
    </row>
    <row r="39" ht="15.75" customHeight="1">
      <c r="A39" s="145"/>
      <c r="B39" s="95"/>
      <c r="C39" s="97"/>
      <c r="D39" s="97"/>
      <c r="E39" s="148"/>
      <c r="F39" s="148"/>
      <c r="G39" s="97"/>
      <c r="H39" s="149"/>
      <c r="I39" s="99"/>
      <c r="J39" s="100"/>
      <c r="K39" s="103"/>
      <c r="L39" s="146"/>
      <c r="M39" s="103"/>
      <c r="N39" s="103"/>
      <c r="O39" s="103">
        <f t="shared" si="1"/>
        <v>0</v>
      </c>
      <c r="P39" s="104">
        <f t="shared" si="2"/>
        <v>0</v>
      </c>
      <c r="Q39" s="147"/>
      <c r="R39" s="103"/>
      <c r="S39" s="103">
        <f t="shared" si="3"/>
        <v>0</v>
      </c>
      <c r="U39" s="107" t="str">
        <f t="shared" si="4"/>
        <v>0</v>
      </c>
    </row>
    <row r="40" ht="15.75" customHeight="1">
      <c r="A40" s="145"/>
      <c r="B40" s="95"/>
      <c r="C40" s="97"/>
      <c r="D40" s="97"/>
      <c r="E40" s="148"/>
      <c r="F40" s="148"/>
      <c r="G40" s="97"/>
      <c r="H40" s="148"/>
      <c r="I40" s="99"/>
      <c r="J40" s="100"/>
      <c r="K40" s="103"/>
      <c r="L40" s="146"/>
      <c r="M40" s="103"/>
      <c r="N40" s="103"/>
      <c r="O40" s="103">
        <f t="shared" si="1"/>
        <v>0</v>
      </c>
      <c r="P40" s="104">
        <f t="shared" si="2"/>
        <v>0</v>
      </c>
      <c r="Q40" s="147"/>
      <c r="R40" s="103"/>
      <c r="S40" s="103">
        <f t="shared" si="3"/>
        <v>0</v>
      </c>
      <c r="U40" s="107" t="str">
        <f t="shared" si="4"/>
        <v>0</v>
      </c>
    </row>
    <row r="41" ht="15.75" customHeight="1">
      <c r="A41" s="145"/>
      <c r="B41" s="95"/>
      <c r="C41" s="97"/>
      <c r="D41" s="97"/>
      <c r="E41" s="148"/>
      <c r="F41" s="148"/>
      <c r="G41" s="97"/>
      <c r="H41" s="149"/>
      <c r="I41" s="99"/>
      <c r="J41" s="100"/>
      <c r="K41" s="103"/>
      <c r="L41" s="146"/>
      <c r="M41" s="103"/>
      <c r="N41" s="103"/>
      <c r="O41" s="103">
        <f t="shared" si="1"/>
        <v>0</v>
      </c>
      <c r="P41" s="104">
        <f t="shared" si="2"/>
        <v>0</v>
      </c>
      <c r="Q41" s="147"/>
      <c r="R41" s="103"/>
      <c r="S41" s="103">
        <f t="shared" si="3"/>
        <v>0</v>
      </c>
      <c r="U41" s="107" t="str">
        <f t="shared" si="4"/>
        <v>0</v>
      </c>
    </row>
    <row r="42" ht="15.75" customHeight="1">
      <c r="A42" s="145"/>
      <c r="B42" s="95"/>
      <c r="C42" s="97"/>
      <c r="D42" s="97"/>
      <c r="E42" s="148"/>
      <c r="F42" s="148"/>
      <c r="G42" s="97"/>
      <c r="H42" s="149"/>
      <c r="I42" s="99"/>
      <c r="J42" s="100"/>
      <c r="K42" s="103"/>
      <c r="L42" s="146"/>
      <c r="M42" s="103"/>
      <c r="N42" s="103"/>
      <c r="O42" s="103">
        <f t="shared" si="1"/>
        <v>0</v>
      </c>
      <c r="P42" s="104">
        <f t="shared" si="2"/>
        <v>0</v>
      </c>
      <c r="Q42" s="147"/>
      <c r="R42" s="103"/>
      <c r="S42" s="103">
        <f t="shared" si="3"/>
        <v>0</v>
      </c>
      <c r="U42" s="107" t="str">
        <f t="shared" si="4"/>
        <v>0</v>
      </c>
    </row>
    <row r="43" ht="15.75" customHeight="1">
      <c r="A43" s="145"/>
      <c r="B43" s="95"/>
      <c r="C43" s="97"/>
      <c r="D43" s="97"/>
      <c r="E43" s="148"/>
      <c r="F43" s="148"/>
      <c r="G43" s="97"/>
      <c r="H43" s="149"/>
      <c r="I43" s="99"/>
      <c r="J43" s="100"/>
      <c r="K43" s="103"/>
      <c r="L43" s="146"/>
      <c r="M43" s="103"/>
      <c r="N43" s="103"/>
      <c r="O43" s="103">
        <f t="shared" si="1"/>
        <v>0</v>
      </c>
      <c r="P43" s="104">
        <f t="shared" si="2"/>
        <v>0</v>
      </c>
      <c r="Q43" s="147"/>
      <c r="R43" s="103"/>
      <c r="S43" s="103">
        <f t="shared" si="3"/>
        <v>0</v>
      </c>
      <c r="U43" s="107" t="str">
        <f t="shared" si="4"/>
        <v>0</v>
      </c>
    </row>
    <row r="44" ht="15.75" customHeight="1">
      <c r="A44" s="145"/>
      <c r="B44" s="95"/>
      <c r="C44" s="97"/>
      <c r="D44" s="97"/>
      <c r="E44" s="148"/>
      <c r="F44" s="148"/>
      <c r="G44" s="97"/>
      <c r="H44" s="148"/>
      <c r="I44" s="99"/>
      <c r="J44" s="100"/>
      <c r="K44" s="103"/>
      <c r="L44" s="146"/>
      <c r="M44" s="103"/>
      <c r="N44" s="103"/>
      <c r="O44" s="103">
        <f t="shared" si="1"/>
        <v>0</v>
      </c>
      <c r="P44" s="104">
        <f t="shared" si="2"/>
        <v>0</v>
      </c>
      <c r="Q44" s="147"/>
      <c r="R44" s="103"/>
      <c r="S44" s="103">
        <f t="shared" si="3"/>
        <v>0</v>
      </c>
      <c r="U44" s="107" t="str">
        <f t="shared" si="4"/>
        <v>0</v>
      </c>
    </row>
    <row r="45" ht="15.75" customHeight="1">
      <c r="A45" s="145"/>
      <c r="B45" s="95"/>
      <c r="C45" s="97"/>
      <c r="D45" s="97"/>
      <c r="E45" s="148"/>
      <c r="F45" s="148"/>
      <c r="G45" s="97"/>
      <c r="H45" s="149"/>
      <c r="I45" s="99"/>
      <c r="J45" s="100"/>
      <c r="K45" s="103"/>
      <c r="L45" s="146"/>
      <c r="M45" s="103"/>
      <c r="N45" s="103"/>
      <c r="O45" s="103">
        <f t="shared" si="1"/>
        <v>0</v>
      </c>
      <c r="P45" s="104">
        <f t="shared" si="2"/>
        <v>0</v>
      </c>
      <c r="Q45" s="147"/>
      <c r="R45" s="103"/>
      <c r="S45" s="103">
        <f t="shared" si="3"/>
        <v>0</v>
      </c>
      <c r="U45" s="107" t="str">
        <f t="shared" si="4"/>
        <v>0</v>
      </c>
    </row>
    <row r="46" ht="15.75" customHeight="1">
      <c r="A46" s="145"/>
      <c r="B46" s="95"/>
      <c r="C46" s="97"/>
      <c r="D46" s="97"/>
      <c r="E46" s="148"/>
      <c r="F46" s="148"/>
      <c r="G46" s="97"/>
      <c r="H46" s="149"/>
      <c r="I46" s="99"/>
      <c r="J46" s="100"/>
      <c r="K46" s="103"/>
      <c r="L46" s="146"/>
      <c r="M46" s="103"/>
      <c r="N46" s="103"/>
      <c r="O46" s="103">
        <f t="shared" si="1"/>
        <v>0</v>
      </c>
      <c r="P46" s="104">
        <f t="shared" si="2"/>
        <v>0</v>
      </c>
      <c r="Q46" s="147"/>
      <c r="R46" s="103"/>
      <c r="S46" s="103">
        <f t="shared" si="3"/>
        <v>0</v>
      </c>
      <c r="U46" s="107" t="str">
        <f t="shared" si="4"/>
        <v>0</v>
      </c>
    </row>
    <row r="47" ht="15.75" customHeight="1">
      <c r="A47" s="145"/>
      <c r="B47" s="95"/>
      <c r="C47" s="97"/>
      <c r="D47" s="97"/>
      <c r="E47" s="148"/>
      <c r="F47" s="148"/>
      <c r="G47" s="97"/>
      <c r="H47" s="149"/>
      <c r="I47" s="99"/>
      <c r="J47" s="100"/>
      <c r="K47" s="103"/>
      <c r="L47" s="146"/>
      <c r="M47" s="103"/>
      <c r="N47" s="103"/>
      <c r="O47" s="103">
        <f t="shared" si="1"/>
        <v>0</v>
      </c>
      <c r="P47" s="104">
        <f t="shared" si="2"/>
        <v>0</v>
      </c>
      <c r="Q47" s="147"/>
      <c r="R47" s="103"/>
      <c r="S47" s="103">
        <f t="shared" si="3"/>
        <v>0</v>
      </c>
      <c r="U47" s="107" t="str">
        <f t="shared" si="4"/>
        <v>0</v>
      </c>
    </row>
    <row r="48" ht="15.75" customHeight="1">
      <c r="A48" s="145"/>
      <c r="B48" s="95"/>
      <c r="C48" s="97"/>
      <c r="D48" s="97"/>
      <c r="E48" s="148"/>
      <c r="F48" s="148"/>
      <c r="G48" s="97"/>
      <c r="H48" s="149"/>
      <c r="I48" s="99"/>
      <c r="J48" s="100"/>
      <c r="K48" s="103"/>
      <c r="L48" s="146"/>
      <c r="M48" s="103"/>
      <c r="N48" s="103"/>
      <c r="O48" s="103">
        <f t="shared" si="1"/>
        <v>0</v>
      </c>
      <c r="P48" s="104">
        <f t="shared" si="2"/>
        <v>0</v>
      </c>
      <c r="Q48" s="147"/>
      <c r="R48" s="103"/>
      <c r="S48" s="103">
        <f t="shared" si="3"/>
        <v>0</v>
      </c>
      <c r="U48" s="107" t="str">
        <f t="shared" si="4"/>
        <v>0</v>
      </c>
    </row>
    <row r="49" ht="15.75" customHeight="1">
      <c r="A49" s="145"/>
      <c r="B49" s="95"/>
      <c r="C49" s="97"/>
      <c r="D49" s="97"/>
      <c r="E49" s="148"/>
      <c r="F49" s="148"/>
      <c r="G49" s="97"/>
      <c r="H49" s="149"/>
      <c r="I49" s="99"/>
      <c r="J49" s="100"/>
      <c r="K49" s="103"/>
      <c r="L49" s="146"/>
      <c r="M49" s="103"/>
      <c r="N49" s="103"/>
      <c r="O49" s="103">
        <f t="shared" si="1"/>
        <v>0</v>
      </c>
      <c r="P49" s="104">
        <f t="shared" si="2"/>
        <v>0</v>
      </c>
      <c r="Q49" s="147"/>
      <c r="R49" s="103"/>
      <c r="S49" s="103">
        <f t="shared" si="3"/>
        <v>0</v>
      </c>
      <c r="U49" s="107" t="str">
        <f t="shared" si="4"/>
        <v>0</v>
      </c>
    </row>
    <row r="50" ht="15.75" customHeight="1">
      <c r="A50" s="145"/>
      <c r="B50" s="95"/>
      <c r="C50" s="97"/>
      <c r="D50" s="97"/>
      <c r="E50" s="148"/>
      <c r="F50" s="148"/>
      <c r="G50" s="97"/>
      <c r="H50" s="149"/>
      <c r="I50" s="99"/>
      <c r="J50" s="100"/>
      <c r="K50" s="103"/>
      <c r="L50" s="146"/>
      <c r="M50" s="103"/>
      <c r="N50" s="103"/>
      <c r="O50" s="103">
        <f t="shared" si="1"/>
        <v>0</v>
      </c>
      <c r="P50" s="104">
        <f t="shared" si="2"/>
        <v>0</v>
      </c>
      <c r="Q50" s="147"/>
      <c r="R50" s="103"/>
      <c r="S50" s="103">
        <f t="shared" si="3"/>
        <v>0</v>
      </c>
      <c r="U50" s="107" t="str">
        <f t="shared" si="4"/>
        <v>0</v>
      </c>
    </row>
    <row r="51" ht="15.75" customHeight="1">
      <c r="A51" s="145"/>
      <c r="B51" s="95"/>
      <c r="C51" s="97"/>
      <c r="D51" s="97"/>
      <c r="E51" s="148"/>
      <c r="F51" s="148"/>
      <c r="G51" s="97"/>
      <c r="H51" s="149"/>
      <c r="I51" s="99"/>
      <c r="J51" s="100"/>
      <c r="K51" s="103"/>
      <c r="L51" s="146"/>
      <c r="M51" s="103"/>
      <c r="N51" s="103"/>
      <c r="O51" s="103">
        <f t="shared" si="1"/>
        <v>0</v>
      </c>
      <c r="P51" s="104">
        <f t="shared" si="2"/>
        <v>0</v>
      </c>
      <c r="Q51" s="147"/>
      <c r="R51" s="103"/>
      <c r="S51" s="103">
        <f t="shared" si="3"/>
        <v>0</v>
      </c>
      <c r="U51" s="107" t="str">
        <f t="shared" si="4"/>
        <v>0</v>
      </c>
    </row>
    <row r="52" ht="15.75" customHeight="1">
      <c r="A52" s="145"/>
      <c r="B52" s="95"/>
      <c r="C52" s="97"/>
      <c r="D52" s="97"/>
      <c r="E52" s="148"/>
      <c r="F52" s="148"/>
      <c r="G52" s="97"/>
      <c r="H52" s="149"/>
      <c r="I52" s="99"/>
      <c r="J52" s="100"/>
      <c r="K52" s="103"/>
      <c r="L52" s="146"/>
      <c r="M52" s="103"/>
      <c r="N52" s="103"/>
      <c r="O52" s="103">
        <f t="shared" si="1"/>
        <v>0</v>
      </c>
      <c r="P52" s="104">
        <f t="shared" si="2"/>
        <v>0</v>
      </c>
      <c r="Q52" s="147"/>
      <c r="R52" s="103"/>
      <c r="S52" s="103">
        <f t="shared" si="3"/>
        <v>0</v>
      </c>
      <c r="U52" s="107" t="str">
        <f t="shared" si="4"/>
        <v>0</v>
      </c>
    </row>
    <row r="53" ht="15.75" customHeight="1">
      <c r="A53" s="145"/>
      <c r="B53" s="95"/>
      <c r="C53" s="97"/>
      <c r="D53" s="97"/>
      <c r="E53" s="148"/>
      <c r="F53" s="148"/>
      <c r="G53" s="97"/>
      <c r="H53" s="148"/>
      <c r="I53" s="99"/>
      <c r="J53" s="100"/>
      <c r="K53" s="103"/>
      <c r="L53" s="146"/>
      <c r="M53" s="103"/>
      <c r="N53" s="103"/>
      <c r="O53" s="103">
        <f t="shared" si="1"/>
        <v>0</v>
      </c>
      <c r="P53" s="104">
        <f t="shared" si="2"/>
        <v>0</v>
      </c>
      <c r="Q53" s="147"/>
      <c r="R53" s="103"/>
      <c r="S53" s="103">
        <f t="shared" si="3"/>
        <v>0</v>
      </c>
      <c r="U53" s="107" t="str">
        <f t="shared" si="4"/>
        <v>0</v>
      </c>
    </row>
    <row r="54" ht="15.75" customHeight="1">
      <c r="A54" s="145"/>
      <c r="B54" s="95"/>
      <c r="C54" s="97"/>
      <c r="D54" s="97"/>
      <c r="E54" s="148"/>
      <c r="F54" s="148"/>
      <c r="G54" s="97"/>
      <c r="H54" s="148"/>
      <c r="I54" s="99"/>
      <c r="J54" s="100"/>
      <c r="K54" s="103"/>
      <c r="L54" s="146"/>
      <c r="M54" s="103"/>
      <c r="N54" s="103"/>
      <c r="O54" s="103">
        <f t="shared" si="1"/>
        <v>0</v>
      </c>
      <c r="P54" s="104">
        <f t="shared" si="2"/>
        <v>0</v>
      </c>
      <c r="Q54" s="147"/>
      <c r="R54" s="103"/>
      <c r="S54" s="103">
        <f t="shared" si="3"/>
        <v>0</v>
      </c>
      <c r="U54" s="107" t="str">
        <f t="shared" si="4"/>
        <v>0</v>
      </c>
    </row>
    <row r="55" ht="15.75" customHeight="1">
      <c r="A55" s="145"/>
      <c r="B55" s="95"/>
      <c r="C55" s="97"/>
      <c r="D55" s="97"/>
      <c r="E55" s="148"/>
      <c r="F55" s="148"/>
      <c r="G55" s="97"/>
      <c r="H55" s="148"/>
      <c r="I55" s="99"/>
      <c r="J55" s="100"/>
      <c r="K55" s="103"/>
      <c r="L55" s="146"/>
      <c r="M55" s="103"/>
      <c r="N55" s="103"/>
      <c r="O55" s="103">
        <f t="shared" si="1"/>
        <v>0</v>
      </c>
      <c r="P55" s="104">
        <f t="shared" si="2"/>
        <v>0</v>
      </c>
      <c r="Q55" s="147"/>
      <c r="R55" s="103"/>
      <c r="S55" s="103">
        <f t="shared" si="3"/>
        <v>0</v>
      </c>
      <c r="U55" s="107" t="str">
        <f t="shared" si="4"/>
        <v>0</v>
      </c>
    </row>
    <row r="56" ht="15.75" customHeight="1">
      <c r="A56" s="145"/>
      <c r="B56" s="95"/>
      <c r="C56" s="97"/>
      <c r="D56" s="97"/>
      <c r="E56" s="148"/>
      <c r="F56" s="148"/>
      <c r="G56" s="97"/>
      <c r="H56" s="149"/>
      <c r="I56" s="99"/>
      <c r="J56" s="100"/>
      <c r="K56" s="103"/>
      <c r="L56" s="146"/>
      <c r="M56" s="103"/>
      <c r="N56" s="103"/>
      <c r="O56" s="103">
        <f t="shared" si="1"/>
        <v>0</v>
      </c>
      <c r="P56" s="104">
        <f t="shared" si="2"/>
        <v>0</v>
      </c>
      <c r="Q56" s="147"/>
      <c r="R56" s="103"/>
      <c r="S56" s="103">
        <f t="shared" si="3"/>
        <v>0</v>
      </c>
      <c r="U56" s="107" t="str">
        <f t="shared" si="4"/>
        <v>0</v>
      </c>
    </row>
    <row r="57" ht="15.75" customHeight="1">
      <c r="A57" s="145"/>
      <c r="B57" s="95"/>
      <c r="C57" s="97"/>
      <c r="D57" s="97"/>
      <c r="E57" s="148"/>
      <c r="F57" s="148"/>
      <c r="G57" s="97"/>
      <c r="H57" s="149"/>
      <c r="I57" s="99"/>
      <c r="J57" s="100"/>
      <c r="K57" s="103"/>
      <c r="L57" s="146"/>
      <c r="M57" s="103"/>
      <c r="N57" s="103"/>
      <c r="O57" s="103">
        <f t="shared" si="1"/>
        <v>0</v>
      </c>
      <c r="P57" s="104">
        <f t="shared" si="2"/>
        <v>0</v>
      </c>
      <c r="Q57" s="147"/>
      <c r="R57" s="103"/>
      <c r="S57" s="103">
        <f t="shared" si="3"/>
        <v>0</v>
      </c>
      <c r="U57" s="107" t="str">
        <f t="shared" si="4"/>
        <v>0</v>
      </c>
    </row>
    <row r="58" ht="15.75" customHeight="1">
      <c r="A58" s="145"/>
      <c r="B58" s="95"/>
      <c r="C58" s="97"/>
      <c r="D58" s="97"/>
      <c r="E58" s="148"/>
      <c r="F58" s="148"/>
      <c r="G58" s="97"/>
      <c r="H58" s="148"/>
      <c r="I58" s="99"/>
      <c r="J58" s="100"/>
      <c r="K58" s="103"/>
      <c r="L58" s="146"/>
      <c r="M58" s="103"/>
      <c r="N58" s="103"/>
      <c r="O58" s="103">
        <f t="shared" si="1"/>
        <v>0</v>
      </c>
      <c r="P58" s="104">
        <f t="shared" si="2"/>
        <v>0</v>
      </c>
      <c r="Q58" s="147"/>
      <c r="R58" s="103"/>
      <c r="S58" s="103">
        <f t="shared" si="3"/>
        <v>0</v>
      </c>
      <c r="U58" s="107" t="str">
        <f t="shared" si="4"/>
        <v>0</v>
      </c>
    </row>
    <row r="59" ht="15.75" customHeight="1">
      <c r="A59" s="145"/>
      <c r="B59" s="95"/>
      <c r="C59" s="97"/>
      <c r="D59" s="97"/>
      <c r="E59" s="148"/>
      <c r="F59" s="148"/>
      <c r="G59" s="97"/>
      <c r="H59" s="149"/>
      <c r="I59" s="99"/>
      <c r="J59" s="100"/>
      <c r="K59" s="103"/>
      <c r="L59" s="146"/>
      <c r="M59" s="103"/>
      <c r="N59" s="103"/>
      <c r="O59" s="103">
        <f t="shared" si="1"/>
        <v>0</v>
      </c>
      <c r="P59" s="104">
        <f t="shared" si="2"/>
        <v>0</v>
      </c>
      <c r="Q59" s="147"/>
      <c r="R59" s="103"/>
      <c r="S59" s="103">
        <f t="shared" si="3"/>
        <v>0</v>
      </c>
      <c r="U59" s="107" t="str">
        <f t="shared" si="4"/>
        <v>0</v>
      </c>
    </row>
    <row r="60" ht="15.75" customHeight="1">
      <c r="A60" s="145"/>
      <c r="B60" s="95"/>
      <c r="C60" s="97"/>
      <c r="D60" s="97"/>
      <c r="E60" s="148"/>
      <c r="F60" s="148"/>
      <c r="G60" s="97"/>
      <c r="H60" s="149"/>
      <c r="I60" s="99"/>
      <c r="J60" s="100"/>
      <c r="K60" s="103"/>
      <c r="L60" s="146"/>
      <c r="M60" s="103"/>
      <c r="N60" s="103"/>
      <c r="O60" s="103">
        <f t="shared" si="1"/>
        <v>0</v>
      </c>
      <c r="P60" s="104">
        <f t="shared" si="2"/>
        <v>0</v>
      </c>
      <c r="Q60" s="147"/>
      <c r="R60" s="103"/>
      <c r="S60" s="103">
        <f t="shared" si="3"/>
        <v>0</v>
      </c>
      <c r="U60" s="107" t="str">
        <f t="shared" si="4"/>
        <v>0</v>
      </c>
    </row>
    <row r="61" ht="15.75" customHeight="1">
      <c r="A61" s="145"/>
      <c r="B61" s="95"/>
      <c r="C61" s="97"/>
      <c r="D61" s="97"/>
      <c r="E61" s="148"/>
      <c r="F61" s="148"/>
      <c r="G61" s="97"/>
      <c r="H61" s="149"/>
      <c r="I61" s="99"/>
      <c r="J61" s="100"/>
      <c r="K61" s="103"/>
      <c r="L61" s="146"/>
      <c r="M61" s="103"/>
      <c r="N61" s="103"/>
      <c r="O61" s="103">
        <f t="shared" si="1"/>
        <v>0</v>
      </c>
      <c r="P61" s="104">
        <f t="shared" si="2"/>
        <v>0</v>
      </c>
      <c r="Q61" s="147"/>
      <c r="R61" s="103"/>
      <c r="S61" s="103">
        <f t="shared" si="3"/>
        <v>0</v>
      </c>
      <c r="U61" s="107" t="str">
        <f t="shared" si="4"/>
        <v>0</v>
      </c>
    </row>
    <row r="62" ht="15.75" customHeight="1">
      <c r="A62" s="145"/>
      <c r="B62" s="95"/>
      <c r="C62" s="97"/>
      <c r="D62" s="97"/>
      <c r="E62" s="148"/>
      <c r="F62" s="148"/>
      <c r="G62" s="97"/>
      <c r="H62" s="148"/>
      <c r="I62" s="99"/>
      <c r="J62" s="100"/>
      <c r="K62" s="103"/>
      <c r="L62" s="146"/>
      <c r="M62" s="103"/>
      <c r="N62" s="103"/>
      <c r="O62" s="103">
        <f t="shared" si="1"/>
        <v>0</v>
      </c>
      <c r="P62" s="104">
        <f t="shared" si="2"/>
        <v>0</v>
      </c>
      <c r="Q62" s="147"/>
      <c r="R62" s="103"/>
      <c r="S62" s="103">
        <f t="shared" si="3"/>
        <v>0</v>
      </c>
      <c r="U62" s="107" t="str">
        <f t="shared" si="4"/>
        <v>0</v>
      </c>
    </row>
    <row r="63" ht="15.75" customHeight="1">
      <c r="A63" s="145"/>
      <c r="B63" s="95"/>
      <c r="C63" s="97"/>
      <c r="D63" s="97"/>
      <c r="E63" s="148"/>
      <c r="F63" s="148"/>
      <c r="G63" s="97"/>
      <c r="H63" s="149"/>
      <c r="I63" s="99"/>
      <c r="J63" s="100"/>
      <c r="K63" s="103"/>
      <c r="L63" s="146"/>
      <c r="M63" s="103"/>
      <c r="N63" s="103"/>
      <c r="O63" s="103">
        <f t="shared" si="1"/>
        <v>0</v>
      </c>
      <c r="P63" s="104">
        <f t="shared" si="2"/>
        <v>0</v>
      </c>
      <c r="Q63" s="147"/>
      <c r="R63" s="103"/>
      <c r="S63" s="103">
        <f t="shared" si="3"/>
        <v>0</v>
      </c>
      <c r="U63" s="107" t="str">
        <f t="shared" si="4"/>
        <v>0</v>
      </c>
    </row>
    <row r="64" ht="15.75" customHeight="1">
      <c r="A64" s="145"/>
      <c r="B64" s="95"/>
      <c r="C64" s="97"/>
      <c r="D64" s="97"/>
      <c r="E64" s="148"/>
      <c r="F64" s="148"/>
      <c r="G64" s="97"/>
      <c r="H64" s="149"/>
      <c r="I64" s="99"/>
      <c r="J64" s="100"/>
      <c r="K64" s="103"/>
      <c r="L64" s="146"/>
      <c r="M64" s="103"/>
      <c r="N64" s="103"/>
      <c r="O64" s="103">
        <f t="shared" si="1"/>
        <v>0</v>
      </c>
      <c r="P64" s="104">
        <f t="shared" si="2"/>
        <v>0</v>
      </c>
      <c r="Q64" s="147"/>
      <c r="R64" s="103"/>
      <c r="S64" s="103">
        <f t="shared" si="3"/>
        <v>0</v>
      </c>
      <c r="U64" s="107" t="str">
        <f t="shared" si="4"/>
        <v>0</v>
      </c>
    </row>
    <row r="65" ht="15.75" customHeight="1">
      <c r="A65" s="145"/>
      <c r="B65" s="95"/>
      <c r="C65" s="97"/>
      <c r="D65" s="97"/>
      <c r="E65" s="148"/>
      <c r="F65" s="148"/>
      <c r="G65" s="97"/>
      <c r="H65" s="149"/>
      <c r="I65" s="99"/>
      <c r="J65" s="100"/>
      <c r="K65" s="103"/>
      <c r="L65" s="146"/>
      <c r="M65" s="103"/>
      <c r="N65" s="103"/>
      <c r="O65" s="103">
        <f t="shared" si="1"/>
        <v>0</v>
      </c>
      <c r="P65" s="104">
        <f t="shared" si="2"/>
        <v>0</v>
      </c>
      <c r="Q65" s="147"/>
      <c r="R65" s="103"/>
      <c r="S65" s="103">
        <f t="shared" si="3"/>
        <v>0</v>
      </c>
      <c r="U65" s="107" t="str">
        <f t="shared" si="4"/>
        <v>0</v>
      </c>
    </row>
    <row r="66" ht="15.75" customHeight="1">
      <c r="A66" s="145"/>
      <c r="B66" s="95"/>
      <c r="C66" s="97"/>
      <c r="D66" s="97"/>
      <c r="E66" s="148"/>
      <c r="F66" s="148"/>
      <c r="G66" s="97"/>
      <c r="H66" s="148"/>
      <c r="I66" s="99"/>
      <c r="J66" s="100"/>
      <c r="K66" s="103"/>
      <c r="L66" s="146"/>
      <c r="M66" s="103"/>
      <c r="N66" s="103"/>
      <c r="O66" s="103">
        <f t="shared" si="1"/>
        <v>0</v>
      </c>
      <c r="P66" s="104">
        <f t="shared" si="2"/>
        <v>0</v>
      </c>
      <c r="Q66" s="147"/>
      <c r="R66" s="103"/>
      <c r="S66" s="103">
        <f t="shared" si="3"/>
        <v>0</v>
      </c>
      <c r="U66" s="107" t="str">
        <f t="shared" si="4"/>
        <v>0</v>
      </c>
    </row>
    <row r="67" ht="15.75" customHeight="1">
      <c r="A67" s="145"/>
      <c r="B67" s="95"/>
      <c r="C67" s="97"/>
      <c r="D67" s="97"/>
      <c r="E67" s="148"/>
      <c r="F67" s="148"/>
      <c r="G67" s="97"/>
      <c r="H67" s="149"/>
      <c r="I67" s="99"/>
      <c r="J67" s="100"/>
      <c r="K67" s="103"/>
      <c r="L67" s="146"/>
      <c r="M67" s="103"/>
      <c r="N67" s="103"/>
      <c r="O67" s="103">
        <f t="shared" si="1"/>
        <v>0</v>
      </c>
      <c r="P67" s="104">
        <f t="shared" si="2"/>
        <v>0</v>
      </c>
      <c r="Q67" s="147"/>
      <c r="R67" s="103"/>
      <c r="S67" s="103">
        <f t="shared" si="3"/>
        <v>0</v>
      </c>
      <c r="U67" s="107" t="str">
        <f t="shared" si="4"/>
        <v>0</v>
      </c>
    </row>
    <row r="68" ht="15.75" customHeight="1">
      <c r="A68" s="145"/>
      <c r="B68" s="95"/>
      <c r="C68" s="97"/>
      <c r="D68" s="97"/>
      <c r="E68" s="148"/>
      <c r="F68" s="148"/>
      <c r="G68" s="97"/>
      <c r="H68" s="148"/>
      <c r="I68" s="99"/>
      <c r="J68" s="100"/>
      <c r="K68" s="103"/>
      <c r="L68" s="146"/>
      <c r="M68" s="103"/>
      <c r="N68" s="103"/>
      <c r="O68" s="103">
        <f t="shared" si="1"/>
        <v>0</v>
      </c>
      <c r="P68" s="104">
        <f t="shared" si="2"/>
        <v>0</v>
      </c>
      <c r="Q68" s="147"/>
      <c r="R68" s="103"/>
      <c r="S68" s="103">
        <f t="shared" si="3"/>
        <v>0</v>
      </c>
      <c r="U68" s="107" t="str">
        <f t="shared" si="4"/>
        <v>0</v>
      </c>
    </row>
    <row r="69" ht="15.75" customHeight="1">
      <c r="A69" s="145"/>
      <c r="B69" s="95"/>
      <c r="C69" s="97"/>
      <c r="D69" s="97"/>
      <c r="E69" s="148"/>
      <c r="F69" s="148"/>
      <c r="G69" s="97"/>
      <c r="H69" s="148"/>
      <c r="I69" s="99"/>
      <c r="J69" s="100"/>
      <c r="K69" s="103"/>
      <c r="L69" s="146"/>
      <c r="M69" s="103"/>
      <c r="N69" s="103"/>
      <c r="O69" s="103">
        <f t="shared" si="1"/>
        <v>0</v>
      </c>
      <c r="P69" s="104">
        <f t="shared" si="2"/>
        <v>0</v>
      </c>
      <c r="Q69" s="147"/>
      <c r="R69" s="103"/>
      <c r="S69" s="103">
        <f t="shared" si="3"/>
        <v>0</v>
      </c>
      <c r="U69" s="107" t="str">
        <f t="shared" si="4"/>
        <v>0</v>
      </c>
    </row>
    <row r="70" ht="15.75" customHeight="1">
      <c r="A70" s="145"/>
      <c r="B70" s="95"/>
      <c r="C70" s="97"/>
      <c r="D70" s="97"/>
      <c r="E70" s="148"/>
      <c r="F70" s="148"/>
      <c r="G70" s="97"/>
      <c r="H70" s="149"/>
      <c r="I70" s="99"/>
      <c r="J70" s="100"/>
      <c r="K70" s="103"/>
      <c r="L70" s="146"/>
      <c r="M70" s="103"/>
      <c r="N70" s="103"/>
      <c r="O70" s="103">
        <f t="shared" si="1"/>
        <v>0</v>
      </c>
      <c r="P70" s="104">
        <f t="shared" si="2"/>
        <v>0</v>
      </c>
      <c r="Q70" s="147"/>
      <c r="R70" s="103"/>
      <c r="S70" s="103">
        <f t="shared" si="3"/>
        <v>0</v>
      </c>
      <c r="U70" s="107" t="str">
        <f t="shared" si="4"/>
        <v>0</v>
      </c>
    </row>
    <row r="71" ht="15.75" customHeight="1">
      <c r="A71" s="145"/>
      <c r="B71" s="95"/>
      <c r="C71" s="97"/>
      <c r="D71" s="97"/>
      <c r="E71" s="148"/>
      <c r="F71" s="148"/>
      <c r="G71" s="97"/>
      <c r="H71" s="148"/>
      <c r="I71" s="99"/>
      <c r="J71" s="100"/>
      <c r="K71" s="103"/>
      <c r="L71" s="146"/>
      <c r="M71" s="103"/>
      <c r="N71" s="103"/>
      <c r="O71" s="103">
        <f t="shared" si="1"/>
        <v>0</v>
      </c>
      <c r="P71" s="104">
        <f t="shared" si="2"/>
        <v>0</v>
      </c>
      <c r="Q71" s="147"/>
      <c r="R71" s="103"/>
      <c r="S71" s="103">
        <f t="shared" si="3"/>
        <v>0</v>
      </c>
      <c r="U71" s="107" t="str">
        <f t="shared" si="4"/>
        <v>0</v>
      </c>
    </row>
    <row r="72" ht="15.75" customHeight="1">
      <c r="A72" s="145"/>
      <c r="B72" s="95"/>
      <c r="C72" s="97"/>
      <c r="D72" s="97"/>
      <c r="E72" s="148"/>
      <c r="F72" s="148"/>
      <c r="G72" s="97"/>
      <c r="H72" s="149"/>
      <c r="I72" s="99"/>
      <c r="J72" s="100"/>
      <c r="K72" s="103"/>
      <c r="L72" s="146"/>
      <c r="M72" s="103"/>
      <c r="N72" s="103"/>
      <c r="O72" s="103">
        <f t="shared" si="1"/>
        <v>0</v>
      </c>
      <c r="P72" s="104">
        <f t="shared" si="2"/>
        <v>0</v>
      </c>
      <c r="Q72" s="147"/>
      <c r="R72" s="103"/>
      <c r="S72" s="103">
        <f t="shared" si="3"/>
        <v>0</v>
      </c>
      <c r="U72" s="107" t="str">
        <f t="shared" si="4"/>
        <v>0</v>
      </c>
    </row>
    <row r="73" ht="15.75" customHeight="1">
      <c r="A73" s="145"/>
      <c r="B73" s="95"/>
      <c r="C73" s="97"/>
      <c r="D73" s="97"/>
      <c r="E73" s="148"/>
      <c r="F73" s="148"/>
      <c r="G73" s="97"/>
      <c r="H73" s="149"/>
      <c r="I73" s="99"/>
      <c r="J73" s="100"/>
      <c r="K73" s="103"/>
      <c r="L73" s="146"/>
      <c r="M73" s="103"/>
      <c r="N73" s="103"/>
      <c r="O73" s="103">
        <f t="shared" si="1"/>
        <v>0</v>
      </c>
      <c r="P73" s="104">
        <f t="shared" si="2"/>
        <v>0</v>
      </c>
      <c r="Q73" s="147"/>
      <c r="R73" s="103"/>
      <c r="S73" s="103">
        <f t="shared" si="3"/>
        <v>0</v>
      </c>
      <c r="U73" s="107" t="str">
        <f t="shared" si="4"/>
        <v>0</v>
      </c>
    </row>
    <row r="74" ht="15.75" customHeight="1">
      <c r="A74" s="145"/>
      <c r="B74" s="95"/>
      <c r="C74" s="97"/>
      <c r="D74" s="97"/>
      <c r="E74" s="148"/>
      <c r="F74" s="148"/>
      <c r="G74" s="97"/>
      <c r="H74" s="149"/>
      <c r="I74" s="99"/>
      <c r="J74" s="100"/>
      <c r="K74" s="103"/>
      <c r="L74" s="146"/>
      <c r="M74" s="103"/>
      <c r="N74" s="103"/>
      <c r="O74" s="103">
        <f t="shared" si="1"/>
        <v>0</v>
      </c>
      <c r="P74" s="104">
        <f t="shared" si="2"/>
        <v>0</v>
      </c>
      <c r="Q74" s="147"/>
      <c r="R74" s="103"/>
      <c r="S74" s="103">
        <f t="shared" si="3"/>
        <v>0</v>
      </c>
      <c r="U74" s="107" t="str">
        <f t="shared" si="4"/>
        <v>0</v>
      </c>
    </row>
    <row r="75" ht="15.75" customHeight="1">
      <c r="A75" s="145"/>
      <c r="B75" s="95"/>
      <c r="C75" s="97"/>
      <c r="D75" s="97"/>
      <c r="E75" s="148"/>
      <c r="F75" s="148"/>
      <c r="G75" s="97"/>
      <c r="H75" s="149"/>
      <c r="I75" s="99"/>
      <c r="J75" s="100"/>
      <c r="K75" s="103"/>
      <c r="L75" s="146"/>
      <c r="M75" s="103"/>
      <c r="N75" s="103"/>
      <c r="O75" s="103">
        <f t="shared" si="1"/>
        <v>0</v>
      </c>
      <c r="P75" s="104">
        <f t="shared" si="2"/>
        <v>0</v>
      </c>
      <c r="Q75" s="147"/>
      <c r="R75" s="103"/>
      <c r="S75" s="103">
        <f t="shared" si="3"/>
        <v>0</v>
      </c>
      <c r="U75" s="107" t="str">
        <f t="shared" si="4"/>
        <v>0</v>
      </c>
    </row>
    <row r="76" ht="15.75" customHeight="1">
      <c r="A76" s="145"/>
      <c r="B76" s="95"/>
      <c r="C76" s="97"/>
      <c r="D76" s="97"/>
      <c r="E76" s="148"/>
      <c r="F76" s="148"/>
      <c r="G76" s="97"/>
      <c r="H76" s="149"/>
      <c r="I76" s="99"/>
      <c r="J76" s="100"/>
      <c r="K76" s="103"/>
      <c r="L76" s="146"/>
      <c r="M76" s="103"/>
      <c r="N76" s="103"/>
      <c r="O76" s="103">
        <f t="shared" si="1"/>
        <v>0</v>
      </c>
      <c r="P76" s="104">
        <f t="shared" si="2"/>
        <v>0</v>
      </c>
      <c r="Q76" s="147"/>
      <c r="R76" s="103"/>
      <c r="S76" s="103">
        <f t="shared" si="3"/>
        <v>0</v>
      </c>
      <c r="U76" s="107" t="str">
        <f t="shared" si="4"/>
        <v>0</v>
      </c>
    </row>
    <row r="77" ht="15.75" customHeight="1">
      <c r="A77" s="145"/>
      <c r="B77" s="95"/>
      <c r="C77" s="97"/>
      <c r="D77" s="97"/>
      <c r="E77" s="148"/>
      <c r="F77" s="148"/>
      <c r="G77" s="97"/>
      <c r="H77" s="148"/>
      <c r="I77" s="99"/>
      <c r="J77" s="100"/>
      <c r="K77" s="103"/>
      <c r="L77" s="146"/>
      <c r="M77" s="103"/>
      <c r="N77" s="103"/>
      <c r="O77" s="103">
        <f t="shared" si="1"/>
        <v>0</v>
      </c>
      <c r="P77" s="104">
        <f t="shared" si="2"/>
        <v>0</v>
      </c>
      <c r="Q77" s="147"/>
      <c r="R77" s="103"/>
      <c r="S77" s="103">
        <f t="shared" si="3"/>
        <v>0</v>
      </c>
      <c r="U77" s="107" t="str">
        <f t="shared" si="4"/>
        <v>0</v>
      </c>
    </row>
    <row r="78" ht="15.75" customHeight="1">
      <c r="A78" s="145"/>
      <c r="B78" s="95"/>
      <c r="C78" s="97"/>
      <c r="D78" s="97"/>
      <c r="E78" s="148"/>
      <c r="F78" s="148"/>
      <c r="G78" s="97"/>
      <c r="H78" s="149"/>
      <c r="I78" s="99"/>
      <c r="J78" s="100"/>
      <c r="K78" s="103"/>
      <c r="L78" s="146"/>
      <c r="M78" s="103"/>
      <c r="N78" s="103"/>
      <c r="O78" s="103">
        <f t="shared" si="1"/>
        <v>0</v>
      </c>
      <c r="P78" s="104">
        <f t="shared" si="2"/>
        <v>0</v>
      </c>
      <c r="Q78" s="147"/>
      <c r="R78" s="103"/>
      <c r="S78" s="103">
        <f t="shared" si="3"/>
        <v>0</v>
      </c>
      <c r="U78" s="107" t="str">
        <f t="shared" si="4"/>
        <v>0</v>
      </c>
    </row>
    <row r="79" ht="15.75" customHeight="1">
      <c r="A79" s="145"/>
      <c r="B79" s="95"/>
      <c r="C79" s="97"/>
      <c r="D79" s="97"/>
      <c r="E79" s="148"/>
      <c r="F79" s="148"/>
      <c r="G79" s="97"/>
      <c r="H79" s="149"/>
      <c r="I79" s="99"/>
      <c r="J79" s="100"/>
      <c r="K79" s="103"/>
      <c r="L79" s="146"/>
      <c r="M79" s="103"/>
      <c r="N79" s="103"/>
      <c r="O79" s="103">
        <f t="shared" si="1"/>
        <v>0</v>
      </c>
      <c r="P79" s="104">
        <f t="shared" si="2"/>
        <v>0</v>
      </c>
      <c r="Q79" s="147"/>
      <c r="R79" s="103"/>
      <c r="S79" s="103">
        <f t="shared" si="3"/>
        <v>0</v>
      </c>
      <c r="U79" s="107" t="str">
        <f t="shared" si="4"/>
        <v>0</v>
      </c>
    </row>
    <row r="80" ht="15.75" customHeight="1">
      <c r="A80" s="145"/>
      <c r="B80" s="95"/>
      <c r="C80" s="97"/>
      <c r="D80" s="97"/>
      <c r="E80" s="148"/>
      <c r="F80" s="148"/>
      <c r="G80" s="97"/>
      <c r="H80" s="149"/>
      <c r="I80" s="99"/>
      <c r="J80" s="100"/>
      <c r="K80" s="103"/>
      <c r="L80" s="146"/>
      <c r="M80" s="103"/>
      <c r="N80" s="103"/>
      <c r="O80" s="103">
        <f t="shared" si="1"/>
        <v>0</v>
      </c>
      <c r="P80" s="104">
        <f t="shared" si="2"/>
        <v>0</v>
      </c>
      <c r="Q80" s="147"/>
      <c r="R80" s="103"/>
      <c r="S80" s="103">
        <f t="shared" si="3"/>
        <v>0</v>
      </c>
      <c r="U80" s="107" t="str">
        <f t="shared" si="4"/>
        <v>0</v>
      </c>
    </row>
    <row r="81" ht="15.75" customHeight="1">
      <c r="A81" s="145"/>
      <c r="B81" s="95"/>
      <c r="C81" s="97"/>
      <c r="D81" s="97"/>
      <c r="E81" s="148"/>
      <c r="F81" s="148"/>
      <c r="G81" s="97"/>
      <c r="H81" s="149"/>
      <c r="I81" s="99"/>
      <c r="J81" s="100"/>
      <c r="K81" s="103"/>
      <c r="L81" s="146"/>
      <c r="M81" s="103"/>
      <c r="N81" s="103"/>
      <c r="O81" s="103">
        <f t="shared" si="1"/>
        <v>0</v>
      </c>
      <c r="P81" s="104">
        <f t="shared" si="2"/>
        <v>0</v>
      </c>
      <c r="Q81" s="147"/>
      <c r="R81" s="103"/>
      <c r="S81" s="103">
        <f t="shared" si="3"/>
        <v>0</v>
      </c>
      <c r="U81" s="107" t="str">
        <f t="shared" si="4"/>
        <v>0</v>
      </c>
    </row>
    <row r="82" ht="15.75" customHeight="1">
      <c r="A82" s="145"/>
      <c r="B82" s="95"/>
      <c r="C82" s="97"/>
      <c r="D82" s="97"/>
      <c r="E82" s="148"/>
      <c r="F82" s="148"/>
      <c r="G82" s="97"/>
      <c r="H82" s="149"/>
      <c r="I82" s="99"/>
      <c r="J82" s="100"/>
      <c r="K82" s="103"/>
      <c r="L82" s="146"/>
      <c r="M82" s="103"/>
      <c r="N82" s="103"/>
      <c r="O82" s="103">
        <f t="shared" si="1"/>
        <v>0</v>
      </c>
      <c r="P82" s="104">
        <f t="shared" si="2"/>
        <v>0</v>
      </c>
      <c r="Q82" s="147"/>
      <c r="R82" s="103"/>
      <c r="S82" s="103">
        <f t="shared" si="3"/>
        <v>0</v>
      </c>
      <c r="U82" s="107" t="str">
        <f t="shared" si="4"/>
        <v>0</v>
      </c>
    </row>
    <row r="83" ht="15.75" customHeight="1">
      <c r="A83" s="145"/>
      <c r="B83" s="95"/>
      <c r="C83" s="97"/>
      <c r="D83" s="97"/>
      <c r="E83" s="148"/>
      <c r="F83" s="148"/>
      <c r="G83" s="97"/>
      <c r="H83" s="149"/>
      <c r="I83" s="99"/>
      <c r="J83" s="100"/>
      <c r="K83" s="103"/>
      <c r="L83" s="146"/>
      <c r="M83" s="103"/>
      <c r="N83" s="103"/>
      <c r="O83" s="103">
        <f t="shared" si="1"/>
        <v>0</v>
      </c>
      <c r="P83" s="104">
        <f t="shared" si="2"/>
        <v>0</v>
      </c>
      <c r="Q83" s="147"/>
      <c r="R83" s="103"/>
      <c r="S83" s="103">
        <f t="shared" si="3"/>
        <v>0</v>
      </c>
      <c r="U83" s="107" t="str">
        <f t="shared" si="4"/>
        <v>0</v>
      </c>
    </row>
    <row r="84" ht="15.75" customHeight="1">
      <c r="A84" s="145"/>
      <c r="B84" s="95"/>
      <c r="C84" s="97"/>
      <c r="D84" s="97"/>
      <c r="E84" s="148"/>
      <c r="F84" s="148"/>
      <c r="G84" s="97"/>
      <c r="H84" s="149"/>
      <c r="I84" s="99"/>
      <c r="J84" s="100"/>
      <c r="K84" s="103"/>
      <c r="L84" s="146"/>
      <c r="M84" s="103"/>
      <c r="N84" s="103"/>
      <c r="O84" s="103">
        <f t="shared" si="1"/>
        <v>0</v>
      </c>
      <c r="P84" s="104">
        <f t="shared" si="2"/>
        <v>0</v>
      </c>
      <c r="Q84" s="147"/>
      <c r="R84" s="103"/>
      <c r="S84" s="103">
        <f t="shared" si="3"/>
        <v>0</v>
      </c>
      <c r="U84" s="107" t="str">
        <f t="shared" si="4"/>
        <v>0</v>
      </c>
    </row>
    <row r="85" ht="15.75" customHeight="1">
      <c r="A85" s="145"/>
      <c r="B85" s="95"/>
      <c r="C85" s="97"/>
      <c r="D85" s="97"/>
      <c r="E85" s="148"/>
      <c r="F85" s="148"/>
      <c r="G85" s="97"/>
      <c r="H85" s="149"/>
      <c r="I85" s="99"/>
      <c r="J85" s="100"/>
      <c r="K85" s="103"/>
      <c r="L85" s="146"/>
      <c r="M85" s="103"/>
      <c r="N85" s="103"/>
      <c r="O85" s="103">
        <f t="shared" si="1"/>
        <v>0</v>
      </c>
      <c r="P85" s="104">
        <f t="shared" si="2"/>
        <v>0</v>
      </c>
      <c r="Q85" s="147"/>
      <c r="R85" s="103"/>
      <c r="S85" s="103">
        <f t="shared" si="3"/>
        <v>0</v>
      </c>
      <c r="U85" s="107" t="str">
        <f t="shared" si="4"/>
        <v>0</v>
      </c>
    </row>
    <row r="86" ht="15.75" customHeight="1">
      <c r="A86" s="145"/>
      <c r="B86" s="95"/>
      <c r="C86" s="97"/>
      <c r="D86" s="97"/>
      <c r="E86" s="148"/>
      <c r="F86" s="148"/>
      <c r="G86" s="97"/>
      <c r="H86" s="148"/>
      <c r="I86" s="99"/>
      <c r="J86" s="100"/>
      <c r="K86" s="103"/>
      <c r="L86" s="146"/>
      <c r="M86" s="103"/>
      <c r="N86" s="103"/>
      <c r="O86" s="103">
        <f t="shared" si="1"/>
        <v>0</v>
      </c>
      <c r="P86" s="104">
        <f t="shared" si="2"/>
        <v>0</v>
      </c>
      <c r="Q86" s="147"/>
      <c r="R86" s="103"/>
      <c r="S86" s="103">
        <f t="shared" si="3"/>
        <v>0</v>
      </c>
      <c r="U86" s="107" t="str">
        <f t="shared" si="4"/>
        <v>0</v>
      </c>
    </row>
    <row r="87" ht="15.75" customHeight="1">
      <c r="A87" s="145"/>
      <c r="B87" s="95"/>
      <c r="C87" s="97"/>
      <c r="D87" s="97"/>
      <c r="E87" s="148"/>
      <c r="F87" s="148"/>
      <c r="G87" s="97"/>
      <c r="H87" s="149"/>
      <c r="I87" s="99"/>
      <c r="J87" s="100"/>
      <c r="K87" s="103"/>
      <c r="L87" s="146"/>
      <c r="M87" s="103"/>
      <c r="N87" s="103"/>
      <c r="O87" s="103">
        <f t="shared" si="1"/>
        <v>0</v>
      </c>
      <c r="P87" s="104">
        <f t="shared" si="2"/>
        <v>0</v>
      </c>
      <c r="Q87" s="147"/>
      <c r="R87" s="103"/>
      <c r="S87" s="103">
        <f t="shared" si="3"/>
        <v>0</v>
      </c>
      <c r="U87" s="107" t="str">
        <f t="shared" si="4"/>
        <v>0</v>
      </c>
    </row>
    <row r="88" ht="15.75" customHeight="1">
      <c r="A88" s="145"/>
      <c r="B88" s="95"/>
      <c r="C88" s="97"/>
      <c r="D88" s="97"/>
      <c r="E88" s="148"/>
      <c r="F88" s="148"/>
      <c r="G88" s="97"/>
      <c r="H88" s="149"/>
      <c r="I88" s="99"/>
      <c r="J88" s="100"/>
      <c r="K88" s="103"/>
      <c r="L88" s="146"/>
      <c r="M88" s="103"/>
      <c r="N88" s="103"/>
      <c r="O88" s="103">
        <f t="shared" si="1"/>
        <v>0</v>
      </c>
      <c r="P88" s="104">
        <f t="shared" si="2"/>
        <v>0</v>
      </c>
      <c r="Q88" s="147"/>
      <c r="R88" s="103"/>
      <c r="S88" s="103">
        <f t="shared" si="3"/>
        <v>0</v>
      </c>
      <c r="U88" s="107" t="str">
        <f t="shared" si="4"/>
        <v>0</v>
      </c>
    </row>
    <row r="89" ht="15.75" customHeight="1">
      <c r="A89" s="145"/>
      <c r="B89" s="95"/>
      <c r="C89" s="97"/>
      <c r="D89" s="97"/>
      <c r="E89" s="148"/>
      <c r="F89" s="148"/>
      <c r="G89" s="97"/>
      <c r="H89" s="148"/>
      <c r="I89" s="99"/>
      <c r="J89" s="100"/>
      <c r="K89" s="103"/>
      <c r="L89" s="146"/>
      <c r="M89" s="103"/>
      <c r="N89" s="103"/>
      <c r="O89" s="103">
        <f t="shared" si="1"/>
        <v>0</v>
      </c>
      <c r="P89" s="104">
        <f t="shared" si="2"/>
        <v>0</v>
      </c>
      <c r="Q89" s="147"/>
      <c r="R89" s="103"/>
      <c r="S89" s="103">
        <f t="shared" si="3"/>
        <v>0</v>
      </c>
      <c r="U89" s="107" t="str">
        <f t="shared" si="4"/>
        <v>0</v>
      </c>
    </row>
    <row r="90" ht="15.75" customHeight="1">
      <c r="A90" s="145"/>
      <c r="B90" s="95"/>
      <c r="C90" s="97"/>
      <c r="D90" s="97"/>
      <c r="E90" s="148"/>
      <c r="F90" s="148"/>
      <c r="G90" s="97"/>
      <c r="H90" s="148"/>
      <c r="I90" s="99"/>
      <c r="J90" s="100"/>
      <c r="K90" s="103"/>
      <c r="L90" s="146"/>
      <c r="M90" s="103"/>
      <c r="N90" s="103"/>
      <c r="O90" s="103">
        <f t="shared" si="1"/>
        <v>0</v>
      </c>
      <c r="P90" s="104">
        <f t="shared" si="2"/>
        <v>0</v>
      </c>
      <c r="Q90" s="147"/>
      <c r="R90" s="103"/>
      <c r="S90" s="103">
        <f t="shared" si="3"/>
        <v>0</v>
      </c>
      <c r="U90" s="107" t="str">
        <f t="shared" si="4"/>
        <v>0</v>
      </c>
    </row>
    <row r="91" ht="15.75" customHeight="1">
      <c r="A91" s="145"/>
      <c r="B91" s="95"/>
      <c r="C91" s="97"/>
      <c r="D91" s="97"/>
      <c r="E91" s="148"/>
      <c r="F91" s="148"/>
      <c r="G91" s="97"/>
      <c r="H91" s="149"/>
      <c r="I91" s="99"/>
      <c r="J91" s="100"/>
      <c r="K91" s="103"/>
      <c r="L91" s="146"/>
      <c r="M91" s="103"/>
      <c r="N91" s="103"/>
      <c r="O91" s="103">
        <f t="shared" si="1"/>
        <v>0</v>
      </c>
      <c r="P91" s="104">
        <f t="shared" si="2"/>
        <v>0</v>
      </c>
      <c r="Q91" s="147"/>
      <c r="R91" s="103"/>
      <c r="S91" s="103">
        <f t="shared" si="3"/>
        <v>0</v>
      </c>
      <c r="U91" s="107" t="str">
        <f t="shared" si="4"/>
        <v>0</v>
      </c>
    </row>
    <row r="92" ht="15.75" customHeight="1">
      <c r="A92" s="145"/>
      <c r="B92" s="95"/>
      <c r="C92" s="97"/>
      <c r="D92" s="97"/>
      <c r="E92" s="148"/>
      <c r="F92" s="148"/>
      <c r="G92" s="97"/>
      <c r="H92" s="148"/>
      <c r="I92" s="99"/>
      <c r="J92" s="100"/>
      <c r="K92" s="103"/>
      <c r="L92" s="146"/>
      <c r="M92" s="103"/>
      <c r="N92" s="103"/>
      <c r="O92" s="103">
        <f t="shared" si="1"/>
        <v>0</v>
      </c>
      <c r="P92" s="104">
        <f t="shared" si="2"/>
        <v>0</v>
      </c>
      <c r="Q92" s="147"/>
      <c r="R92" s="103"/>
      <c r="S92" s="103">
        <f t="shared" si="3"/>
        <v>0</v>
      </c>
      <c r="U92" s="107" t="str">
        <f t="shared" si="4"/>
        <v>0</v>
      </c>
    </row>
    <row r="93" ht="15.75" customHeight="1">
      <c r="A93" s="145"/>
      <c r="B93" s="95"/>
      <c r="C93" s="97"/>
      <c r="D93" s="97"/>
      <c r="E93" s="148"/>
      <c r="F93" s="148"/>
      <c r="G93" s="97"/>
      <c r="H93" s="149"/>
      <c r="I93" s="99"/>
      <c r="J93" s="100"/>
      <c r="K93" s="103"/>
      <c r="L93" s="146"/>
      <c r="M93" s="103"/>
      <c r="N93" s="103"/>
      <c r="O93" s="103">
        <f t="shared" si="1"/>
        <v>0</v>
      </c>
      <c r="P93" s="104">
        <f t="shared" si="2"/>
        <v>0</v>
      </c>
      <c r="Q93" s="147"/>
      <c r="R93" s="103"/>
      <c r="S93" s="103">
        <f t="shared" si="3"/>
        <v>0</v>
      </c>
      <c r="U93" s="107" t="str">
        <f t="shared" si="4"/>
        <v>0</v>
      </c>
    </row>
    <row r="94" ht="15.75" customHeight="1">
      <c r="A94" s="145"/>
      <c r="B94" s="95"/>
      <c r="C94" s="97"/>
      <c r="D94" s="97"/>
      <c r="E94" s="148"/>
      <c r="F94" s="148"/>
      <c r="G94" s="97"/>
      <c r="H94" s="149"/>
      <c r="I94" s="99"/>
      <c r="J94" s="100"/>
      <c r="K94" s="103"/>
      <c r="L94" s="146"/>
      <c r="M94" s="103"/>
      <c r="N94" s="103"/>
      <c r="O94" s="103">
        <f t="shared" si="1"/>
        <v>0</v>
      </c>
      <c r="P94" s="104">
        <f t="shared" si="2"/>
        <v>0</v>
      </c>
      <c r="Q94" s="147"/>
      <c r="R94" s="103"/>
      <c r="S94" s="103">
        <f t="shared" si="3"/>
        <v>0</v>
      </c>
      <c r="U94" s="107" t="str">
        <f t="shared" si="4"/>
        <v>0</v>
      </c>
    </row>
    <row r="95" ht="15.75" customHeight="1">
      <c r="A95" s="145"/>
      <c r="B95" s="95"/>
      <c r="C95" s="97"/>
      <c r="D95" s="97"/>
      <c r="E95" s="148"/>
      <c r="F95" s="148"/>
      <c r="G95" s="97"/>
      <c r="H95" s="149"/>
      <c r="I95" s="99"/>
      <c r="J95" s="100"/>
      <c r="K95" s="103"/>
      <c r="L95" s="146"/>
      <c r="M95" s="103"/>
      <c r="N95" s="103"/>
      <c r="O95" s="103">
        <f t="shared" si="1"/>
        <v>0</v>
      </c>
      <c r="P95" s="104">
        <f t="shared" si="2"/>
        <v>0</v>
      </c>
      <c r="Q95" s="147"/>
      <c r="R95" s="103"/>
      <c r="S95" s="103">
        <f t="shared" si="3"/>
        <v>0</v>
      </c>
      <c r="U95" s="107" t="str">
        <f t="shared" si="4"/>
        <v>0</v>
      </c>
    </row>
    <row r="96" ht="15.75" customHeight="1">
      <c r="A96" s="145"/>
      <c r="B96" s="95"/>
      <c r="C96" s="97"/>
      <c r="D96" s="97"/>
      <c r="E96" s="148"/>
      <c r="F96" s="148"/>
      <c r="G96" s="97"/>
      <c r="H96" s="149"/>
      <c r="I96" s="99"/>
      <c r="J96" s="100"/>
      <c r="K96" s="103"/>
      <c r="L96" s="146"/>
      <c r="M96" s="103"/>
      <c r="N96" s="103"/>
      <c r="O96" s="103">
        <f t="shared" si="1"/>
        <v>0</v>
      </c>
      <c r="P96" s="104">
        <f t="shared" si="2"/>
        <v>0</v>
      </c>
      <c r="Q96" s="147"/>
      <c r="R96" s="103"/>
      <c r="S96" s="103">
        <f t="shared" si="3"/>
        <v>0</v>
      </c>
      <c r="U96" s="107" t="str">
        <f t="shared" si="4"/>
        <v>0</v>
      </c>
    </row>
    <row r="97" ht="15.75" customHeight="1">
      <c r="A97" s="145"/>
      <c r="B97" s="95"/>
      <c r="C97" s="97"/>
      <c r="D97" s="97"/>
      <c r="E97" s="148"/>
      <c r="F97" s="148"/>
      <c r="G97" s="97"/>
      <c r="H97" s="149"/>
      <c r="I97" s="99"/>
      <c r="J97" s="100"/>
      <c r="K97" s="103"/>
      <c r="L97" s="146"/>
      <c r="M97" s="103"/>
      <c r="N97" s="103"/>
      <c r="O97" s="103">
        <f t="shared" si="1"/>
        <v>0</v>
      </c>
      <c r="P97" s="104">
        <f t="shared" si="2"/>
        <v>0</v>
      </c>
      <c r="Q97" s="147"/>
      <c r="R97" s="103"/>
      <c r="S97" s="103">
        <f t="shared" si="3"/>
        <v>0</v>
      </c>
      <c r="U97" s="107" t="str">
        <f t="shared" si="4"/>
        <v>0</v>
      </c>
    </row>
    <row r="98" ht="15.75" customHeight="1">
      <c r="A98" s="145"/>
      <c r="B98" s="95"/>
      <c r="C98" s="97"/>
      <c r="D98" s="97"/>
      <c r="E98" s="148"/>
      <c r="F98" s="148"/>
      <c r="G98" s="97"/>
      <c r="H98" s="149"/>
      <c r="I98" s="99"/>
      <c r="J98" s="100"/>
      <c r="K98" s="103"/>
      <c r="L98" s="146"/>
      <c r="M98" s="103"/>
      <c r="N98" s="103"/>
      <c r="O98" s="103">
        <f t="shared" si="1"/>
        <v>0</v>
      </c>
      <c r="P98" s="104">
        <f t="shared" si="2"/>
        <v>0</v>
      </c>
      <c r="Q98" s="147"/>
      <c r="R98" s="103"/>
      <c r="S98" s="103">
        <f t="shared" si="3"/>
        <v>0</v>
      </c>
      <c r="U98" s="107" t="str">
        <f t="shared" si="4"/>
        <v>0</v>
      </c>
    </row>
    <row r="99" ht="15.75" customHeight="1">
      <c r="A99" s="145"/>
      <c r="B99" s="95"/>
      <c r="C99" s="97"/>
      <c r="D99" s="97"/>
      <c r="E99" s="148"/>
      <c r="F99" s="148"/>
      <c r="G99" s="97"/>
      <c r="H99" s="148"/>
      <c r="I99" s="99"/>
      <c r="J99" s="100"/>
      <c r="K99" s="103"/>
      <c r="L99" s="146"/>
      <c r="M99" s="103"/>
      <c r="N99" s="103"/>
      <c r="O99" s="103">
        <f t="shared" si="1"/>
        <v>0</v>
      </c>
      <c r="P99" s="104">
        <f t="shared" si="2"/>
        <v>0</v>
      </c>
      <c r="Q99" s="147"/>
      <c r="R99" s="103"/>
      <c r="S99" s="103">
        <f t="shared" si="3"/>
        <v>0</v>
      </c>
      <c r="U99" s="107" t="str">
        <f t="shared" si="4"/>
        <v>0</v>
      </c>
    </row>
    <row r="100" ht="15.75" customHeight="1">
      <c r="A100" s="145"/>
      <c r="B100" s="95"/>
      <c r="C100" s="97"/>
      <c r="D100" s="97"/>
      <c r="E100" s="148"/>
      <c r="F100" s="148"/>
      <c r="G100" s="97"/>
      <c r="H100" s="149"/>
      <c r="I100" s="99"/>
      <c r="J100" s="100"/>
      <c r="K100" s="103"/>
      <c r="L100" s="146"/>
      <c r="M100" s="103"/>
      <c r="N100" s="103"/>
      <c r="O100" s="103">
        <f t="shared" si="1"/>
        <v>0</v>
      </c>
      <c r="P100" s="104">
        <f t="shared" si="2"/>
        <v>0</v>
      </c>
      <c r="Q100" s="147"/>
      <c r="R100" s="103"/>
      <c r="S100" s="103">
        <f t="shared" si="3"/>
        <v>0</v>
      </c>
      <c r="U100" s="107" t="str">
        <f t="shared" si="4"/>
        <v>0</v>
      </c>
    </row>
    <row r="101" ht="15.75" customHeight="1">
      <c r="A101" s="145"/>
      <c r="B101" s="95"/>
      <c r="C101" s="97"/>
      <c r="D101" s="97"/>
      <c r="E101" s="148"/>
      <c r="F101" s="148"/>
      <c r="G101" s="97"/>
      <c r="H101" s="148"/>
      <c r="I101" s="99"/>
      <c r="J101" s="100"/>
      <c r="K101" s="103"/>
      <c r="L101" s="146"/>
      <c r="M101" s="103"/>
      <c r="N101" s="103"/>
      <c r="O101" s="103">
        <f t="shared" si="1"/>
        <v>0</v>
      </c>
      <c r="P101" s="104">
        <f t="shared" si="2"/>
        <v>0</v>
      </c>
      <c r="Q101" s="147"/>
      <c r="R101" s="103"/>
      <c r="S101" s="103">
        <f t="shared" si="3"/>
        <v>0</v>
      </c>
      <c r="U101" s="107" t="str">
        <f t="shared" si="4"/>
        <v>0</v>
      </c>
    </row>
    <row r="102" ht="15.75" customHeight="1">
      <c r="A102" s="145"/>
      <c r="B102" s="95"/>
      <c r="C102" s="97"/>
      <c r="D102" s="97"/>
      <c r="E102" s="148"/>
      <c r="F102" s="148"/>
      <c r="G102" s="97"/>
      <c r="H102" s="148"/>
      <c r="I102" s="99"/>
      <c r="J102" s="100"/>
      <c r="K102" s="103"/>
      <c r="L102" s="146"/>
      <c r="M102" s="103"/>
      <c r="N102" s="103"/>
      <c r="O102" s="103">
        <f t="shared" si="1"/>
        <v>0</v>
      </c>
      <c r="P102" s="104">
        <f t="shared" si="2"/>
        <v>0</v>
      </c>
      <c r="Q102" s="147"/>
      <c r="R102" s="103"/>
      <c r="S102" s="103">
        <f t="shared" si="3"/>
        <v>0</v>
      </c>
      <c r="U102" s="107" t="str">
        <f t="shared" si="4"/>
        <v>0</v>
      </c>
    </row>
    <row r="103" ht="15.75" customHeight="1">
      <c r="A103" s="145"/>
      <c r="B103" s="95"/>
      <c r="C103" s="97"/>
      <c r="D103" s="97"/>
      <c r="E103" s="148"/>
      <c r="F103" s="148"/>
      <c r="G103" s="97"/>
      <c r="H103" s="148"/>
      <c r="I103" s="99"/>
      <c r="J103" s="100"/>
      <c r="K103" s="103"/>
      <c r="L103" s="146"/>
      <c r="M103" s="103"/>
      <c r="N103" s="103"/>
      <c r="O103" s="103">
        <f t="shared" si="1"/>
        <v>0</v>
      </c>
      <c r="P103" s="104">
        <f t="shared" si="2"/>
        <v>0</v>
      </c>
      <c r="Q103" s="147"/>
      <c r="R103" s="103"/>
      <c r="S103" s="103">
        <f t="shared" si="3"/>
        <v>0</v>
      </c>
      <c r="U103" s="107" t="str">
        <f t="shared" si="4"/>
        <v>0</v>
      </c>
    </row>
    <row r="104" ht="15.75" customHeight="1">
      <c r="A104" s="145"/>
      <c r="B104" s="95"/>
      <c r="C104" s="97"/>
      <c r="D104" s="97"/>
      <c r="E104" s="148"/>
      <c r="F104" s="148"/>
      <c r="G104" s="97"/>
      <c r="H104" s="149"/>
      <c r="I104" s="99"/>
      <c r="J104" s="100"/>
      <c r="K104" s="103"/>
      <c r="L104" s="146"/>
      <c r="M104" s="103"/>
      <c r="N104" s="103"/>
      <c r="O104" s="103">
        <f t="shared" si="1"/>
        <v>0</v>
      </c>
      <c r="P104" s="104">
        <f t="shared" si="2"/>
        <v>0</v>
      </c>
      <c r="Q104" s="147"/>
      <c r="R104" s="103"/>
      <c r="S104" s="103">
        <f t="shared" si="3"/>
        <v>0</v>
      </c>
      <c r="U104" s="107" t="str">
        <f t="shared" si="4"/>
        <v>0</v>
      </c>
    </row>
    <row r="105" ht="15.75" customHeight="1">
      <c r="A105" s="145"/>
      <c r="B105" s="95"/>
      <c r="C105" s="97"/>
      <c r="D105" s="97"/>
      <c r="E105" s="148"/>
      <c r="F105" s="148"/>
      <c r="G105" s="97"/>
      <c r="H105" s="148"/>
      <c r="I105" s="99"/>
      <c r="J105" s="100"/>
      <c r="K105" s="103"/>
      <c r="L105" s="146"/>
      <c r="M105" s="103"/>
      <c r="N105" s="103"/>
      <c r="O105" s="103">
        <f t="shared" si="1"/>
        <v>0</v>
      </c>
      <c r="P105" s="104">
        <f t="shared" si="2"/>
        <v>0</v>
      </c>
      <c r="Q105" s="147"/>
      <c r="R105" s="103"/>
      <c r="S105" s="103">
        <f t="shared" si="3"/>
        <v>0</v>
      </c>
      <c r="U105" s="107" t="str">
        <f t="shared" si="4"/>
        <v>0</v>
      </c>
    </row>
    <row r="106" ht="15.75" customHeight="1">
      <c r="A106" s="145"/>
      <c r="B106" s="95"/>
      <c r="C106" s="97"/>
      <c r="D106" s="97"/>
      <c r="E106" s="148"/>
      <c r="F106" s="148"/>
      <c r="G106" s="97"/>
      <c r="H106" s="148"/>
      <c r="I106" s="99"/>
      <c r="J106" s="100"/>
      <c r="K106" s="103"/>
      <c r="L106" s="146"/>
      <c r="M106" s="103"/>
      <c r="N106" s="103"/>
      <c r="O106" s="103">
        <f t="shared" si="1"/>
        <v>0</v>
      </c>
      <c r="P106" s="104">
        <f t="shared" si="2"/>
        <v>0</v>
      </c>
      <c r="Q106" s="147"/>
      <c r="R106" s="103"/>
      <c r="S106" s="103">
        <f t="shared" si="3"/>
        <v>0</v>
      </c>
      <c r="U106" s="107" t="str">
        <f t="shared" si="4"/>
        <v>0</v>
      </c>
    </row>
    <row r="107" ht="15.75" customHeight="1">
      <c r="A107" s="145"/>
      <c r="B107" s="95"/>
      <c r="C107" s="97"/>
      <c r="D107" s="97"/>
      <c r="E107" s="148"/>
      <c r="F107" s="148"/>
      <c r="G107" s="97"/>
      <c r="H107" s="148"/>
      <c r="I107" s="99"/>
      <c r="J107" s="100"/>
      <c r="K107" s="103"/>
      <c r="L107" s="146"/>
      <c r="M107" s="103"/>
      <c r="N107" s="103"/>
      <c r="O107" s="103">
        <f t="shared" si="1"/>
        <v>0</v>
      </c>
      <c r="P107" s="104">
        <f t="shared" si="2"/>
        <v>0</v>
      </c>
      <c r="Q107" s="147"/>
      <c r="R107" s="103"/>
      <c r="S107" s="103">
        <f t="shared" si="3"/>
        <v>0</v>
      </c>
      <c r="U107" s="107" t="str">
        <f t="shared" si="4"/>
        <v>0</v>
      </c>
    </row>
    <row r="108" ht="15.75" customHeight="1">
      <c r="A108" s="145"/>
      <c r="B108" s="95"/>
      <c r="C108" s="97"/>
      <c r="D108" s="97"/>
      <c r="E108" s="148"/>
      <c r="F108" s="148"/>
      <c r="G108" s="97"/>
      <c r="H108" s="149"/>
      <c r="I108" s="99"/>
      <c r="J108" s="100"/>
      <c r="K108" s="103"/>
      <c r="L108" s="146"/>
      <c r="M108" s="103"/>
      <c r="N108" s="103"/>
      <c r="O108" s="103">
        <f t="shared" si="1"/>
        <v>0</v>
      </c>
      <c r="P108" s="104">
        <f t="shared" si="2"/>
        <v>0</v>
      </c>
      <c r="Q108" s="147"/>
      <c r="R108" s="103"/>
      <c r="S108" s="103">
        <f t="shared" si="3"/>
        <v>0</v>
      </c>
      <c r="U108" s="107" t="str">
        <f t="shared" si="4"/>
        <v>0</v>
      </c>
    </row>
    <row r="109" ht="15.75" customHeight="1">
      <c r="A109" s="145"/>
      <c r="B109" s="95"/>
      <c r="C109" s="97"/>
      <c r="D109" s="97"/>
      <c r="E109" s="148"/>
      <c r="F109" s="148"/>
      <c r="G109" s="97"/>
      <c r="H109" s="148"/>
      <c r="I109" s="99"/>
      <c r="J109" s="100"/>
      <c r="K109" s="103"/>
      <c r="L109" s="146"/>
      <c r="M109" s="103"/>
      <c r="N109" s="103"/>
      <c r="O109" s="103">
        <f t="shared" si="1"/>
        <v>0</v>
      </c>
      <c r="P109" s="104">
        <f t="shared" si="2"/>
        <v>0</v>
      </c>
      <c r="Q109" s="147"/>
      <c r="R109" s="103"/>
      <c r="S109" s="103">
        <f t="shared" si="3"/>
        <v>0</v>
      </c>
      <c r="U109" s="107" t="str">
        <f t="shared" si="4"/>
        <v>0</v>
      </c>
    </row>
    <row r="110" ht="15.75" customHeight="1">
      <c r="A110" s="145"/>
      <c r="B110" s="95"/>
      <c r="C110" s="97"/>
      <c r="D110" s="97"/>
      <c r="E110" s="148"/>
      <c r="F110" s="148"/>
      <c r="G110" s="97"/>
      <c r="H110" s="148"/>
      <c r="I110" s="99"/>
      <c r="J110" s="100"/>
      <c r="K110" s="103"/>
      <c r="L110" s="146"/>
      <c r="M110" s="103"/>
      <c r="N110" s="103"/>
      <c r="O110" s="103">
        <f t="shared" si="1"/>
        <v>0</v>
      </c>
      <c r="P110" s="104">
        <f t="shared" si="2"/>
        <v>0</v>
      </c>
      <c r="Q110" s="147"/>
      <c r="R110" s="103"/>
      <c r="S110" s="103">
        <f t="shared" si="3"/>
        <v>0</v>
      </c>
      <c r="U110" s="107" t="str">
        <f t="shared" si="4"/>
        <v>0</v>
      </c>
    </row>
    <row r="111" ht="15.75" customHeight="1">
      <c r="A111" s="145"/>
      <c r="B111" s="95"/>
      <c r="C111" s="97"/>
      <c r="D111" s="97"/>
      <c r="E111" s="148"/>
      <c r="F111" s="148"/>
      <c r="G111" s="97"/>
      <c r="H111" s="148"/>
      <c r="I111" s="99"/>
      <c r="J111" s="100"/>
      <c r="K111" s="103"/>
      <c r="L111" s="146"/>
      <c r="M111" s="103"/>
      <c r="N111" s="103"/>
      <c r="O111" s="103">
        <f t="shared" si="1"/>
        <v>0</v>
      </c>
      <c r="P111" s="104">
        <f t="shared" si="2"/>
        <v>0</v>
      </c>
      <c r="Q111" s="147"/>
      <c r="R111" s="103"/>
      <c r="S111" s="103">
        <f t="shared" si="3"/>
        <v>0</v>
      </c>
      <c r="U111" s="107" t="str">
        <f t="shared" si="4"/>
        <v>0</v>
      </c>
    </row>
    <row r="112" ht="15.75" customHeight="1">
      <c r="A112" s="145"/>
      <c r="B112" s="95"/>
      <c r="C112" s="97"/>
      <c r="D112" s="97"/>
      <c r="E112" s="148"/>
      <c r="F112" s="148"/>
      <c r="G112" s="97"/>
      <c r="H112" s="148"/>
      <c r="I112" s="99"/>
      <c r="J112" s="100"/>
      <c r="K112" s="103"/>
      <c r="L112" s="146"/>
      <c r="M112" s="103"/>
      <c r="N112" s="103"/>
      <c r="O112" s="103">
        <f t="shared" si="1"/>
        <v>0</v>
      </c>
      <c r="P112" s="104">
        <f t="shared" si="2"/>
        <v>0</v>
      </c>
      <c r="Q112" s="147"/>
      <c r="R112" s="103"/>
      <c r="S112" s="103">
        <f t="shared" si="3"/>
        <v>0</v>
      </c>
      <c r="U112" s="107" t="str">
        <f t="shared" si="4"/>
        <v>0</v>
      </c>
    </row>
    <row r="113" ht="15.75" customHeight="1">
      <c r="A113" s="145"/>
      <c r="B113" s="95"/>
      <c r="C113" s="97"/>
      <c r="D113" s="97"/>
      <c r="E113" s="148"/>
      <c r="F113" s="148"/>
      <c r="G113" s="97"/>
      <c r="H113" s="148"/>
      <c r="I113" s="99"/>
      <c r="J113" s="100"/>
      <c r="K113" s="103"/>
      <c r="L113" s="146"/>
      <c r="M113" s="103"/>
      <c r="N113" s="103"/>
      <c r="O113" s="103">
        <f t="shared" si="1"/>
        <v>0</v>
      </c>
      <c r="P113" s="104">
        <f t="shared" si="2"/>
        <v>0</v>
      </c>
      <c r="Q113" s="147"/>
      <c r="R113" s="103"/>
      <c r="S113" s="103">
        <f t="shared" si="3"/>
        <v>0</v>
      </c>
      <c r="U113" s="107" t="str">
        <f t="shared" si="4"/>
        <v>0</v>
      </c>
    </row>
    <row r="114" ht="15.75" customHeight="1">
      <c r="A114" s="145"/>
      <c r="B114" s="95"/>
      <c r="C114" s="97"/>
      <c r="D114" s="97"/>
      <c r="E114" s="148"/>
      <c r="F114" s="148"/>
      <c r="G114" s="97"/>
      <c r="H114" s="148"/>
      <c r="I114" s="99"/>
      <c r="J114" s="100"/>
      <c r="K114" s="103"/>
      <c r="L114" s="146"/>
      <c r="M114" s="103"/>
      <c r="N114" s="103"/>
      <c r="O114" s="103">
        <f t="shared" si="1"/>
        <v>0</v>
      </c>
      <c r="P114" s="104">
        <f t="shared" si="2"/>
        <v>0</v>
      </c>
      <c r="Q114" s="147"/>
      <c r="R114" s="103"/>
      <c r="S114" s="103">
        <f t="shared" si="3"/>
        <v>0</v>
      </c>
      <c r="U114" s="107" t="str">
        <f t="shared" si="4"/>
        <v>0</v>
      </c>
    </row>
    <row r="115" ht="15.75" customHeight="1">
      <c r="A115" s="145"/>
      <c r="B115" s="95"/>
      <c r="C115" s="97"/>
      <c r="D115" s="97"/>
      <c r="E115" s="148"/>
      <c r="F115" s="148"/>
      <c r="G115" s="97"/>
      <c r="H115" s="148"/>
      <c r="I115" s="99"/>
      <c r="J115" s="100"/>
      <c r="K115" s="103"/>
      <c r="L115" s="146"/>
      <c r="M115" s="103"/>
      <c r="N115" s="103"/>
      <c r="O115" s="103">
        <f t="shared" si="1"/>
        <v>0</v>
      </c>
      <c r="P115" s="104">
        <f t="shared" si="2"/>
        <v>0</v>
      </c>
      <c r="Q115" s="147"/>
      <c r="R115" s="103"/>
      <c r="S115" s="103">
        <f t="shared" si="3"/>
        <v>0</v>
      </c>
      <c r="U115" s="107" t="str">
        <f t="shared" si="4"/>
        <v>0</v>
      </c>
    </row>
    <row r="116" ht="15.75" customHeight="1">
      <c r="A116" s="145"/>
      <c r="B116" s="95"/>
      <c r="C116" s="97"/>
      <c r="D116" s="97"/>
      <c r="E116" s="148"/>
      <c r="F116" s="148"/>
      <c r="G116" s="97"/>
      <c r="H116" s="148"/>
      <c r="I116" s="99"/>
      <c r="J116" s="100"/>
      <c r="K116" s="103"/>
      <c r="L116" s="146"/>
      <c r="M116" s="103"/>
      <c r="N116" s="103"/>
      <c r="O116" s="103">
        <f t="shared" si="1"/>
        <v>0</v>
      </c>
      <c r="P116" s="104">
        <f t="shared" si="2"/>
        <v>0</v>
      </c>
      <c r="Q116" s="147"/>
      <c r="R116" s="103"/>
      <c r="S116" s="103">
        <f t="shared" si="3"/>
        <v>0</v>
      </c>
      <c r="U116" s="107" t="str">
        <f t="shared" si="4"/>
        <v>0</v>
      </c>
    </row>
    <row r="117" ht="15.75" customHeight="1">
      <c r="A117" s="145"/>
      <c r="B117" s="95"/>
      <c r="C117" s="97"/>
      <c r="D117" s="97"/>
      <c r="E117" s="148"/>
      <c r="F117" s="148"/>
      <c r="G117" s="97"/>
      <c r="H117" s="148"/>
      <c r="I117" s="99"/>
      <c r="J117" s="100"/>
      <c r="K117" s="103"/>
      <c r="L117" s="146"/>
      <c r="M117" s="103"/>
      <c r="N117" s="103"/>
      <c r="O117" s="103">
        <f t="shared" si="1"/>
        <v>0</v>
      </c>
      <c r="P117" s="104">
        <f t="shared" si="2"/>
        <v>0</v>
      </c>
      <c r="Q117" s="147"/>
      <c r="R117" s="103"/>
      <c r="S117" s="103">
        <f t="shared" si="3"/>
        <v>0</v>
      </c>
      <c r="U117" s="107" t="str">
        <f t="shared" si="4"/>
        <v>0</v>
      </c>
    </row>
    <row r="118" ht="15.75" customHeight="1">
      <c r="A118" s="145"/>
      <c r="B118" s="95"/>
      <c r="C118" s="97"/>
      <c r="D118" s="97"/>
      <c r="E118" s="148"/>
      <c r="F118" s="148"/>
      <c r="G118" s="97"/>
      <c r="H118" s="149"/>
      <c r="I118" s="99"/>
      <c r="J118" s="100"/>
      <c r="K118" s="103"/>
      <c r="L118" s="146"/>
      <c r="M118" s="103"/>
      <c r="N118" s="103"/>
      <c r="O118" s="103">
        <f t="shared" si="1"/>
        <v>0</v>
      </c>
      <c r="P118" s="104">
        <f t="shared" si="2"/>
        <v>0</v>
      </c>
      <c r="Q118" s="147"/>
      <c r="R118" s="103"/>
      <c r="S118" s="103">
        <f t="shared" si="3"/>
        <v>0</v>
      </c>
      <c r="U118" s="107" t="str">
        <f t="shared" si="4"/>
        <v>0</v>
      </c>
    </row>
    <row r="119" ht="15.75" customHeight="1">
      <c r="A119" s="145"/>
      <c r="B119" s="95"/>
      <c r="C119" s="97"/>
      <c r="D119" s="97"/>
      <c r="E119" s="148"/>
      <c r="F119" s="148"/>
      <c r="G119" s="97"/>
      <c r="H119" s="148"/>
      <c r="I119" s="99"/>
      <c r="J119" s="100"/>
      <c r="K119" s="103"/>
      <c r="L119" s="146"/>
      <c r="M119" s="103"/>
      <c r="N119" s="103"/>
      <c r="O119" s="103">
        <f t="shared" si="1"/>
        <v>0</v>
      </c>
      <c r="P119" s="104">
        <f t="shared" si="2"/>
        <v>0</v>
      </c>
      <c r="Q119" s="147"/>
      <c r="R119" s="103"/>
      <c r="S119" s="103">
        <f t="shared" si="3"/>
        <v>0</v>
      </c>
      <c r="U119" s="107" t="str">
        <f t="shared" si="4"/>
        <v>0</v>
      </c>
    </row>
    <row r="120" ht="15.75" customHeight="1">
      <c r="A120" s="145"/>
      <c r="B120" s="95"/>
      <c r="C120" s="97"/>
      <c r="D120" s="97"/>
      <c r="E120" s="148"/>
      <c r="F120" s="148"/>
      <c r="G120" s="97"/>
      <c r="H120" s="148"/>
      <c r="I120" s="99"/>
      <c r="J120" s="100"/>
      <c r="K120" s="103"/>
      <c r="L120" s="146"/>
      <c r="M120" s="103"/>
      <c r="N120" s="103"/>
      <c r="O120" s="103">
        <f t="shared" si="1"/>
        <v>0</v>
      </c>
      <c r="P120" s="104">
        <f t="shared" si="2"/>
        <v>0</v>
      </c>
      <c r="Q120" s="147"/>
      <c r="R120" s="103"/>
      <c r="S120" s="103">
        <f t="shared" si="3"/>
        <v>0</v>
      </c>
      <c r="U120" s="107" t="str">
        <f t="shared" si="4"/>
        <v>0</v>
      </c>
    </row>
    <row r="121" ht="15.75" customHeight="1">
      <c r="A121" s="145"/>
      <c r="B121" s="95"/>
      <c r="C121" s="97"/>
      <c r="D121" s="97"/>
      <c r="E121" s="148"/>
      <c r="F121" s="148"/>
      <c r="G121" s="97"/>
      <c r="H121" s="148"/>
      <c r="I121" s="99"/>
      <c r="J121" s="100"/>
      <c r="K121" s="103"/>
      <c r="L121" s="146"/>
      <c r="M121" s="103"/>
      <c r="N121" s="103"/>
      <c r="O121" s="103">
        <f t="shared" si="1"/>
        <v>0</v>
      </c>
      <c r="P121" s="104">
        <f t="shared" si="2"/>
        <v>0</v>
      </c>
      <c r="Q121" s="147"/>
      <c r="R121" s="103"/>
      <c r="S121" s="103">
        <f t="shared" si="3"/>
        <v>0</v>
      </c>
      <c r="U121" s="107" t="str">
        <f t="shared" si="4"/>
        <v>0</v>
      </c>
    </row>
    <row r="122" ht="15.75" customHeight="1">
      <c r="A122" s="145"/>
      <c r="B122" s="95"/>
      <c r="C122" s="97"/>
      <c r="D122" s="97"/>
      <c r="E122" s="148"/>
      <c r="F122" s="148"/>
      <c r="G122" s="97"/>
      <c r="H122" s="148"/>
      <c r="I122" s="99"/>
      <c r="J122" s="100"/>
      <c r="K122" s="103"/>
      <c r="L122" s="146"/>
      <c r="M122" s="103"/>
      <c r="N122" s="103"/>
      <c r="O122" s="103">
        <f t="shared" si="1"/>
        <v>0</v>
      </c>
      <c r="P122" s="104">
        <f t="shared" si="2"/>
        <v>0</v>
      </c>
      <c r="Q122" s="147"/>
      <c r="R122" s="103"/>
      <c r="S122" s="103">
        <f t="shared" si="3"/>
        <v>0</v>
      </c>
      <c r="U122" s="107" t="str">
        <f t="shared" si="4"/>
        <v>0</v>
      </c>
    </row>
    <row r="123" ht="15.75" customHeight="1">
      <c r="A123" s="145"/>
      <c r="B123" s="95"/>
      <c r="C123" s="97"/>
      <c r="D123" s="97"/>
      <c r="E123" s="148"/>
      <c r="F123" s="148"/>
      <c r="G123" s="97"/>
      <c r="H123" s="148"/>
      <c r="I123" s="99"/>
      <c r="J123" s="100"/>
      <c r="K123" s="103"/>
      <c r="L123" s="146"/>
      <c r="M123" s="103"/>
      <c r="N123" s="103"/>
      <c r="O123" s="103">
        <f t="shared" si="1"/>
        <v>0</v>
      </c>
      <c r="P123" s="104">
        <f t="shared" si="2"/>
        <v>0</v>
      </c>
      <c r="Q123" s="147"/>
      <c r="R123" s="103"/>
      <c r="S123" s="103">
        <f t="shared" si="3"/>
        <v>0</v>
      </c>
      <c r="U123" s="107" t="str">
        <f t="shared" si="4"/>
        <v>0</v>
      </c>
    </row>
    <row r="124" ht="15.75" customHeight="1">
      <c r="A124" s="145"/>
      <c r="B124" s="95"/>
      <c r="C124" s="97"/>
      <c r="D124" s="97"/>
      <c r="E124" s="148"/>
      <c r="F124" s="148"/>
      <c r="G124" s="97"/>
      <c r="H124" s="148"/>
      <c r="I124" s="99"/>
      <c r="J124" s="100"/>
      <c r="K124" s="103"/>
      <c r="L124" s="146"/>
      <c r="M124" s="103"/>
      <c r="N124" s="103"/>
      <c r="O124" s="103">
        <f t="shared" si="1"/>
        <v>0</v>
      </c>
      <c r="P124" s="104">
        <f t="shared" si="2"/>
        <v>0</v>
      </c>
      <c r="Q124" s="147"/>
      <c r="R124" s="103"/>
      <c r="S124" s="103">
        <f t="shared" si="3"/>
        <v>0</v>
      </c>
      <c r="U124" s="107" t="str">
        <f t="shared" si="4"/>
        <v>0</v>
      </c>
    </row>
    <row r="125" ht="15.75" customHeight="1">
      <c r="A125" s="145"/>
      <c r="B125" s="95"/>
      <c r="C125" s="97"/>
      <c r="D125" s="97"/>
      <c r="E125" s="148"/>
      <c r="F125" s="148"/>
      <c r="G125" s="97"/>
      <c r="H125" s="148"/>
      <c r="I125" s="99"/>
      <c r="J125" s="100"/>
      <c r="K125" s="103"/>
      <c r="L125" s="146"/>
      <c r="M125" s="103"/>
      <c r="N125" s="103"/>
      <c r="O125" s="103">
        <f t="shared" si="1"/>
        <v>0</v>
      </c>
      <c r="P125" s="104">
        <f t="shared" si="2"/>
        <v>0</v>
      </c>
      <c r="Q125" s="147"/>
      <c r="R125" s="103"/>
      <c r="S125" s="103">
        <f t="shared" si="3"/>
        <v>0</v>
      </c>
      <c r="U125" s="107" t="str">
        <f t="shared" si="4"/>
        <v>0</v>
      </c>
    </row>
    <row r="126" ht="15.75" customHeight="1">
      <c r="A126" s="145"/>
      <c r="B126" s="95"/>
      <c r="C126" s="97"/>
      <c r="D126" s="97"/>
      <c r="E126" s="148"/>
      <c r="F126" s="148"/>
      <c r="G126" s="97"/>
      <c r="H126" s="149"/>
      <c r="I126" s="99"/>
      <c r="J126" s="100"/>
      <c r="K126" s="103"/>
      <c r="L126" s="146"/>
      <c r="M126" s="103"/>
      <c r="N126" s="103"/>
      <c r="O126" s="103">
        <f t="shared" si="1"/>
        <v>0</v>
      </c>
      <c r="P126" s="104">
        <f t="shared" si="2"/>
        <v>0</v>
      </c>
      <c r="Q126" s="147"/>
      <c r="R126" s="103"/>
      <c r="S126" s="103">
        <f t="shared" si="3"/>
        <v>0</v>
      </c>
      <c r="U126" s="107" t="str">
        <f t="shared" si="4"/>
        <v>0</v>
      </c>
    </row>
    <row r="127" ht="15.75" customHeight="1">
      <c r="A127" s="145"/>
      <c r="B127" s="95"/>
      <c r="C127" s="97"/>
      <c r="D127" s="97"/>
      <c r="E127" s="148"/>
      <c r="F127" s="148"/>
      <c r="G127" s="97"/>
      <c r="H127" s="148"/>
      <c r="I127" s="99"/>
      <c r="J127" s="100"/>
      <c r="K127" s="103"/>
      <c r="L127" s="146"/>
      <c r="M127" s="103"/>
      <c r="N127" s="103"/>
      <c r="O127" s="103">
        <f t="shared" si="1"/>
        <v>0</v>
      </c>
      <c r="P127" s="104">
        <f t="shared" si="2"/>
        <v>0</v>
      </c>
      <c r="Q127" s="147"/>
      <c r="R127" s="103"/>
      <c r="S127" s="103">
        <f t="shared" si="3"/>
        <v>0</v>
      </c>
      <c r="U127" s="107" t="str">
        <f t="shared" si="4"/>
        <v>0</v>
      </c>
    </row>
    <row r="128" ht="15.75" customHeight="1">
      <c r="A128" s="145"/>
      <c r="B128" s="95"/>
      <c r="C128" s="97"/>
      <c r="D128" s="97"/>
      <c r="E128" s="148"/>
      <c r="F128" s="148"/>
      <c r="G128" s="97"/>
      <c r="H128" s="148"/>
      <c r="I128" s="99"/>
      <c r="J128" s="100"/>
      <c r="K128" s="103"/>
      <c r="L128" s="146"/>
      <c r="M128" s="103"/>
      <c r="N128" s="103"/>
      <c r="O128" s="103">
        <f t="shared" si="1"/>
        <v>0</v>
      </c>
      <c r="P128" s="104">
        <f t="shared" si="2"/>
        <v>0</v>
      </c>
      <c r="Q128" s="147"/>
      <c r="R128" s="103"/>
      <c r="S128" s="103">
        <f t="shared" si="3"/>
        <v>0</v>
      </c>
      <c r="U128" s="107" t="str">
        <f t="shared" si="4"/>
        <v>0</v>
      </c>
    </row>
    <row r="129" ht="15.75" customHeight="1">
      <c r="A129" s="145"/>
      <c r="B129" s="95"/>
      <c r="C129" s="97"/>
      <c r="D129" s="97"/>
      <c r="E129" s="148"/>
      <c r="F129" s="148"/>
      <c r="G129" s="97"/>
      <c r="H129" s="148"/>
      <c r="I129" s="99"/>
      <c r="J129" s="100"/>
      <c r="K129" s="103"/>
      <c r="L129" s="146"/>
      <c r="M129" s="103"/>
      <c r="N129" s="103"/>
      <c r="O129" s="103">
        <f t="shared" si="1"/>
        <v>0</v>
      </c>
      <c r="P129" s="104">
        <f t="shared" si="2"/>
        <v>0</v>
      </c>
      <c r="Q129" s="147"/>
      <c r="R129" s="103"/>
      <c r="S129" s="103">
        <f t="shared" si="3"/>
        <v>0</v>
      </c>
      <c r="U129" s="107" t="str">
        <f t="shared" si="4"/>
        <v>0</v>
      </c>
    </row>
    <row r="130" ht="15.75" customHeight="1">
      <c r="A130" s="145"/>
      <c r="B130" s="95"/>
      <c r="C130" s="97"/>
      <c r="D130" s="97"/>
      <c r="E130" s="148"/>
      <c r="F130" s="148"/>
      <c r="G130" s="97"/>
      <c r="H130" s="148"/>
      <c r="I130" s="99"/>
      <c r="J130" s="100"/>
      <c r="K130" s="103"/>
      <c r="L130" s="146"/>
      <c r="M130" s="103"/>
      <c r="N130" s="103"/>
      <c r="O130" s="103">
        <f t="shared" si="1"/>
        <v>0</v>
      </c>
      <c r="P130" s="104">
        <f t="shared" si="2"/>
        <v>0</v>
      </c>
      <c r="Q130" s="147"/>
      <c r="R130" s="103"/>
      <c r="S130" s="103">
        <f t="shared" si="3"/>
        <v>0</v>
      </c>
      <c r="U130" s="107" t="str">
        <f t="shared" si="4"/>
        <v>0</v>
      </c>
    </row>
    <row r="131" ht="15.75" customHeight="1">
      <c r="A131" s="145"/>
      <c r="B131" s="95"/>
      <c r="C131" s="97"/>
      <c r="D131" s="97"/>
      <c r="E131" s="148"/>
      <c r="F131" s="148"/>
      <c r="G131" s="97"/>
      <c r="H131" s="148"/>
      <c r="I131" s="99"/>
      <c r="J131" s="100"/>
      <c r="K131" s="103"/>
      <c r="L131" s="146"/>
      <c r="M131" s="103"/>
      <c r="N131" s="103"/>
      <c r="O131" s="103">
        <f t="shared" si="1"/>
        <v>0</v>
      </c>
      <c r="P131" s="104">
        <f t="shared" si="2"/>
        <v>0</v>
      </c>
      <c r="Q131" s="147"/>
      <c r="R131" s="103"/>
      <c r="S131" s="103">
        <f t="shared" si="3"/>
        <v>0</v>
      </c>
      <c r="U131" s="107" t="str">
        <f t="shared" si="4"/>
        <v>0</v>
      </c>
    </row>
    <row r="132" ht="15.75" customHeight="1">
      <c r="A132" s="145"/>
      <c r="B132" s="95"/>
      <c r="C132" s="97"/>
      <c r="D132" s="97"/>
      <c r="E132" s="148"/>
      <c r="F132" s="148"/>
      <c r="G132" s="97"/>
      <c r="H132" s="148"/>
      <c r="I132" s="99"/>
      <c r="J132" s="100"/>
      <c r="K132" s="103"/>
      <c r="L132" s="146"/>
      <c r="M132" s="103"/>
      <c r="N132" s="103"/>
      <c r="O132" s="103">
        <f t="shared" si="1"/>
        <v>0</v>
      </c>
      <c r="P132" s="104">
        <f t="shared" si="2"/>
        <v>0</v>
      </c>
      <c r="Q132" s="147"/>
      <c r="R132" s="103"/>
      <c r="S132" s="103">
        <f t="shared" si="3"/>
        <v>0</v>
      </c>
      <c r="U132" s="107" t="str">
        <f t="shared" si="4"/>
        <v>0</v>
      </c>
    </row>
    <row r="133" ht="15.75" customHeight="1">
      <c r="A133" s="145"/>
      <c r="B133" s="95"/>
      <c r="C133" s="97"/>
      <c r="D133" s="97"/>
      <c r="E133" s="148"/>
      <c r="F133" s="148"/>
      <c r="G133" s="97"/>
      <c r="H133" s="148"/>
      <c r="I133" s="99"/>
      <c r="J133" s="100"/>
      <c r="K133" s="103"/>
      <c r="L133" s="146"/>
      <c r="M133" s="103"/>
      <c r="N133" s="103"/>
      <c r="O133" s="103">
        <f t="shared" si="1"/>
        <v>0</v>
      </c>
      <c r="P133" s="104">
        <f t="shared" si="2"/>
        <v>0</v>
      </c>
      <c r="Q133" s="147"/>
      <c r="R133" s="103"/>
      <c r="S133" s="103">
        <f t="shared" si="3"/>
        <v>0</v>
      </c>
      <c r="U133" s="107" t="str">
        <f t="shared" si="4"/>
        <v>0</v>
      </c>
    </row>
    <row r="134" ht="15.75" customHeight="1">
      <c r="A134" s="273"/>
      <c r="B134" s="274"/>
      <c r="C134" s="275"/>
      <c r="D134" s="275"/>
      <c r="E134" s="276"/>
      <c r="F134" s="276"/>
      <c r="G134" s="275"/>
      <c r="H134" s="149"/>
      <c r="I134" s="277"/>
      <c r="J134" s="278"/>
      <c r="K134" s="103"/>
      <c r="L134" s="146"/>
      <c r="M134" s="103"/>
      <c r="N134" s="103"/>
      <c r="O134" s="103">
        <f t="shared" si="1"/>
        <v>0</v>
      </c>
      <c r="P134" s="104">
        <f t="shared" si="2"/>
        <v>0</v>
      </c>
      <c r="Q134" s="147"/>
      <c r="R134" s="103"/>
      <c r="S134" s="103">
        <f t="shared" si="3"/>
        <v>0</v>
      </c>
      <c r="U134" s="107" t="str">
        <f t="shared" si="4"/>
        <v>0</v>
      </c>
    </row>
    <row r="135" ht="15.75" customHeight="1">
      <c r="A135" s="279"/>
      <c r="B135" s="280"/>
      <c r="C135" s="280"/>
      <c r="D135" s="280"/>
      <c r="E135" s="281"/>
      <c r="F135" s="281"/>
      <c r="G135" s="280"/>
      <c r="H135" s="282"/>
      <c r="I135" s="283"/>
      <c r="J135" s="280"/>
      <c r="K135" s="103"/>
      <c r="L135" s="146"/>
      <c r="M135" s="103"/>
      <c r="N135" s="103"/>
      <c r="O135" s="103">
        <f t="shared" si="1"/>
        <v>0</v>
      </c>
      <c r="P135" s="104">
        <f t="shared" si="2"/>
        <v>0</v>
      </c>
      <c r="Q135" s="147"/>
      <c r="R135" s="103"/>
      <c r="S135" s="103">
        <f t="shared" si="3"/>
        <v>0</v>
      </c>
      <c r="U135" s="107" t="str">
        <f t="shared" si="4"/>
        <v>0</v>
      </c>
    </row>
    <row r="136" ht="15.75" customHeight="1">
      <c r="A136" s="279"/>
      <c r="B136" s="280"/>
      <c r="C136" s="280"/>
      <c r="D136" s="280"/>
      <c r="E136" s="281"/>
      <c r="F136" s="281"/>
      <c r="G136" s="280"/>
      <c r="H136" s="282"/>
      <c r="I136" s="283"/>
      <c r="J136" s="280"/>
      <c r="K136" s="103"/>
      <c r="L136" s="146"/>
      <c r="M136" s="103"/>
      <c r="N136" s="103"/>
      <c r="O136" s="103">
        <f t="shared" si="1"/>
        <v>0</v>
      </c>
      <c r="P136" s="104">
        <f t="shared" si="2"/>
        <v>0</v>
      </c>
      <c r="Q136" s="147"/>
      <c r="R136" s="103"/>
      <c r="S136" s="103">
        <f t="shared" si="3"/>
        <v>0</v>
      </c>
      <c r="U136" s="107" t="str">
        <f t="shared" si="4"/>
        <v>0</v>
      </c>
    </row>
    <row r="137" ht="15.75" customHeight="1">
      <c r="A137" s="279"/>
      <c r="B137" s="280"/>
      <c r="C137" s="280"/>
      <c r="D137" s="280"/>
      <c r="E137" s="281"/>
      <c r="F137" s="281"/>
      <c r="G137" s="280"/>
      <c r="H137" s="282"/>
      <c r="I137" s="283"/>
      <c r="J137" s="280"/>
      <c r="K137" s="103"/>
      <c r="L137" s="146"/>
      <c r="M137" s="103"/>
      <c r="N137" s="103"/>
      <c r="O137" s="103">
        <f t="shared" si="1"/>
        <v>0</v>
      </c>
      <c r="P137" s="104">
        <f t="shared" si="2"/>
        <v>0</v>
      </c>
      <c r="Q137" s="147"/>
      <c r="R137" s="103"/>
      <c r="S137" s="103">
        <f t="shared" si="3"/>
        <v>0</v>
      </c>
      <c r="U137" s="107" t="str">
        <f t="shared" si="4"/>
        <v>0</v>
      </c>
    </row>
    <row r="138" ht="15.75" customHeight="1">
      <c r="A138" s="279"/>
      <c r="B138" s="280"/>
      <c r="C138" s="280"/>
      <c r="D138" s="280"/>
      <c r="E138" s="281"/>
      <c r="F138" s="281"/>
      <c r="G138" s="280"/>
      <c r="H138" s="282"/>
      <c r="I138" s="283"/>
      <c r="J138" s="280"/>
      <c r="K138" s="103"/>
      <c r="L138" s="146"/>
      <c r="M138" s="103"/>
      <c r="N138" s="103"/>
      <c r="O138" s="103">
        <f t="shared" si="1"/>
        <v>0</v>
      </c>
      <c r="P138" s="104">
        <f t="shared" si="2"/>
        <v>0</v>
      </c>
      <c r="Q138" s="147"/>
      <c r="R138" s="103"/>
      <c r="S138" s="103">
        <f t="shared" si="3"/>
        <v>0</v>
      </c>
      <c r="U138" s="107" t="str">
        <f t="shared" si="4"/>
        <v>0</v>
      </c>
    </row>
    <row r="139" ht="15.75" customHeight="1">
      <c r="A139" s="279"/>
      <c r="B139" s="280"/>
      <c r="C139" s="280"/>
      <c r="D139" s="280"/>
      <c r="E139" s="281"/>
      <c r="F139" s="281"/>
      <c r="G139" s="280"/>
      <c r="H139" s="282"/>
      <c r="I139" s="283"/>
      <c r="J139" s="280"/>
      <c r="K139" s="103"/>
      <c r="L139" s="146"/>
      <c r="M139" s="103"/>
      <c r="N139" s="103"/>
      <c r="O139" s="103">
        <f t="shared" si="1"/>
        <v>0</v>
      </c>
      <c r="P139" s="104">
        <f t="shared" si="2"/>
        <v>0</v>
      </c>
      <c r="Q139" s="147"/>
      <c r="R139" s="103"/>
      <c r="S139" s="103">
        <f t="shared" si="3"/>
        <v>0</v>
      </c>
      <c r="U139" s="107" t="str">
        <f t="shared" si="4"/>
        <v>0</v>
      </c>
    </row>
    <row r="140" ht="15.75" customHeight="1">
      <c r="A140" s="279"/>
      <c r="B140" s="280"/>
      <c r="C140" s="280"/>
      <c r="D140" s="280"/>
      <c r="E140" s="281"/>
      <c r="F140" s="281"/>
      <c r="G140" s="280"/>
      <c r="H140" s="282"/>
      <c r="I140" s="283"/>
      <c r="J140" s="280"/>
      <c r="K140" s="103"/>
      <c r="L140" s="146"/>
      <c r="M140" s="103"/>
      <c r="N140" s="103"/>
      <c r="O140" s="103">
        <f t="shared" si="1"/>
        <v>0</v>
      </c>
      <c r="P140" s="104">
        <f t="shared" si="2"/>
        <v>0</v>
      </c>
      <c r="Q140" s="147"/>
      <c r="R140" s="103"/>
      <c r="S140" s="103">
        <f t="shared" si="3"/>
        <v>0</v>
      </c>
      <c r="U140" s="107" t="str">
        <f t="shared" si="4"/>
        <v>0</v>
      </c>
    </row>
    <row r="141" ht="15.75" customHeight="1">
      <c r="A141" s="279"/>
      <c r="B141" s="280"/>
      <c r="C141" s="280"/>
      <c r="D141" s="280"/>
      <c r="E141" s="281"/>
      <c r="F141" s="281"/>
      <c r="G141" s="280"/>
      <c r="H141" s="282"/>
      <c r="I141" s="283"/>
      <c r="J141" s="280"/>
      <c r="K141" s="103"/>
      <c r="L141" s="146"/>
      <c r="M141" s="103"/>
      <c r="N141" s="103"/>
      <c r="O141" s="103">
        <f t="shared" si="1"/>
        <v>0</v>
      </c>
      <c r="P141" s="104">
        <f t="shared" si="2"/>
        <v>0</v>
      </c>
      <c r="Q141" s="147"/>
      <c r="R141" s="103"/>
      <c r="S141" s="103">
        <f t="shared" si="3"/>
        <v>0</v>
      </c>
      <c r="U141" s="107" t="str">
        <f t="shared" si="4"/>
        <v>0</v>
      </c>
    </row>
    <row r="142" ht="15.75" customHeight="1">
      <c r="A142" s="279"/>
      <c r="B142" s="280"/>
      <c r="C142" s="280"/>
      <c r="D142" s="280"/>
      <c r="E142" s="281"/>
      <c r="F142" s="281"/>
      <c r="G142" s="280"/>
      <c r="H142" s="282"/>
      <c r="I142" s="283"/>
      <c r="J142" s="280"/>
      <c r="K142" s="103"/>
      <c r="L142" s="146"/>
      <c r="M142" s="103"/>
      <c r="N142" s="103"/>
      <c r="O142" s="103">
        <f t="shared" si="1"/>
        <v>0</v>
      </c>
      <c r="P142" s="104">
        <f t="shared" si="2"/>
        <v>0</v>
      </c>
      <c r="Q142" s="147"/>
      <c r="R142" s="103"/>
      <c r="S142" s="103">
        <f t="shared" si="3"/>
        <v>0</v>
      </c>
      <c r="U142" s="107" t="str">
        <f t="shared" si="4"/>
        <v>0</v>
      </c>
    </row>
    <row r="143" ht="15.75" customHeight="1">
      <c r="A143" s="279"/>
      <c r="B143" s="280"/>
      <c r="C143" s="280"/>
      <c r="D143" s="280"/>
      <c r="E143" s="281"/>
      <c r="F143" s="281"/>
      <c r="G143" s="280"/>
      <c r="H143" s="282"/>
      <c r="I143" s="283"/>
      <c r="J143" s="280"/>
      <c r="K143" s="103"/>
      <c r="L143" s="146"/>
      <c r="M143" s="103"/>
      <c r="N143" s="103"/>
      <c r="O143" s="103">
        <f t="shared" si="1"/>
        <v>0</v>
      </c>
      <c r="P143" s="104">
        <f t="shared" si="2"/>
        <v>0</v>
      </c>
      <c r="Q143" s="147"/>
      <c r="R143" s="103"/>
      <c r="S143" s="103">
        <f t="shared" si="3"/>
        <v>0</v>
      </c>
      <c r="U143" s="107" t="str">
        <f t="shared" si="4"/>
        <v>0</v>
      </c>
    </row>
    <row r="144" ht="15.75" customHeight="1">
      <c r="A144" s="279"/>
      <c r="B144" s="280"/>
      <c r="C144" s="280"/>
      <c r="D144" s="280"/>
      <c r="E144" s="281"/>
      <c r="F144" s="281"/>
      <c r="G144" s="280"/>
      <c r="H144" s="282"/>
      <c r="I144" s="283"/>
      <c r="J144" s="280"/>
      <c r="K144" s="103"/>
      <c r="L144" s="146"/>
      <c r="M144" s="103"/>
      <c r="N144" s="103"/>
      <c r="O144" s="103">
        <f t="shared" si="1"/>
        <v>0</v>
      </c>
      <c r="P144" s="104">
        <f t="shared" si="2"/>
        <v>0</v>
      </c>
      <c r="Q144" s="147"/>
      <c r="R144" s="103"/>
      <c r="S144" s="103">
        <f t="shared" si="3"/>
        <v>0</v>
      </c>
      <c r="U144" s="107" t="str">
        <f t="shared" si="4"/>
        <v>0</v>
      </c>
    </row>
    <row r="145" ht="15.75" customHeight="1">
      <c r="A145" s="279"/>
      <c r="B145" s="280"/>
      <c r="C145" s="280"/>
      <c r="D145" s="280"/>
      <c r="E145" s="281"/>
      <c r="F145" s="281"/>
      <c r="G145" s="280"/>
      <c r="H145" s="282"/>
      <c r="I145" s="283"/>
      <c r="J145" s="280"/>
      <c r="K145" s="103"/>
      <c r="L145" s="146"/>
      <c r="M145" s="103"/>
      <c r="N145" s="103"/>
      <c r="O145" s="103">
        <f t="shared" si="1"/>
        <v>0</v>
      </c>
      <c r="P145" s="104">
        <f t="shared" si="2"/>
        <v>0</v>
      </c>
      <c r="Q145" s="147"/>
      <c r="R145" s="103"/>
      <c r="S145" s="103">
        <f t="shared" si="3"/>
        <v>0</v>
      </c>
      <c r="U145" s="107" t="str">
        <f t="shared" si="4"/>
        <v>0</v>
      </c>
    </row>
    <row r="146" ht="15.75" customHeight="1">
      <c r="A146" s="279"/>
      <c r="B146" s="280"/>
      <c r="C146" s="280"/>
      <c r="D146" s="280"/>
      <c r="E146" s="281"/>
      <c r="F146" s="281"/>
      <c r="G146" s="280"/>
      <c r="H146" s="282"/>
      <c r="I146" s="283"/>
      <c r="J146" s="280"/>
      <c r="K146" s="103"/>
      <c r="L146" s="146"/>
      <c r="M146" s="103"/>
      <c r="N146" s="103"/>
      <c r="O146" s="103">
        <f t="shared" si="1"/>
        <v>0</v>
      </c>
      <c r="P146" s="104">
        <f t="shared" si="2"/>
        <v>0</v>
      </c>
      <c r="Q146" s="147"/>
      <c r="R146" s="103"/>
      <c r="S146" s="103">
        <f t="shared" si="3"/>
        <v>0</v>
      </c>
      <c r="U146" s="107" t="str">
        <f t="shared" si="4"/>
        <v>0</v>
      </c>
    </row>
    <row r="147" ht="15.75" customHeight="1">
      <c r="A147" s="279"/>
      <c r="B147" s="280"/>
      <c r="C147" s="280"/>
      <c r="D147" s="280"/>
      <c r="E147" s="281"/>
      <c r="F147" s="281"/>
      <c r="G147" s="280"/>
      <c r="H147" s="282"/>
      <c r="I147" s="283"/>
      <c r="J147" s="280"/>
      <c r="K147" s="103"/>
      <c r="L147" s="146"/>
      <c r="M147" s="103"/>
      <c r="N147" s="103"/>
      <c r="O147" s="103">
        <f t="shared" si="1"/>
        <v>0</v>
      </c>
      <c r="P147" s="104">
        <f t="shared" si="2"/>
        <v>0</v>
      </c>
      <c r="Q147" s="147"/>
      <c r="R147" s="103"/>
      <c r="S147" s="103">
        <f t="shared" si="3"/>
        <v>0</v>
      </c>
      <c r="U147" s="107" t="str">
        <f t="shared" si="4"/>
        <v>0</v>
      </c>
    </row>
    <row r="148" ht="15.75" customHeight="1">
      <c r="A148" s="279"/>
      <c r="B148" s="280"/>
      <c r="C148" s="280"/>
      <c r="D148" s="280"/>
      <c r="E148" s="281"/>
      <c r="F148" s="281"/>
      <c r="G148" s="280"/>
      <c r="H148" s="282"/>
      <c r="I148" s="283"/>
      <c r="J148" s="280"/>
      <c r="K148" s="103"/>
      <c r="L148" s="146"/>
      <c r="M148" s="103"/>
      <c r="N148" s="103"/>
      <c r="O148" s="103">
        <f t="shared" si="1"/>
        <v>0</v>
      </c>
      <c r="P148" s="104">
        <f t="shared" si="2"/>
        <v>0</v>
      </c>
      <c r="Q148" s="147"/>
      <c r="R148" s="103"/>
      <c r="S148" s="103">
        <f t="shared" si="3"/>
        <v>0</v>
      </c>
      <c r="U148" s="107" t="str">
        <f t="shared" si="4"/>
        <v>0</v>
      </c>
    </row>
    <row r="149" ht="15.75" customHeight="1">
      <c r="A149" s="279"/>
      <c r="B149" s="280"/>
      <c r="C149" s="280"/>
      <c r="D149" s="280"/>
      <c r="E149" s="281"/>
      <c r="F149" s="281"/>
      <c r="G149" s="280"/>
      <c r="H149" s="282"/>
      <c r="I149" s="283"/>
      <c r="J149" s="280"/>
      <c r="K149" s="103"/>
      <c r="L149" s="146"/>
      <c r="M149" s="103"/>
      <c r="N149" s="103"/>
      <c r="O149" s="103">
        <f t="shared" si="1"/>
        <v>0</v>
      </c>
      <c r="P149" s="104">
        <f t="shared" si="2"/>
        <v>0</v>
      </c>
      <c r="Q149" s="147"/>
      <c r="R149" s="103"/>
      <c r="S149" s="103">
        <f t="shared" si="3"/>
        <v>0</v>
      </c>
      <c r="U149" s="107" t="str">
        <f t="shared" si="4"/>
        <v>0</v>
      </c>
    </row>
    <row r="150" ht="15.75" customHeight="1">
      <c r="A150" s="279"/>
      <c r="B150" s="280"/>
      <c r="C150" s="280"/>
      <c r="D150" s="280"/>
      <c r="E150" s="281"/>
      <c r="F150" s="281"/>
      <c r="G150" s="280"/>
      <c r="H150" s="282"/>
      <c r="I150" s="283"/>
      <c r="J150" s="280"/>
      <c r="K150" s="103"/>
      <c r="L150" s="146"/>
      <c r="M150" s="103"/>
      <c r="N150" s="103"/>
      <c r="O150" s="103">
        <f t="shared" si="1"/>
        <v>0</v>
      </c>
      <c r="P150" s="104">
        <f t="shared" si="2"/>
        <v>0</v>
      </c>
      <c r="Q150" s="147"/>
      <c r="R150" s="103"/>
      <c r="S150" s="103">
        <f t="shared" si="3"/>
        <v>0</v>
      </c>
      <c r="U150" s="107" t="str">
        <f t="shared" si="4"/>
        <v>0</v>
      </c>
    </row>
    <row r="151" ht="15.75" customHeight="1">
      <c r="A151" s="279"/>
      <c r="B151" s="280"/>
      <c r="C151" s="280"/>
      <c r="D151" s="280"/>
      <c r="E151" s="281"/>
      <c r="F151" s="281"/>
      <c r="G151" s="280"/>
      <c r="H151" s="282"/>
      <c r="I151" s="283"/>
      <c r="J151" s="280"/>
      <c r="K151" s="103"/>
      <c r="L151" s="146"/>
      <c r="M151" s="103"/>
      <c r="N151" s="103"/>
      <c r="O151" s="103">
        <f t="shared" si="1"/>
        <v>0</v>
      </c>
      <c r="P151" s="104">
        <f t="shared" si="2"/>
        <v>0</v>
      </c>
      <c r="Q151" s="147"/>
      <c r="R151" s="103"/>
      <c r="S151" s="103">
        <f t="shared" si="3"/>
        <v>0</v>
      </c>
      <c r="U151" s="107" t="str">
        <f t="shared" si="4"/>
        <v>0</v>
      </c>
    </row>
    <row r="152" ht="15.75" customHeight="1">
      <c r="A152" s="279"/>
      <c r="B152" s="280"/>
      <c r="C152" s="280"/>
      <c r="D152" s="280"/>
      <c r="E152" s="281"/>
      <c r="F152" s="281"/>
      <c r="G152" s="280"/>
      <c r="H152" s="282"/>
      <c r="I152" s="283"/>
      <c r="J152" s="280"/>
      <c r="K152" s="103"/>
      <c r="L152" s="146"/>
      <c r="M152" s="103"/>
      <c r="N152" s="103"/>
      <c r="O152" s="103">
        <f t="shared" si="1"/>
        <v>0</v>
      </c>
      <c r="P152" s="104">
        <f t="shared" si="2"/>
        <v>0</v>
      </c>
      <c r="Q152" s="147"/>
      <c r="R152" s="103"/>
      <c r="S152" s="103">
        <f t="shared" si="3"/>
        <v>0</v>
      </c>
      <c r="U152" s="107" t="str">
        <f t="shared" si="4"/>
        <v>0</v>
      </c>
    </row>
    <row r="153" ht="15.75" customHeight="1">
      <c r="A153" s="279"/>
      <c r="B153" s="280"/>
      <c r="C153" s="280"/>
      <c r="D153" s="280"/>
      <c r="E153" s="281"/>
      <c r="F153" s="281"/>
      <c r="G153" s="280"/>
      <c r="H153" s="282"/>
      <c r="I153" s="283"/>
      <c r="J153" s="280"/>
      <c r="K153" s="103"/>
      <c r="L153" s="146"/>
      <c r="M153" s="103"/>
      <c r="N153" s="103"/>
      <c r="O153" s="103">
        <f t="shared" si="1"/>
        <v>0</v>
      </c>
      <c r="P153" s="104">
        <f t="shared" si="2"/>
        <v>0</v>
      </c>
      <c r="Q153" s="147"/>
      <c r="R153" s="103"/>
      <c r="S153" s="103">
        <f t="shared" si="3"/>
        <v>0</v>
      </c>
      <c r="U153" s="107" t="str">
        <f t="shared" si="4"/>
        <v>0</v>
      </c>
    </row>
    <row r="154" ht="15.75" customHeight="1">
      <c r="A154" s="279"/>
      <c r="B154" s="280"/>
      <c r="C154" s="280"/>
      <c r="D154" s="280"/>
      <c r="E154" s="281"/>
      <c r="F154" s="281"/>
      <c r="G154" s="280"/>
      <c r="H154" s="282"/>
      <c r="I154" s="283"/>
      <c r="J154" s="280"/>
      <c r="K154" s="103"/>
      <c r="L154" s="146"/>
      <c r="M154" s="103"/>
      <c r="N154" s="103"/>
      <c r="O154" s="103">
        <f t="shared" si="1"/>
        <v>0</v>
      </c>
      <c r="P154" s="104">
        <f t="shared" si="2"/>
        <v>0</v>
      </c>
      <c r="Q154" s="147"/>
      <c r="R154" s="103"/>
      <c r="S154" s="103">
        <f t="shared" si="3"/>
        <v>0</v>
      </c>
      <c r="U154" s="107" t="str">
        <f t="shared" si="4"/>
        <v>0</v>
      </c>
    </row>
    <row r="155" ht="15.75" customHeight="1">
      <c r="A155" s="279"/>
      <c r="B155" s="280"/>
      <c r="C155" s="280"/>
      <c r="D155" s="280"/>
      <c r="E155" s="281"/>
      <c r="F155" s="281"/>
      <c r="G155" s="280"/>
      <c r="H155" s="282"/>
      <c r="I155" s="283"/>
      <c r="J155" s="280"/>
      <c r="K155" s="103"/>
      <c r="L155" s="146"/>
      <c r="M155" s="103"/>
      <c r="N155" s="103"/>
      <c r="O155" s="103">
        <f t="shared" si="1"/>
        <v>0</v>
      </c>
      <c r="P155" s="104">
        <f t="shared" si="2"/>
        <v>0</v>
      </c>
      <c r="Q155" s="147"/>
      <c r="R155" s="103"/>
      <c r="S155" s="103">
        <f t="shared" si="3"/>
        <v>0</v>
      </c>
      <c r="U155" s="107" t="str">
        <f t="shared" si="4"/>
        <v>0</v>
      </c>
    </row>
    <row r="156" ht="15.75" customHeight="1">
      <c r="A156" s="279"/>
      <c r="B156" s="280"/>
      <c r="C156" s="280"/>
      <c r="D156" s="280"/>
      <c r="E156" s="281"/>
      <c r="F156" s="281"/>
      <c r="G156" s="280"/>
      <c r="H156" s="282"/>
      <c r="I156" s="283"/>
      <c r="J156" s="280"/>
      <c r="K156" s="103"/>
      <c r="L156" s="146"/>
      <c r="M156" s="103"/>
      <c r="N156" s="103"/>
      <c r="O156" s="103">
        <f t="shared" si="1"/>
        <v>0</v>
      </c>
      <c r="P156" s="104">
        <f t="shared" si="2"/>
        <v>0</v>
      </c>
      <c r="Q156" s="147"/>
      <c r="R156" s="103"/>
      <c r="S156" s="103">
        <f t="shared" si="3"/>
        <v>0</v>
      </c>
      <c r="U156" s="107" t="str">
        <f t="shared" si="4"/>
        <v>0</v>
      </c>
    </row>
    <row r="157" ht="15.75" customHeight="1">
      <c r="A157" s="279"/>
      <c r="B157" s="280"/>
      <c r="C157" s="280"/>
      <c r="D157" s="280"/>
      <c r="E157" s="281"/>
      <c r="F157" s="281"/>
      <c r="G157" s="280"/>
      <c r="H157" s="282"/>
      <c r="I157" s="283"/>
      <c r="J157" s="280"/>
      <c r="K157" s="103"/>
      <c r="L157" s="146"/>
      <c r="M157" s="103"/>
      <c r="N157" s="103"/>
      <c r="O157" s="103">
        <f t="shared" si="1"/>
        <v>0</v>
      </c>
      <c r="P157" s="104">
        <f t="shared" si="2"/>
        <v>0</v>
      </c>
      <c r="Q157" s="147"/>
      <c r="R157" s="103"/>
      <c r="S157" s="103">
        <f t="shared" si="3"/>
        <v>0</v>
      </c>
      <c r="U157" s="107" t="str">
        <f t="shared" si="4"/>
        <v>0</v>
      </c>
    </row>
    <row r="158" ht="15.75" customHeight="1">
      <c r="A158" s="279"/>
      <c r="B158" s="280"/>
      <c r="C158" s="280"/>
      <c r="D158" s="280"/>
      <c r="E158" s="281"/>
      <c r="F158" s="281"/>
      <c r="G158" s="280"/>
      <c r="H158" s="282"/>
      <c r="I158" s="283"/>
      <c r="J158" s="280"/>
      <c r="K158" s="103"/>
      <c r="L158" s="146"/>
      <c r="M158" s="103"/>
      <c r="N158" s="103"/>
      <c r="O158" s="103">
        <f t="shared" si="1"/>
        <v>0</v>
      </c>
      <c r="P158" s="104">
        <f t="shared" si="2"/>
        <v>0</v>
      </c>
      <c r="Q158" s="147"/>
      <c r="R158" s="103"/>
      <c r="S158" s="103">
        <f t="shared" si="3"/>
        <v>0</v>
      </c>
      <c r="U158" s="107" t="str">
        <f t="shared" si="4"/>
        <v>0</v>
      </c>
    </row>
    <row r="159" ht="15.75" customHeight="1">
      <c r="A159" s="279"/>
      <c r="B159" s="280"/>
      <c r="C159" s="280"/>
      <c r="D159" s="280"/>
      <c r="E159" s="281"/>
      <c r="F159" s="281"/>
      <c r="G159" s="280"/>
      <c r="H159" s="282"/>
      <c r="I159" s="283"/>
      <c r="J159" s="280"/>
      <c r="K159" s="103"/>
      <c r="L159" s="146"/>
      <c r="M159" s="103"/>
      <c r="N159" s="103"/>
      <c r="O159" s="103">
        <f t="shared" si="1"/>
        <v>0</v>
      </c>
      <c r="P159" s="104">
        <f t="shared" si="2"/>
        <v>0</v>
      </c>
      <c r="Q159" s="147"/>
      <c r="R159" s="103"/>
      <c r="S159" s="103">
        <f t="shared" si="3"/>
        <v>0</v>
      </c>
      <c r="U159" s="107" t="str">
        <f t="shared" si="4"/>
        <v>0</v>
      </c>
    </row>
    <row r="160" ht="15.75" customHeight="1">
      <c r="A160" s="279"/>
      <c r="B160" s="280"/>
      <c r="C160" s="280"/>
      <c r="D160" s="280"/>
      <c r="E160" s="281"/>
      <c r="F160" s="281"/>
      <c r="G160" s="280"/>
      <c r="H160" s="282"/>
      <c r="I160" s="283"/>
      <c r="J160" s="280"/>
      <c r="K160" s="103"/>
      <c r="L160" s="146"/>
      <c r="M160" s="103"/>
      <c r="N160" s="103"/>
      <c r="O160" s="103">
        <f t="shared" si="1"/>
        <v>0</v>
      </c>
      <c r="P160" s="104">
        <f t="shared" si="2"/>
        <v>0</v>
      </c>
      <c r="Q160" s="147"/>
      <c r="R160" s="103"/>
      <c r="S160" s="103">
        <f t="shared" si="3"/>
        <v>0</v>
      </c>
      <c r="U160" s="107" t="str">
        <f t="shared" si="4"/>
        <v>0</v>
      </c>
    </row>
    <row r="161" ht="15.75" customHeight="1">
      <c r="A161" s="279"/>
      <c r="B161" s="280"/>
      <c r="C161" s="280"/>
      <c r="D161" s="280"/>
      <c r="E161" s="281"/>
      <c r="F161" s="281"/>
      <c r="G161" s="280"/>
      <c r="H161" s="282"/>
      <c r="I161" s="283"/>
      <c r="J161" s="280"/>
      <c r="K161" s="103"/>
      <c r="L161" s="146"/>
      <c r="M161" s="103"/>
      <c r="N161" s="103"/>
      <c r="O161" s="103">
        <f t="shared" si="1"/>
        <v>0</v>
      </c>
      <c r="P161" s="104">
        <f t="shared" si="2"/>
        <v>0</v>
      </c>
      <c r="Q161" s="147"/>
      <c r="R161" s="103"/>
      <c r="S161" s="103">
        <f t="shared" si="3"/>
        <v>0</v>
      </c>
      <c r="U161" s="107" t="str">
        <f t="shared" si="4"/>
        <v>0</v>
      </c>
    </row>
    <row r="162" ht="15.75" customHeight="1">
      <c r="A162" s="279"/>
      <c r="B162" s="280"/>
      <c r="C162" s="280"/>
      <c r="D162" s="280"/>
      <c r="E162" s="281"/>
      <c r="F162" s="281"/>
      <c r="G162" s="280"/>
      <c r="H162" s="282"/>
      <c r="I162" s="283"/>
      <c r="J162" s="280"/>
      <c r="K162" s="103"/>
      <c r="L162" s="146"/>
      <c r="M162" s="103"/>
      <c r="N162" s="103"/>
      <c r="O162" s="103">
        <f t="shared" si="1"/>
        <v>0</v>
      </c>
      <c r="P162" s="104">
        <f t="shared" si="2"/>
        <v>0</v>
      </c>
      <c r="Q162" s="147"/>
      <c r="R162" s="103"/>
      <c r="S162" s="103">
        <f t="shared" si="3"/>
        <v>0</v>
      </c>
      <c r="U162" s="107" t="str">
        <f t="shared" si="4"/>
        <v>0</v>
      </c>
    </row>
    <row r="163" ht="15.75" customHeight="1">
      <c r="A163" s="279"/>
      <c r="B163" s="280"/>
      <c r="C163" s="280"/>
      <c r="D163" s="280"/>
      <c r="E163" s="281"/>
      <c r="F163" s="281"/>
      <c r="G163" s="280"/>
      <c r="H163" s="282"/>
      <c r="I163" s="283"/>
      <c r="J163" s="280"/>
      <c r="K163" s="103"/>
      <c r="L163" s="146"/>
      <c r="M163" s="103"/>
      <c r="N163" s="103"/>
      <c r="O163" s="103">
        <f t="shared" si="1"/>
        <v>0</v>
      </c>
      <c r="P163" s="104">
        <f t="shared" si="2"/>
        <v>0</v>
      </c>
      <c r="Q163" s="147"/>
      <c r="R163" s="103"/>
      <c r="S163" s="103">
        <f t="shared" si="3"/>
        <v>0</v>
      </c>
      <c r="U163" s="107" t="str">
        <f t="shared" si="4"/>
        <v>0</v>
      </c>
    </row>
    <row r="164" ht="15.75" customHeight="1">
      <c r="A164" s="279"/>
      <c r="B164" s="280"/>
      <c r="C164" s="280"/>
      <c r="D164" s="280"/>
      <c r="E164" s="281"/>
      <c r="F164" s="281"/>
      <c r="G164" s="280"/>
      <c r="H164" s="282"/>
      <c r="I164" s="283"/>
      <c r="J164" s="280"/>
      <c r="K164" s="103"/>
      <c r="L164" s="146"/>
      <c r="M164" s="103"/>
      <c r="N164" s="103"/>
      <c r="O164" s="103">
        <f t="shared" si="1"/>
        <v>0</v>
      </c>
      <c r="P164" s="104">
        <f t="shared" si="2"/>
        <v>0</v>
      </c>
      <c r="Q164" s="147"/>
      <c r="R164" s="103"/>
      <c r="S164" s="103">
        <f t="shared" si="3"/>
        <v>0</v>
      </c>
      <c r="U164" s="107" t="str">
        <f t="shared" si="4"/>
        <v>0</v>
      </c>
    </row>
    <row r="165" ht="15.75" customHeight="1">
      <c r="A165" s="279"/>
      <c r="B165" s="280"/>
      <c r="C165" s="280"/>
      <c r="D165" s="280"/>
      <c r="E165" s="281"/>
      <c r="F165" s="281"/>
      <c r="G165" s="280"/>
      <c r="H165" s="282"/>
      <c r="I165" s="283"/>
      <c r="J165" s="280"/>
      <c r="K165" s="103"/>
      <c r="L165" s="146"/>
      <c r="M165" s="103"/>
      <c r="N165" s="103"/>
      <c r="O165" s="103">
        <f t="shared" si="1"/>
        <v>0</v>
      </c>
      <c r="P165" s="104">
        <f t="shared" si="2"/>
        <v>0</v>
      </c>
      <c r="Q165" s="147"/>
      <c r="R165" s="103"/>
      <c r="S165" s="103">
        <f t="shared" si="3"/>
        <v>0</v>
      </c>
      <c r="U165" s="107" t="str">
        <f t="shared" si="4"/>
        <v>0</v>
      </c>
    </row>
    <row r="166" ht="15.75" customHeight="1">
      <c r="A166" s="279"/>
      <c r="B166" s="280"/>
      <c r="C166" s="280"/>
      <c r="D166" s="280"/>
      <c r="E166" s="281"/>
      <c r="F166" s="281"/>
      <c r="G166" s="280"/>
      <c r="H166" s="282"/>
      <c r="I166" s="283"/>
      <c r="J166" s="280"/>
      <c r="K166" s="103"/>
      <c r="L166" s="146"/>
      <c r="M166" s="103"/>
      <c r="N166" s="103"/>
      <c r="O166" s="103">
        <f t="shared" si="1"/>
        <v>0</v>
      </c>
      <c r="P166" s="104">
        <f t="shared" si="2"/>
        <v>0</v>
      </c>
      <c r="Q166" s="147"/>
      <c r="R166" s="103"/>
      <c r="S166" s="103">
        <f t="shared" si="3"/>
        <v>0</v>
      </c>
      <c r="U166" s="107" t="str">
        <f t="shared" si="4"/>
        <v>0</v>
      </c>
    </row>
    <row r="167" ht="15.75" customHeight="1">
      <c r="A167" s="279"/>
      <c r="B167" s="280"/>
      <c r="C167" s="280"/>
      <c r="D167" s="280"/>
      <c r="E167" s="281"/>
      <c r="F167" s="281"/>
      <c r="G167" s="280"/>
      <c r="H167" s="282"/>
      <c r="I167" s="283"/>
      <c r="J167" s="280"/>
      <c r="K167" s="103"/>
      <c r="L167" s="146"/>
      <c r="M167" s="103"/>
      <c r="N167" s="103"/>
      <c r="O167" s="103">
        <f t="shared" si="1"/>
        <v>0</v>
      </c>
      <c r="P167" s="104">
        <f t="shared" si="2"/>
        <v>0</v>
      </c>
      <c r="Q167" s="147"/>
      <c r="R167" s="103"/>
      <c r="S167" s="103">
        <f t="shared" si="3"/>
        <v>0</v>
      </c>
      <c r="U167" s="107" t="str">
        <f t="shared" si="4"/>
        <v>0</v>
      </c>
    </row>
    <row r="168" ht="15.75" customHeight="1">
      <c r="A168" s="279"/>
      <c r="B168" s="280"/>
      <c r="C168" s="280"/>
      <c r="D168" s="280"/>
      <c r="E168" s="281"/>
      <c r="F168" s="281"/>
      <c r="G168" s="280"/>
      <c r="H168" s="282"/>
      <c r="I168" s="283"/>
      <c r="J168" s="280"/>
      <c r="K168" s="103"/>
      <c r="L168" s="146"/>
      <c r="M168" s="103"/>
      <c r="N168" s="103"/>
      <c r="O168" s="103">
        <f t="shared" si="1"/>
        <v>0</v>
      </c>
      <c r="P168" s="104">
        <f t="shared" si="2"/>
        <v>0</v>
      </c>
      <c r="Q168" s="147"/>
      <c r="R168" s="103"/>
      <c r="S168" s="103">
        <f t="shared" si="3"/>
        <v>0</v>
      </c>
      <c r="U168" s="107" t="str">
        <f t="shared" si="4"/>
        <v>0</v>
      </c>
    </row>
    <row r="169" ht="15.75" customHeight="1">
      <c r="A169" s="279"/>
      <c r="B169" s="280"/>
      <c r="C169" s="280"/>
      <c r="D169" s="280"/>
      <c r="E169" s="281"/>
      <c r="F169" s="281"/>
      <c r="G169" s="280"/>
      <c r="H169" s="282"/>
      <c r="I169" s="283"/>
      <c r="J169" s="280"/>
      <c r="K169" s="103"/>
      <c r="L169" s="146"/>
      <c r="M169" s="103"/>
      <c r="N169" s="103"/>
      <c r="O169" s="103">
        <f t="shared" si="1"/>
        <v>0</v>
      </c>
      <c r="P169" s="104">
        <f t="shared" si="2"/>
        <v>0</v>
      </c>
      <c r="Q169" s="147"/>
      <c r="R169" s="103"/>
      <c r="S169" s="103">
        <f t="shared" si="3"/>
        <v>0</v>
      </c>
      <c r="U169" s="107" t="str">
        <f t="shared" si="4"/>
        <v>0</v>
      </c>
    </row>
    <row r="170" ht="15.75" customHeight="1">
      <c r="A170" s="279"/>
      <c r="B170" s="280"/>
      <c r="C170" s="280"/>
      <c r="D170" s="280"/>
      <c r="E170" s="281"/>
      <c r="F170" s="281"/>
      <c r="G170" s="280"/>
      <c r="H170" s="282"/>
      <c r="I170" s="283"/>
      <c r="J170" s="280"/>
      <c r="K170" s="103"/>
      <c r="L170" s="146"/>
      <c r="M170" s="103"/>
      <c r="N170" s="103"/>
      <c r="O170" s="103">
        <f t="shared" si="1"/>
        <v>0</v>
      </c>
      <c r="P170" s="104">
        <f t="shared" si="2"/>
        <v>0</v>
      </c>
      <c r="Q170" s="147"/>
      <c r="R170" s="103"/>
      <c r="S170" s="103">
        <f t="shared" si="3"/>
        <v>0</v>
      </c>
      <c r="U170" s="107" t="str">
        <f t="shared" si="4"/>
        <v>0</v>
      </c>
    </row>
    <row r="171" ht="15.75" customHeight="1">
      <c r="A171" s="279"/>
      <c r="B171" s="280"/>
      <c r="C171" s="280"/>
      <c r="D171" s="280"/>
      <c r="E171" s="281"/>
      <c r="F171" s="281"/>
      <c r="G171" s="280"/>
      <c r="H171" s="282"/>
      <c r="I171" s="283"/>
      <c r="J171" s="280"/>
      <c r="K171" s="103"/>
      <c r="L171" s="146"/>
      <c r="M171" s="103"/>
      <c r="N171" s="103"/>
      <c r="O171" s="103">
        <f t="shared" si="1"/>
        <v>0</v>
      </c>
      <c r="P171" s="104">
        <f t="shared" si="2"/>
        <v>0</v>
      </c>
      <c r="Q171" s="147"/>
      <c r="R171" s="103"/>
      <c r="S171" s="103">
        <f t="shared" si="3"/>
        <v>0</v>
      </c>
      <c r="U171" s="107" t="str">
        <f t="shared" si="4"/>
        <v>0</v>
      </c>
    </row>
    <row r="172" ht="15.75" customHeight="1">
      <c r="A172" s="279"/>
      <c r="B172" s="280"/>
      <c r="C172" s="280"/>
      <c r="D172" s="280"/>
      <c r="E172" s="281"/>
      <c r="F172" s="281"/>
      <c r="G172" s="280"/>
      <c r="H172" s="282"/>
      <c r="I172" s="283"/>
      <c r="J172" s="280"/>
      <c r="K172" s="103"/>
      <c r="L172" s="146"/>
      <c r="M172" s="103"/>
      <c r="N172" s="103"/>
      <c r="O172" s="103">
        <f t="shared" si="1"/>
        <v>0</v>
      </c>
      <c r="P172" s="104">
        <f t="shared" si="2"/>
        <v>0</v>
      </c>
      <c r="Q172" s="147"/>
      <c r="R172" s="103"/>
      <c r="S172" s="103">
        <f t="shared" si="3"/>
        <v>0</v>
      </c>
      <c r="U172" s="107" t="str">
        <f t="shared" si="4"/>
        <v>0</v>
      </c>
    </row>
    <row r="173" ht="15.75" customHeight="1">
      <c r="A173" s="279"/>
      <c r="B173" s="280"/>
      <c r="C173" s="280"/>
      <c r="D173" s="280"/>
      <c r="E173" s="281"/>
      <c r="F173" s="281"/>
      <c r="G173" s="280"/>
      <c r="H173" s="282"/>
      <c r="I173" s="283"/>
      <c r="J173" s="280"/>
      <c r="K173" s="103"/>
      <c r="L173" s="146"/>
      <c r="M173" s="103"/>
      <c r="N173" s="103"/>
      <c r="O173" s="103">
        <f t="shared" si="1"/>
        <v>0</v>
      </c>
      <c r="P173" s="104">
        <f t="shared" si="2"/>
        <v>0</v>
      </c>
      <c r="Q173" s="147"/>
      <c r="R173" s="103"/>
      <c r="S173" s="103">
        <f t="shared" si="3"/>
        <v>0</v>
      </c>
      <c r="U173" s="107" t="str">
        <f t="shared" si="4"/>
        <v>0</v>
      </c>
    </row>
    <row r="174" ht="15.75" customHeight="1">
      <c r="A174" s="279"/>
      <c r="B174" s="280"/>
      <c r="C174" s="280"/>
      <c r="D174" s="280"/>
      <c r="E174" s="281"/>
      <c r="F174" s="281"/>
      <c r="G174" s="280"/>
      <c r="H174" s="282"/>
      <c r="I174" s="283"/>
      <c r="J174" s="280"/>
      <c r="K174" s="103"/>
      <c r="L174" s="146"/>
      <c r="M174" s="103"/>
      <c r="N174" s="103"/>
      <c r="O174" s="103">
        <f t="shared" si="1"/>
        <v>0</v>
      </c>
      <c r="P174" s="104">
        <f t="shared" si="2"/>
        <v>0</v>
      </c>
      <c r="Q174" s="147"/>
      <c r="R174" s="103"/>
      <c r="S174" s="103">
        <f t="shared" si="3"/>
        <v>0</v>
      </c>
      <c r="U174" s="107" t="str">
        <f t="shared" si="4"/>
        <v>0</v>
      </c>
    </row>
    <row r="175" ht="15.75" customHeight="1">
      <c r="A175" s="279"/>
      <c r="B175" s="280"/>
      <c r="C175" s="280"/>
      <c r="D175" s="280"/>
      <c r="E175" s="281"/>
      <c r="F175" s="281"/>
      <c r="G175" s="280"/>
      <c r="H175" s="282"/>
      <c r="I175" s="283"/>
      <c r="J175" s="280"/>
      <c r="K175" s="103"/>
      <c r="L175" s="146"/>
      <c r="M175" s="103"/>
      <c r="N175" s="103"/>
      <c r="O175" s="103">
        <f t="shared" si="1"/>
        <v>0</v>
      </c>
      <c r="P175" s="104">
        <f t="shared" si="2"/>
        <v>0</v>
      </c>
      <c r="Q175" s="147"/>
      <c r="R175" s="103"/>
      <c r="S175" s="103">
        <f t="shared" si="3"/>
        <v>0</v>
      </c>
      <c r="U175" s="107" t="str">
        <f t="shared" si="4"/>
        <v>0</v>
      </c>
    </row>
    <row r="176" ht="15.75" customHeight="1">
      <c r="A176" s="279"/>
      <c r="B176" s="280"/>
      <c r="C176" s="280"/>
      <c r="D176" s="280"/>
      <c r="E176" s="281"/>
      <c r="F176" s="281"/>
      <c r="G176" s="280"/>
      <c r="H176" s="282"/>
      <c r="I176" s="283"/>
      <c r="J176" s="280"/>
      <c r="K176" s="103"/>
      <c r="L176" s="146"/>
      <c r="M176" s="103"/>
      <c r="N176" s="103"/>
      <c r="O176" s="103">
        <f t="shared" si="1"/>
        <v>0</v>
      </c>
      <c r="P176" s="104">
        <f t="shared" si="2"/>
        <v>0</v>
      </c>
      <c r="Q176" s="147"/>
      <c r="R176" s="103"/>
      <c r="S176" s="103">
        <f t="shared" si="3"/>
        <v>0</v>
      </c>
      <c r="U176" s="107" t="str">
        <f t="shared" si="4"/>
        <v>0</v>
      </c>
    </row>
    <row r="177" ht="15.75" customHeight="1">
      <c r="A177" s="279"/>
      <c r="B177" s="280"/>
      <c r="C177" s="280"/>
      <c r="D177" s="280"/>
      <c r="E177" s="281"/>
      <c r="F177" s="281"/>
      <c r="G177" s="280"/>
      <c r="H177" s="282"/>
      <c r="I177" s="283"/>
      <c r="J177" s="280"/>
      <c r="K177" s="103"/>
      <c r="L177" s="146"/>
      <c r="M177" s="103"/>
      <c r="N177" s="103"/>
      <c r="O177" s="103">
        <f t="shared" si="1"/>
        <v>0</v>
      </c>
      <c r="P177" s="104">
        <f t="shared" si="2"/>
        <v>0</v>
      </c>
      <c r="Q177" s="147"/>
      <c r="R177" s="103"/>
      <c r="S177" s="103">
        <f t="shared" si="3"/>
        <v>0</v>
      </c>
      <c r="U177" s="107" t="str">
        <f t="shared" si="4"/>
        <v>0</v>
      </c>
    </row>
    <row r="178" ht="15.75" customHeight="1">
      <c r="A178" s="279"/>
      <c r="B178" s="280"/>
      <c r="C178" s="280"/>
      <c r="D178" s="280"/>
      <c r="E178" s="281"/>
      <c r="F178" s="281"/>
      <c r="G178" s="280"/>
      <c r="H178" s="282"/>
      <c r="I178" s="283"/>
      <c r="J178" s="280"/>
      <c r="K178" s="103"/>
      <c r="L178" s="146"/>
      <c r="M178" s="103"/>
      <c r="N178" s="103"/>
      <c r="O178" s="103">
        <f t="shared" si="1"/>
        <v>0</v>
      </c>
      <c r="P178" s="104">
        <f t="shared" si="2"/>
        <v>0</v>
      </c>
      <c r="Q178" s="147"/>
      <c r="R178" s="103"/>
      <c r="S178" s="103">
        <f t="shared" si="3"/>
        <v>0</v>
      </c>
      <c r="U178" s="107" t="str">
        <f t="shared" si="4"/>
        <v>0</v>
      </c>
    </row>
    <row r="179" ht="15.75" customHeight="1">
      <c r="A179" s="279"/>
      <c r="B179" s="280"/>
      <c r="C179" s="280"/>
      <c r="D179" s="280"/>
      <c r="E179" s="281"/>
      <c r="F179" s="281"/>
      <c r="G179" s="280"/>
      <c r="H179" s="282"/>
      <c r="I179" s="283"/>
      <c r="J179" s="280"/>
      <c r="K179" s="103"/>
      <c r="L179" s="146"/>
      <c r="M179" s="103"/>
      <c r="N179" s="103"/>
      <c r="O179" s="103">
        <f t="shared" si="1"/>
        <v>0</v>
      </c>
      <c r="P179" s="104">
        <f t="shared" si="2"/>
        <v>0</v>
      </c>
      <c r="Q179" s="147"/>
      <c r="R179" s="103"/>
      <c r="S179" s="103">
        <f t="shared" si="3"/>
        <v>0</v>
      </c>
      <c r="U179" s="107" t="str">
        <f t="shared" si="4"/>
        <v>0</v>
      </c>
    </row>
    <row r="180" ht="15.75" customHeight="1">
      <c r="A180" s="279"/>
      <c r="B180" s="280"/>
      <c r="C180" s="280"/>
      <c r="D180" s="280"/>
      <c r="E180" s="281"/>
      <c r="F180" s="281"/>
      <c r="G180" s="280"/>
      <c r="H180" s="282"/>
      <c r="I180" s="283"/>
      <c r="J180" s="280"/>
      <c r="K180" s="103"/>
      <c r="L180" s="146"/>
      <c r="M180" s="103"/>
      <c r="N180" s="103"/>
      <c r="O180" s="103">
        <f t="shared" si="1"/>
        <v>0</v>
      </c>
      <c r="P180" s="104">
        <f t="shared" si="2"/>
        <v>0</v>
      </c>
      <c r="Q180" s="147"/>
      <c r="R180" s="103"/>
      <c r="S180" s="103">
        <f t="shared" si="3"/>
        <v>0</v>
      </c>
      <c r="U180" s="107" t="str">
        <f t="shared" si="4"/>
        <v>0</v>
      </c>
    </row>
    <row r="181" ht="15.75" customHeight="1">
      <c r="A181" s="279"/>
      <c r="B181" s="280"/>
      <c r="C181" s="280"/>
      <c r="D181" s="280"/>
      <c r="E181" s="281"/>
      <c r="F181" s="281"/>
      <c r="G181" s="280"/>
      <c r="H181" s="282"/>
      <c r="I181" s="283"/>
      <c r="J181" s="280"/>
      <c r="K181" s="103"/>
      <c r="L181" s="146"/>
      <c r="M181" s="103"/>
      <c r="N181" s="103"/>
      <c r="O181" s="103">
        <f t="shared" si="1"/>
        <v>0</v>
      </c>
      <c r="P181" s="104">
        <f t="shared" si="2"/>
        <v>0</v>
      </c>
      <c r="Q181" s="147"/>
      <c r="R181" s="103"/>
      <c r="S181" s="103">
        <f t="shared" si="3"/>
        <v>0</v>
      </c>
      <c r="U181" s="107" t="str">
        <f t="shared" si="4"/>
        <v>0</v>
      </c>
    </row>
    <row r="182" ht="15.75" customHeight="1">
      <c r="A182" s="279"/>
      <c r="B182" s="280"/>
      <c r="C182" s="280"/>
      <c r="D182" s="280"/>
      <c r="E182" s="281"/>
      <c r="F182" s="281"/>
      <c r="G182" s="280"/>
      <c r="H182" s="282"/>
      <c r="I182" s="283"/>
      <c r="J182" s="280"/>
      <c r="K182" s="103"/>
      <c r="L182" s="146"/>
      <c r="M182" s="103"/>
      <c r="N182" s="103"/>
      <c r="O182" s="103">
        <f t="shared" si="1"/>
        <v>0</v>
      </c>
      <c r="P182" s="104">
        <f t="shared" si="2"/>
        <v>0</v>
      </c>
      <c r="Q182" s="147"/>
      <c r="R182" s="103"/>
      <c r="S182" s="103">
        <f t="shared" si="3"/>
        <v>0</v>
      </c>
      <c r="U182" s="107" t="str">
        <f t="shared" si="4"/>
        <v>0</v>
      </c>
    </row>
    <row r="183" ht="15.75" customHeight="1">
      <c r="A183" s="279"/>
      <c r="B183" s="280"/>
      <c r="C183" s="280"/>
      <c r="D183" s="280"/>
      <c r="E183" s="281"/>
      <c r="F183" s="281"/>
      <c r="G183" s="280"/>
      <c r="H183" s="282"/>
      <c r="I183" s="283"/>
      <c r="J183" s="280"/>
      <c r="K183" s="103"/>
      <c r="L183" s="146"/>
      <c r="M183" s="103"/>
      <c r="N183" s="103"/>
      <c r="O183" s="103">
        <f t="shared" si="1"/>
        <v>0</v>
      </c>
      <c r="P183" s="104">
        <f t="shared" si="2"/>
        <v>0</v>
      </c>
      <c r="Q183" s="147"/>
      <c r="R183" s="103"/>
      <c r="S183" s="103">
        <f t="shared" si="3"/>
        <v>0</v>
      </c>
      <c r="U183" s="107" t="str">
        <f t="shared" si="4"/>
        <v>0</v>
      </c>
    </row>
    <row r="184" ht="15.75" customHeight="1">
      <c r="A184" s="279"/>
      <c r="B184" s="280"/>
      <c r="C184" s="280"/>
      <c r="D184" s="280"/>
      <c r="E184" s="281"/>
      <c r="F184" s="281"/>
      <c r="G184" s="280"/>
      <c r="H184" s="282"/>
      <c r="I184" s="283"/>
      <c r="J184" s="280"/>
      <c r="K184" s="103"/>
      <c r="L184" s="146"/>
      <c r="M184" s="103"/>
      <c r="N184" s="103"/>
      <c r="O184" s="103">
        <f t="shared" si="1"/>
        <v>0</v>
      </c>
      <c r="P184" s="104">
        <f t="shared" si="2"/>
        <v>0</v>
      </c>
      <c r="Q184" s="147"/>
      <c r="R184" s="103"/>
      <c r="S184" s="103">
        <f t="shared" si="3"/>
        <v>0</v>
      </c>
      <c r="U184" s="107" t="str">
        <f t="shared" si="4"/>
        <v>0</v>
      </c>
    </row>
    <row r="185" ht="15.75" customHeight="1">
      <c r="A185" s="279"/>
      <c r="B185" s="280"/>
      <c r="C185" s="280"/>
      <c r="D185" s="280"/>
      <c r="E185" s="281"/>
      <c r="F185" s="281"/>
      <c r="G185" s="280"/>
      <c r="H185" s="282"/>
      <c r="I185" s="283"/>
      <c r="J185" s="280"/>
      <c r="K185" s="103"/>
      <c r="L185" s="146"/>
      <c r="M185" s="103"/>
      <c r="N185" s="103"/>
      <c r="O185" s="103">
        <f t="shared" si="1"/>
        <v>0</v>
      </c>
      <c r="P185" s="104">
        <f t="shared" si="2"/>
        <v>0</v>
      </c>
      <c r="Q185" s="147"/>
      <c r="R185" s="103"/>
      <c r="S185" s="103">
        <f t="shared" si="3"/>
        <v>0</v>
      </c>
      <c r="U185" s="107" t="str">
        <f t="shared" si="4"/>
        <v>0</v>
      </c>
    </row>
    <row r="186" ht="15.75" customHeight="1">
      <c r="A186" s="279"/>
      <c r="B186" s="280"/>
      <c r="C186" s="280"/>
      <c r="D186" s="280"/>
      <c r="E186" s="281"/>
      <c r="F186" s="281"/>
      <c r="G186" s="280"/>
      <c r="H186" s="282"/>
      <c r="I186" s="283"/>
      <c r="J186" s="280"/>
      <c r="K186" s="103"/>
      <c r="L186" s="146"/>
      <c r="M186" s="103"/>
      <c r="N186" s="103"/>
      <c r="O186" s="103">
        <f t="shared" si="1"/>
        <v>0</v>
      </c>
      <c r="P186" s="104">
        <f t="shared" si="2"/>
        <v>0</v>
      </c>
      <c r="Q186" s="147"/>
      <c r="R186" s="103"/>
      <c r="S186" s="103">
        <f t="shared" si="3"/>
        <v>0</v>
      </c>
      <c r="U186" s="107" t="str">
        <f t="shared" si="4"/>
        <v>0</v>
      </c>
    </row>
    <row r="187" ht="15.75" customHeight="1">
      <c r="A187" s="279"/>
      <c r="B187" s="280"/>
      <c r="C187" s="280"/>
      <c r="D187" s="280"/>
      <c r="E187" s="281"/>
      <c r="F187" s="281"/>
      <c r="G187" s="280"/>
      <c r="H187" s="282"/>
      <c r="I187" s="283"/>
      <c r="J187" s="280"/>
      <c r="K187" s="103"/>
      <c r="L187" s="146"/>
      <c r="M187" s="103"/>
      <c r="N187" s="103"/>
      <c r="O187" s="103">
        <f t="shared" si="1"/>
        <v>0</v>
      </c>
      <c r="P187" s="104">
        <f t="shared" si="2"/>
        <v>0</v>
      </c>
      <c r="Q187" s="147"/>
      <c r="R187" s="103"/>
      <c r="S187" s="103">
        <f t="shared" si="3"/>
        <v>0</v>
      </c>
      <c r="U187" s="107" t="str">
        <f t="shared" si="4"/>
        <v>0</v>
      </c>
    </row>
    <row r="188" ht="15.75" customHeight="1">
      <c r="A188" s="279"/>
      <c r="B188" s="280"/>
      <c r="C188" s="280"/>
      <c r="D188" s="280"/>
      <c r="E188" s="281"/>
      <c r="F188" s="281"/>
      <c r="G188" s="280"/>
      <c r="H188" s="282"/>
      <c r="I188" s="283"/>
      <c r="J188" s="280"/>
      <c r="K188" s="103"/>
      <c r="L188" s="146"/>
      <c r="M188" s="103"/>
      <c r="N188" s="103"/>
      <c r="O188" s="103">
        <f t="shared" si="1"/>
        <v>0</v>
      </c>
      <c r="P188" s="104">
        <f t="shared" si="2"/>
        <v>0</v>
      </c>
      <c r="Q188" s="147"/>
      <c r="R188" s="103"/>
      <c r="S188" s="103">
        <f t="shared" si="3"/>
        <v>0</v>
      </c>
      <c r="U188" s="107" t="str">
        <f t="shared" si="4"/>
        <v>0</v>
      </c>
    </row>
    <row r="189" ht="15.75" customHeight="1">
      <c r="A189" s="279"/>
      <c r="B189" s="280"/>
      <c r="C189" s="280"/>
      <c r="D189" s="280"/>
      <c r="E189" s="281"/>
      <c r="F189" s="281"/>
      <c r="G189" s="280"/>
      <c r="H189" s="282"/>
      <c r="I189" s="283"/>
      <c r="J189" s="280"/>
      <c r="K189" s="103"/>
      <c r="L189" s="146"/>
      <c r="M189" s="103"/>
      <c r="N189" s="103"/>
      <c r="O189" s="103">
        <f t="shared" si="1"/>
        <v>0</v>
      </c>
      <c r="P189" s="104">
        <f t="shared" si="2"/>
        <v>0</v>
      </c>
      <c r="Q189" s="147"/>
      <c r="R189" s="103"/>
      <c r="S189" s="103">
        <f t="shared" si="3"/>
        <v>0</v>
      </c>
      <c r="U189" s="107" t="str">
        <f t="shared" si="4"/>
        <v>0</v>
      </c>
    </row>
    <row r="190" ht="15.75" customHeight="1">
      <c r="A190" s="279"/>
      <c r="B190" s="280"/>
      <c r="C190" s="280"/>
      <c r="D190" s="280"/>
      <c r="E190" s="281"/>
      <c r="F190" s="281"/>
      <c r="G190" s="280"/>
      <c r="H190" s="282"/>
      <c r="I190" s="283"/>
      <c r="J190" s="280"/>
      <c r="K190" s="103"/>
      <c r="L190" s="146"/>
      <c r="M190" s="103"/>
      <c r="N190" s="103"/>
      <c r="O190" s="103">
        <f t="shared" si="1"/>
        <v>0</v>
      </c>
      <c r="P190" s="104">
        <f t="shared" si="2"/>
        <v>0</v>
      </c>
      <c r="Q190" s="147"/>
      <c r="R190" s="103"/>
      <c r="S190" s="103">
        <f t="shared" si="3"/>
        <v>0</v>
      </c>
      <c r="U190" s="107" t="str">
        <f t="shared" si="4"/>
        <v>0</v>
      </c>
    </row>
    <row r="191" ht="15.75" customHeight="1">
      <c r="A191" s="279"/>
      <c r="B191" s="280"/>
      <c r="C191" s="280"/>
      <c r="D191" s="280"/>
      <c r="E191" s="281"/>
      <c r="F191" s="281"/>
      <c r="G191" s="280"/>
      <c r="H191" s="282"/>
      <c r="I191" s="283"/>
      <c r="J191" s="280"/>
      <c r="K191" s="103"/>
      <c r="L191" s="146"/>
      <c r="M191" s="103"/>
      <c r="N191" s="103"/>
      <c r="O191" s="103">
        <f t="shared" si="1"/>
        <v>0</v>
      </c>
      <c r="P191" s="104">
        <f t="shared" si="2"/>
        <v>0</v>
      </c>
      <c r="Q191" s="147"/>
      <c r="R191" s="103"/>
      <c r="S191" s="103">
        <f t="shared" si="3"/>
        <v>0</v>
      </c>
      <c r="U191" s="107" t="str">
        <f t="shared" si="4"/>
        <v>0</v>
      </c>
    </row>
    <row r="192" ht="15.75" customHeight="1">
      <c r="A192" s="279"/>
      <c r="B192" s="280"/>
      <c r="C192" s="280"/>
      <c r="D192" s="280"/>
      <c r="E192" s="281"/>
      <c r="F192" s="281"/>
      <c r="G192" s="280"/>
      <c r="H192" s="282"/>
      <c r="I192" s="283"/>
      <c r="J192" s="280"/>
      <c r="K192" s="103"/>
      <c r="L192" s="146"/>
      <c r="M192" s="103"/>
      <c r="N192" s="103"/>
      <c r="O192" s="103">
        <f t="shared" si="1"/>
        <v>0</v>
      </c>
      <c r="P192" s="104">
        <f t="shared" si="2"/>
        <v>0</v>
      </c>
      <c r="Q192" s="147"/>
      <c r="R192" s="103"/>
      <c r="S192" s="103">
        <f t="shared" si="3"/>
        <v>0</v>
      </c>
      <c r="U192" s="107" t="str">
        <f t="shared" si="4"/>
        <v>0</v>
      </c>
    </row>
    <row r="193" ht="15.75" customHeight="1">
      <c r="A193" s="279"/>
      <c r="B193" s="280"/>
      <c r="C193" s="280"/>
      <c r="D193" s="280"/>
      <c r="E193" s="281"/>
      <c r="F193" s="281"/>
      <c r="G193" s="280"/>
      <c r="H193" s="282"/>
      <c r="I193" s="283"/>
      <c r="J193" s="280"/>
      <c r="K193" s="103"/>
      <c r="L193" s="146"/>
      <c r="M193" s="103"/>
      <c r="N193" s="103"/>
      <c r="O193" s="103">
        <f t="shared" si="1"/>
        <v>0</v>
      </c>
      <c r="P193" s="104">
        <f t="shared" si="2"/>
        <v>0</v>
      </c>
      <c r="Q193" s="147"/>
      <c r="R193" s="103"/>
      <c r="S193" s="103">
        <f t="shared" si="3"/>
        <v>0</v>
      </c>
      <c r="U193" s="107" t="str">
        <f t="shared" si="4"/>
        <v>0</v>
      </c>
    </row>
    <row r="194" ht="15.75" customHeight="1">
      <c r="A194" s="279"/>
      <c r="B194" s="280"/>
      <c r="C194" s="280"/>
      <c r="D194" s="280"/>
      <c r="E194" s="281"/>
      <c r="F194" s="281"/>
      <c r="G194" s="280"/>
      <c r="H194" s="282"/>
      <c r="I194" s="283"/>
      <c r="J194" s="280"/>
      <c r="K194" s="103"/>
      <c r="L194" s="146"/>
      <c r="M194" s="103"/>
      <c r="N194" s="103"/>
      <c r="O194" s="103">
        <f t="shared" si="1"/>
        <v>0</v>
      </c>
      <c r="P194" s="104">
        <f t="shared" si="2"/>
        <v>0</v>
      </c>
      <c r="Q194" s="147"/>
      <c r="R194" s="103"/>
      <c r="S194" s="103">
        <f t="shared" si="3"/>
        <v>0</v>
      </c>
      <c r="U194" s="107" t="str">
        <f t="shared" si="4"/>
        <v>0</v>
      </c>
    </row>
    <row r="195" ht="15.75" customHeight="1">
      <c r="A195" s="279"/>
      <c r="B195" s="280"/>
      <c r="C195" s="280"/>
      <c r="D195" s="280"/>
      <c r="E195" s="281"/>
      <c r="F195" s="281"/>
      <c r="G195" s="280"/>
      <c r="H195" s="282"/>
      <c r="I195" s="283"/>
      <c r="J195" s="280"/>
      <c r="K195" s="103"/>
      <c r="L195" s="146"/>
      <c r="M195" s="103"/>
      <c r="N195" s="103"/>
      <c r="O195" s="103">
        <f t="shared" si="1"/>
        <v>0</v>
      </c>
      <c r="P195" s="104">
        <f t="shared" si="2"/>
        <v>0</v>
      </c>
      <c r="Q195" s="147"/>
      <c r="R195" s="103"/>
      <c r="S195" s="103">
        <f t="shared" si="3"/>
        <v>0</v>
      </c>
      <c r="U195" s="107" t="str">
        <f t="shared" si="4"/>
        <v>0</v>
      </c>
    </row>
    <row r="196" ht="15.75" customHeight="1">
      <c r="A196" s="279"/>
      <c r="B196" s="280"/>
      <c r="C196" s="280"/>
      <c r="D196" s="280"/>
      <c r="E196" s="281"/>
      <c r="F196" s="281"/>
      <c r="G196" s="280"/>
      <c r="H196" s="282"/>
      <c r="I196" s="283"/>
      <c r="J196" s="280"/>
      <c r="K196" s="103"/>
      <c r="L196" s="146"/>
      <c r="M196" s="103"/>
      <c r="N196" s="103"/>
      <c r="O196" s="103">
        <f t="shared" si="1"/>
        <v>0</v>
      </c>
      <c r="P196" s="104">
        <f t="shared" si="2"/>
        <v>0</v>
      </c>
      <c r="Q196" s="147"/>
      <c r="R196" s="103"/>
      <c r="S196" s="103">
        <f t="shared" si="3"/>
        <v>0</v>
      </c>
      <c r="U196" s="107" t="str">
        <f t="shared" si="4"/>
        <v>0</v>
      </c>
    </row>
    <row r="197" ht="15.75" customHeight="1">
      <c r="A197" s="279"/>
      <c r="B197" s="280"/>
      <c r="C197" s="280"/>
      <c r="D197" s="280"/>
      <c r="E197" s="281"/>
      <c r="F197" s="281"/>
      <c r="G197" s="280"/>
      <c r="H197" s="282"/>
      <c r="I197" s="283"/>
      <c r="J197" s="280"/>
      <c r="K197" s="103"/>
      <c r="L197" s="146"/>
      <c r="M197" s="103"/>
      <c r="N197" s="103"/>
      <c r="O197" s="103">
        <f t="shared" si="1"/>
        <v>0</v>
      </c>
      <c r="P197" s="104">
        <f t="shared" si="2"/>
        <v>0</v>
      </c>
      <c r="Q197" s="147"/>
      <c r="R197" s="103"/>
      <c r="S197" s="103">
        <f t="shared" si="3"/>
        <v>0</v>
      </c>
      <c r="U197" s="107" t="str">
        <f t="shared" si="4"/>
        <v>0</v>
      </c>
    </row>
    <row r="198" ht="15.75" customHeight="1">
      <c r="A198" s="279"/>
      <c r="B198" s="280"/>
      <c r="C198" s="280"/>
      <c r="D198" s="280"/>
      <c r="E198" s="281"/>
      <c r="F198" s="281"/>
      <c r="G198" s="280"/>
      <c r="H198" s="282"/>
      <c r="I198" s="283"/>
      <c r="J198" s="280"/>
      <c r="K198" s="103"/>
      <c r="L198" s="146"/>
      <c r="M198" s="103"/>
      <c r="N198" s="103"/>
      <c r="O198" s="103">
        <f t="shared" si="1"/>
        <v>0</v>
      </c>
      <c r="P198" s="104">
        <f t="shared" si="2"/>
        <v>0</v>
      </c>
      <c r="Q198" s="147"/>
      <c r="R198" s="103"/>
      <c r="S198" s="103">
        <f t="shared" si="3"/>
        <v>0</v>
      </c>
      <c r="U198" s="107" t="str">
        <f t="shared" si="4"/>
        <v>0</v>
      </c>
    </row>
    <row r="199" ht="15.75" customHeight="1">
      <c r="A199" s="279"/>
      <c r="B199" s="280"/>
      <c r="C199" s="280"/>
      <c r="D199" s="280"/>
      <c r="E199" s="281"/>
      <c r="F199" s="281"/>
      <c r="G199" s="280"/>
      <c r="H199" s="282"/>
      <c r="I199" s="283"/>
      <c r="J199" s="280"/>
      <c r="K199" s="103"/>
      <c r="L199" s="146"/>
      <c r="M199" s="103"/>
      <c r="N199" s="103"/>
      <c r="O199" s="103">
        <f t="shared" si="1"/>
        <v>0</v>
      </c>
      <c r="P199" s="104">
        <f t="shared" si="2"/>
        <v>0</v>
      </c>
      <c r="Q199" s="147"/>
      <c r="R199" s="103"/>
      <c r="S199" s="103">
        <f t="shared" si="3"/>
        <v>0</v>
      </c>
      <c r="U199" s="107" t="str">
        <f t="shared" si="4"/>
        <v>0</v>
      </c>
    </row>
    <row r="200" ht="15.75" customHeight="1">
      <c r="A200" s="279"/>
      <c r="B200" s="280"/>
      <c r="C200" s="280"/>
      <c r="D200" s="280"/>
      <c r="E200" s="281"/>
      <c r="F200" s="281"/>
      <c r="G200" s="280"/>
      <c r="H200" s="282"/>
      <c r="I200" s="283"/>
      <c r="J200" s="280"/>
      <c r="K200" s="103"/>
      <c r="L200" s="146"/>
      <c r="M200" s="103"/>
      <c r="N200" s="103"/>
      <c r="O200" s="103">
        <f t="shared" si="1"/>
        <v>0</v>
      </c>
      <c r="P200" s="104">
        <f t="shared" si="2"/>
        <v>0</v>
      </c>
      <c r="Q200" s="147"/>
      <c r="R200" s="103"/>
      <c r="S200" s="103">
        <f t="shared" si="3"/>
        <v>0</v>
      </c>
      <c r="U200" s="107" t="str">
        <f t="shared" si="4"/>
        <v>0</v>
      </c>
    </row>
    <row r="201" ht="15.75" customHeight="1">
      <c r="A201" s="279"/>
      <c r="B201" s="280"/>
      <c r="C201" s="280"/>
      <c r="D201" s="280"/>
      <c r="E201" s="281"/>
      <c r="F201" s="281"/>
      <c r="G201" s="280"/>
      <c r="H201" s="282"/>
      <c r="I201" s="283"/>
      <c r="J201" s="280"/>
      <c r="K201" s="103"/>
      <c r="L201" s="146"/>
      <c r="M201" s="103"/>
      <c r="N201" s="103"/>
      <c r="O201" s="103">
        <f t="shared" si="1"/>
        <v>0</v>
      </c>
      <c r="P201" s="104">
        <f t="shared" si="2"/>
        <v>0</v>
      </c>
      <c r="Q201" s="147"/>
      <c r="R201" s="103"/>
      <c r="S201" s="103">
        <f t="shared" si="3"/>
        <v>0</v>
      </c>
      <c r="U201" s="107" t="str">
        <f t="shared" si="4"/>
        <v>0</v>
      </c>
    </row>
    <row r="202" ht="15.75" customHeight="1">
      <c r="A202" s="279"/>
      <c r="B202" s="280"/>
      <c r="C202" s="280"/>
      <c r="D202" s="280"/>
      <c r="E202" s="281"/>
      <c r="F202" s="281"/>
      <c r="G202" s="280"/>
      <c r="H202" s="282"/>
      <c r="I202" s="283"/>
      <c r="J202" s="280"/>
      <c r="K202" s="103"/>
      <c r="L202" s="146"/>
      <c r="M202" s="103"/>
      <c r="N202" s="103"/>
      <c r="O202" s="103">
        <f t="shared" si="1"/>
        <v>0</v>
      </c>
      <c r="P202" s="104">
        <f t="shared" si="2"/>
        <v>0</v>
      </c>
      <c r="Q202" s="147"/>
      <c r="R202" s="103"/>
      <c r="S202" s="103">
        <f t="shared" si="3"/>
        <v>0</v>
      </c>
      <c r="U202" s="107" t="str">
        <f t="shared" si="4"/>
        <v>0</v>
      </c>
    </row>
    <row r="203" ht="15.75" customHeight="1">
      <c r="A203" s="279"/>
      <c r="B203" s="280"/>
      <c r="C203" s="280"/>
      <c r="D203" s="280"/>
      <c r="E203" s="281"/>
      <c r="F203" s="281"/>
      <c r="G203" s="280"/>
      <c r="H203" s="282"/>
      <c r="I203" s="283"/>
      <c r="J203" s="280"/>
      <c r="K203" s="103"/>
      <c r="L203" s="146"/>
      <c r="M203" s="103"/>
      <c r="N203" s="103"/>
      <c r="O203" s="103">
        <f t="shared" si="1"/>
        <v>0</v>
      </c>
      <c r="P203" s="104">
        <f t="shared" si="2"/>
        <v>0</v>
      </c>
      <c r="Q203" s="147"/>
      <c r="R203" s="103"/>
      <c r="S203" s="103">
        <f t="shared" si="3"/>
        <v>0</v>
      </c>
      <c r="U203" s="107" t="str">
        <f t="shared" si="4"/>
        <v>0</v>
      </c>
    </row>
    <row r="204" ht="15.75" customHeight="1">
      <c r="A204" s="279"/>
      <c r="B204" s="280"/>
      <c r="C204" s="280"/>
      <c r="D204" s="280"/>
      <c r="E204" s="281"/>
      <c r="F204" s="281"/>
      <c r="G204" s="280"/>
      <c r="H204" s="282"/>
      <c r="I204" s="283"/>
      <c r="J204" s="280"/>
      <c r="K204" s="103"/>
      <c r="L204" s="146"/>
      <c r="M204" s="103"/>
      <c r="N204" s="103"/>
      <c r="O204" s="103">
        <f t="shared" si="1"/>
        <v>0</v>
      </c>
      <c r="P204" s="104">
        <f t="shared" si="2"/>
        <v>0</v>
      </c>
      <c r="Q204" s="147"/>
      <c r="R204" s="103"/>
      <c r="S204" s="103">
        <f t="shared" si="3"/>
        <v>0</v>
      </c>
      <c r="U204" s="107" t="str">
        <f t="shared" si="4"/>
        <v>0</v>
      </c>
    </row>
    <row r="205" ht="15.75" customHeight="1">
      <c r="A205" s="279"/>
      <c r="B205" s="280"/>
      <c r="C205" s="280"/>
      <c r="D205" s="280"/>
      <c r="E205" s="281"/>
      <c r="F205" s="281"/>
      <c r="G205" s="280"/>
      <c r="H205" s="282"/>
      <c r="I205" s="283"/>
      <c r="J205" s="280"/>
      <c r="K205" s="103"/>
      <c r="L205" s="146"/>
      <c r="M205" s="103"/>
      <c r="N205" s="103"/>
      <c r="O205" s="103">
        <f t="shared" si="1"/>
        <v>0</v>
      </c>
      <c r="P205" s="104">
        <f t="shared" si="2"/>
        <v>0</v>
      </c>
      <c r="Q205" s="147"/>
      <c r="R205" s="103"/>
      <c r="S205" s="103">
        <f t="shared" si="3"/>
        <v>0</v>
      </c>
      <c r="U205" s="107" t="str">
        <f t="shared" si="4"/>
        <v>0</v>
      </c>
    </row>
    <row r="206" ht="15.75" customHeight="1">
      <c r="A206" s="279"/>
      <c r="B206" s="280"/>
      <c r="C206" s="280"/>
      <c r="D206" s="280"/>
      <c r="E206" s="281"/>
      <c r="F206" s="281"/>
      <c r="G206" s="280"/>
      <c r="H206" s="282"/>
      <c r="I206" s="283"/>
      <c r="J206" s="280"/>
      <c r="K206" s="103"/>
      <c r="L206" s="146"/>
      <c r="M206" s="103"/>
      <c r="N206" s="103"/>
      <c r="O206" s="103">
        <f t="shared" si="1"/>
        <v>0</v>
      </c>
      <c r="P206" s="104">
        <f t="shared" si="2"/>
        <v>0</v>
      </c>
      <c r="Q206" s="147"/>
      <c r="R206" s="103"/>
      <c r="S206" s="103">
        <f t="shared" si="3"/>
        <v>0</v>
      </c>
      <c r="U206" s="107" t="str">
        <f t="shared" si="4"/>
        <v>0</v>
      </c>
    </row>
    <row r="207" ht="15.75" customHeight="1">
      <c r="A207" s="279"/>
      <c r="B207" s="280"/>
      <c r="C207" s="280"/>
      <c r="D207" s="280"/>
      <c r="E207" s="281"/>
      <c r="F207" s="281"/>
      <c r="G207" s="280"/>
      <c r="H207" s="282"/>
      <c r="I207" s="283"/>
      <c r="J207" s="280"/>
      <c r="K207" s="103"/>
      <c r="L207" s="146"/>
      <c r="M207" s="103"/>
      <c r="N207" s="103"/>
      <c r="O207" s="103">
        <f t="shared" si="1"/>
        <v>0</v>
      </c>
      <c r="P207" s="104">
        <f t="shared" si="2"/>
        <v>0</v>
      </c>
      <c r="Q207" s="147"/>
      <c r="R207" s="103"/>
      <c r="S207" s="103">
        <f t="shared" si="3"/>
        <v>0</v>
      </c>
      <c r="U207" s="107" t="str">
        <f t="shared" si="4"/>
        <v>0</v>
      </c>
    </row>
    <row r="208" ht="15.75" customHeight="1">
      <c r="A208" s="279"/>
      <c r="B208" s="280"/>
      <c r="C208" s="280"/>
      <c r="D208" s="280"/>
      <c r="E208" s="281"/>
      <c r="F208" s="281"/>
      <c r="G208" s="280"/>
      <c r="H208" s="282"/>
      <c r="I208" s="283"/>
      <c r="J208" s="280"/>
      <c r="K208" s="103"/>
      <c r="L208" s="146"/>
      <c r="M208" s="103"/>
      <c r="N208" s="103"/>
      <c r="O208" s="103">
        <f t="shared" si="1"/>
        <v>0</v>
      </c>
      <c r="P208" s="104">
        <f t="shared" si="2"/>
        <v>0</v>
      </c>
      <c r="Q208" s="147"/>
      <c r="R208" s="103"/>
      <c r="S208" s="103">
        <f t="shared" si="3"/>
        <v>0</v>
      </c>
      <c r="U208" s="107" t="str">
        <f t="shared" si="4"/>
        <v>0</v>
      </c>
    </row>
    <row r="209" ht="15.75" customHeight="1">
      <c r="A209" s="279"/>
      <c r="B209" s="280"/>
      <c r="C209" s="280"/>
      <c r="D209" s="280"/>
      <c r="E209" s="281"/>
      <c r="F209" s="281"/>
      <c r="G209" s="280"/>
      <c r="H209" s="282"/>
      <c r="I209" s="283"/>
      <c r="J209" s="280"/>
      <c r="K209" s="103"/>
      <c r="L209" s="146"/>
      <c r="M209" s="103"/>
      <c r="N209" s="103"/>
      <c r="O209" s="103">
        <f t="shared" si="1"/>
        <v>0</v>
      </c>
      <c r="P209" s="104">
        <f t="shared" si="2"/>
        <v>0</v>
      </c>
      <c r="Q209" s="147"/>
      <c r="R209" s="103"/>
      <c r="S209" s="103">
        <f t="shared" si="3"/>
        <v>0</v>
      </c>
      <c r="U209" s="107" t="str">
        <f t="shared" si="4"/>
        <v>0</v>
      </c>
    </row>
    <row r="210" ht="15.75" customHeight="1">
      <c r="A210" s="279"/>
      <c r="B210" s="280"/>
      <c r="C210" s="280"/>
      <c r="D210" s="280"/>
      <c r="E210" s="281"/>
      <c r="F210" s="281"/>
      <c r="G210" s="280"/>
      <c r="H210" s="282"/>
      <c r="I210" s="283"/>
      <c r="J210" s="280"/>
      <c r="K210" s="103"/>
      <c r="L210" s="146"/>
      <c r="M210" s="103"/>
      <c r="N210" s="103"/>
      <c r="O210" s="103">
        <f t="shared" si="1"/>
        <v>0</v>
      </c>
      <c r="P210" s="104">
        <f t="shared" si="2"/>
        <v>0</v>
      </c>
      <c r="Q210" s="147"/>
      <c r="R210" s="103"/>
      <c r="S210" s="103">
        <f t="shared" si="3"/>
        <v>0</v>
      </c>
      <c r="U210" s="107" t="str">
        <f t="shared" si="4"/>
        <v>0</v>
      </c>
    </row>
    <row r="211" ht="15.75" customHeight="1">
      <c r="A211" s="279"/>
      <c r="B211" s="280"/>
      <c r="C211" s="280"/>
      <c r="D211" s="280"/>
      <c r="E211" s="281"/>
      <c r="F211" s="281"/>
      <c r="G211" s="280"/>
      <c r="H211" s="282"/>
      <c r="I211" s="283"/>
      <c r="J211" s="280"/>
      <c r="K211" s="103"/>
      <c r="L211" s="146"/>
      <c r="M211" s="103"/>
      <c r="N211" s="103"/>
      <c r="O211" s="103">
        <f t="shared" si="1"/>
        <v>0</v>
      </c>
      <c r="P211" s="104">
        <f t="shared" si="2"/>
        <v>0</v>
      </c>
      <c r="Q211" s="147"/>
      <c r="R211" s="103"/>
      <c r="S211" s="103">
        <f t="shared" si="3"/>
        <v>0</v>
      </c>
      <c r="U211" s="107" t="str">
        <f t="shared" si="4"/>
        <v>0</v>
      </c>
    </row>
    <row r="212" ht="15.75" customHeight="1">
      <c r="A212" s="279"/>
      <c r="B212" s="280"/>
      <c r="C212" s="280"/>
      <c r="D212" s="280"/>
      <c r="E212" s="281"/>
      <c r="F212" s="281"/>
      <c r="G212" s="280"/>
      <c r="H212" s="282"/>
      <c r="I212" s="283"/>
      <c r="J212" s="280"/>
      <c r="K212" s="103"/>
      <c r="L212" s="146"/>
      <c r="M212" s="103"/>
      <c r="N212" s="103"/>
      <c r="O212" s="103">
        <f t="shared" si="1"/>
        <v>0</v>
      </c>
      <c r="P212" s="104">
        <f t="shared" si="2"/>
        <v>0</v>
      </c>
      <c r="Q212" s="147"/>
      <c r="R212" s="103"/>
      <c r="S212" s="103">
        <f t="shared" si="3"/>
        <v>0</v>
      </c>
      <c r="U212" s="107" t="str">
        <f t="shared" si="4"/>
        <v>0</v>
      </c>
    </row>
    <row r="213" ht="15.75" customHeight="1">
      <c r="A213" s="279"/>
      <c r="B213" s="280"/>
      <c r="C213" s="280"/>
      <c r="D213" s="280"/>
      <c r="E213" s="281"/>
      <c r="F213" s="281"/>
      <c r="G213" s="280"/>
      <c r="H213" s="282"/>
      <c r="I213" s="283"/>
      <c r="J213" s="280"/>
      <c r="K213" s="103"/>
      <c r="L213" s="146"/>
      <c r="M213" s="103"/>
      <c r="N213" s="103"/>
      <c r="O213" s="103">
        <f t="shared" si="1"/>
        <v>0</v>
      </c>
      <c r="P213" s="104">
        <f t="shared" si="2"/>
        <v>0</v>
      </c>
      <c r="Q213" s="147"/>
      <c r="R213" s="103"/>
      <c r="S213" s="103">
        <f t="shared" si="3"/>
        <v>0</v>
      </c>
      <c r="U213" s="107" t="str">
        <f t="shared" si="4"/>
        <v>0</v>
      </c>
    </row>
    <row r="214" ht="15.75" customHeight="1">
      <c r="A214" s="279"/>
      <c r="B214" s="280"/>
      <c r="C214" s="280"/>
      <c r="D214" s="280"/>
      <c r="E214" s="281"/>
      <c r="F214" s="281"/>
      <c r="G214" s="280"/>
      <c r="H214" s="282"/>
      <c r="I214" s="283"/>
      <c r="J214" s="280"/>
      <c r="K214" s="103"/>
      <c r="L214" s="146"/>
      <c r="M214" s="103"/>
      <c r="N214" s="103"/>
      <c r="O214" s="103">
        <f t="shared" si="1"/>
        <v>0</v>
      </c>
      <c r="P214" s="104">
        <f t="shared" si="2"/>
        <v>0</v>
      </c>
      <c r="Q214" s="147"/>
      <c r="R214" s="103"/>
      <c r="S214" s="103">
        <f t="shared" si="3"/>
        <v>0</v>
      </c>
      <c r="U214" s="107" t="str">
        <f t="shared" si="4"/>
        <v>0</v>
      </c>
    </row>
    <row r="215" ht="15.75" customHeight="1">
      <c r="A215" s="279"/>
      <c r="B215" s="280"/>
      <c r="C215" s="280"/>
      <c r="D215" s="280"/>
      <c r="E215" s="281"/>
      <c r="F215" s="281"/>
      <c r="G215" s="280"/>
      <c r="H215" s="282"/>
      <c r="I215" s="283"/>
      <c r="J215" s="280"/>
      <c r="K215" s="103"/>
      <c r="L215" s="146"/>
      <c r="M215" s="103"/>
      <c r="N215" s="103"/>
      <c r="O215" s="103">
        <f t="shared" si="1"/>
        <v>0</v>
      </c>
      <c r="P215" s="104">
        <f t="shared" si="2"/>
        <v>0</v>
      </c>
      <c r="Q215" s="147"/>
      <c r="R215" s="103"/>
      <c r="S215" s="103">
        <f t="shared" si="3"/>
        <v>0</v>
      </c>
      <c r="U215" s="107" t="str">
        <f t="shared" si="4"/>
        <v>0</v>
      </c>
    </row>
    <row r="216" ht="15.75" customHeight="1">
      <c r="A216" s="279"/>
      <c r="B216" s="280"/>
      <c r="C216" s="280"/>
      <c r="D216" s="280"/>
      <c r="E216" s="281"/>
      <c r="F216" s="281"/>
      <c r="G216" s="280"/>
      <c r="H216" s="282"/>
      <c r="I216" s="283"/>
      <c r="J216" s="280"/>
      <c r="K216" s="103"/>
      <c r="L216" s="146"/>
      <c r="M216" s="103"/>
      <c r="N216" s="103"/>
      <c r="O216" s="103">
        <f t="shared" si="1"/>
        <v>0</v>
      </c>
      <c r="P216" s="104">
        <f t="shared" si="2"/>
        <v>0</v>
      </c>
      <c r="Q216" s="147"/>
      <c r="R216" s="103"/>
      <c r="S216" s="103">
        <f t="shared" si="3"/>
        <v>0</v>
      </c>
      <c r="U216" s="107" t="str">
        <f t="shared" si="4"/>
        <v>0</v>
      </c>
    </row>
    <row r="217" ht="15.75" customHeight="1">
      <c r="A217" s="279"/>
      <c r="B217" s="280"/>
      <c r="C217" s="280"/>
      <c r="D217" s="280"/>
      <c r="E217" s="281"/>
      <c r="F217" s="281"/>
      <c r="G217" s="280"/>
      <c r="H217" s="282"/>
      <c r="I217" s="283"/>
      <c r="J217" s="280"/>
      <c r="K217" s="103"/>
      <c r="L217" s="146"/>
      <c r="M217" s="103"/>
      <c r="N217" s="103"/>
      <c r="O217" s="103">
        <f t="shared" si="1"/>
        <v>0</v>
      </c>
      <c r="P217" s="104">
        <f t="shared" si="2"/>
        <v>0</v>
      </c>
      <c r="Q217" s="147"/>
      <c r="R217" s="103"/>
      <c r="S217" s="103">
        <f t="shared" si="3"/>
        <v>0</v>
      </c>
      <c r="U217" s="107" t="str">
        <f t="shared" si="4"/>
        <v>0</v>
      </c>
    </row>
    <row r="218" ht="15.75" customHeight="1">
      <c r="A218" s="279"/>
      <c r="B218" s="280"/>
      <c r="C218" s="280"/>
      <c r="D218" s="280"/>
      <c r="E218" s="281"/>
      <c r="F218" s="281"/>
      <c r="G218" s="280"/>
      <c r="H218" s="282"/>
      <c r="I218" s="283"/>
      <c r="J218" s="280"/>
      <c r="K218" s="103"/>
      <c r="L218" s="146"/>
      <c r="M218" s="103"/>
      <c r="N218" s="103"/>
      <c r="O218" s="103">
        <f t="shared" si="1"/>
        <v>0</v>
      </c>
      <c r="P218" s="104">
        <f t="shared" si="2"/>
        <v>0</v>
      </c>
      <c r="Q218" s="147"/>
      <c r="R218" s="103"/>
      <c r="S218" s="103">
        <f t="shared" si="3"/>
        <v>0</v>
      </c>
      <c r="U218" s="107" t="str">
        <f t="shared" si="4"/>
        <v>0</v>
      </c>
    </row>
    <row r="219" ht="15.75" customHeight="1">
      <c r="A219" s="279"/>
      <c r="B219" s="280"/>
      <c r="C219" s="280"/>
      <c r="D219" s="280"/>
      <c r="E219" s="281"/>
      <c r="F219" s="281"/>
      <c r="G219" s="280"/>
      <c r="H219" s="282"/>
      <c r="I219" s="283"/>
      <c r="J219" s="280"/>
      <c r="K219" s="103"/>
      <c r="L219" s="146"/>
      <c r="M219" s="103"/>
      <c r="N219" s="103"/>
      <c r="O219" s="103">
        <f t="shared" si="1"/>
        <v>0</v>
      </c>
      <c r="P219" s="104">
        <f t="shared" si="2"/>
        <v>0</v>
      </c>
      <c r="Q219" s="147"/>
      <c r="R219" s="103"/>
      <c r="S219" s="103">
        <f t="shared" si="3"/>
        <v>0</v>
      </c>
      <c r="U219" s="107" t="str">
        <f t="shared" si="4"/>
        <v>0</v>
      </c>
    </row>
    <row r="220" ht="15.75" customHeight="1">
      <c r="A220" s="279"/>
      <c r="B220" s="280"/>
      <c r="C220" s="280"/>
      <c r="D220" s="280"/>
      <c r="E220" s="281"/>
      <c r="F220" s="281"/>
      <c r="G220" s="280"/>
      <c r="H220" s="282"/>
      <c r="I220" s="283"/>
      <c r="J220" s="280"/>
      <c r="K220" s="103"/>
      <c r="L220" s="146"/>
      <c r="M220" s="103"/>
      <c r="N220" s="103"/>
      <c r="O220" s="103">
        <f t="shared" si="1"/>
        <v>0</v>
      </c>
      <c r="P220" s="104">
        <f t="shared" si="2"/>
        <v>0</v>
      </c>
      <c r="Q220" s="147"/>
      <c r="R220" s="103"/>
      <c r="S220" s="103">
        <f t="shared" si="3"/>
        <v>0</v>
      </c>
      <c r="U220" s="107" t="str">
        <f t="shared" si="4"/>
        <v>0</v>
      </c>
    </row>
    <row r="221" ht="15.75" customHeight="1">
      <c r="A221" s="279"/>
      <c r="B221" s="280"/>
      <c r="C221" s="280"/>
      <c r="D221" s="280"/>
      <c r="E221" s="281"/>
      <c r="F221" s="281"/>
      <c r="G221" s="280"/>
      <c r="H221" s="282"/>
      <c r="I221" s="283"/>
      <c r="J221" s="280"/>
      <c r="K221" s="103"/>
      <c r="L221" s="146"/>
      <c r="M221" s="103"/>
      <c r="N221" s="103"/>
      <c r="O221" s="103">
        <f t="shared" si="1"/>
        <v>0</v>
      </c>
      <c r="P221" s="104">
        <f t="shared" si="2"/>
        <v>0</v>
      </c>
      <c r="Q221" s="147"/>
      <c r="R221" s="103"/>
      <c r="S221" s="103">
        <f t="shared" si="3"/>
        <v>0</v>
      </c>
      <c r="U221" s="107" t="str">
        <f t="shared" si="4"/>
        <v>0</v>
      </c>
    </row>
    <row r="222" ht="15.75" customHeight="1">
      <c r="A222" s="279"/>
      <c r="B222" s="280"/>
      <c r="C222" s="280"/>
      <c r="D222" s="280"/>
      <c r="E222" s="281"/>
      <c r="F222" s="281"/>
      <c r="G222" s="280"/>
      <c r="H222" s="282"/>
      <c r="I222" s="283"/>
      <c r="J222" s="280"/>
      <c r="K222" s="103"/>
      <c r="L222" s="146"/>
      <c r="M222" s="103"/>
      <c r="N222" s="103"/>
      <c r="O222" s="103">
        <f t="shared" si="1"/>
        <v>0</v>
      </c>
      <c r="P222" s="104">
        <f t="shared" si="2"/>
        <v>0</v>
      </c>
      <c r="Q222" s="147"/>
      <c r="R222" s="103"/>
      <c r="S222" s="103">
        <f t="shared" si="3"/>
        <v>0</v>
      </c>
      <c r="U222" s="107" t="str">
        <f t="shared" si="4"/>
        <v>0</v>
      </c>
    </row>
    <row r="223" ht="15.75" customHeight="1">
      <c r="A223" s="279"/>
      <c r="B223" s="280"/>
      <c r="C223" s="280"/>
      <c r="D223" s="280"/>
      <c r="E223" s="281"/>
      <c r="F223" s="281"/>
      <c r="G223" s="280"/>
      <c r="H223" s="282"/>
      <c r="I223" s="283"/>
      <c r="J223" s="280"/>
      <c r="K223" s="103"/>
      <c r="L223" s="146"/>
      <c r="M223" s="103"/>
      <c r="N223" s="103"/>
      <c r="O223" s="103">
        <f t="shared" si="1"/>
        <v>0</v>
      </c>
      <c r="P223" s="104">
        <f t="shared" si="2"/>
        <v>0</v>
      </c>
      <c r="Q223" s="147"/>
      <c r="R223" s="103"/>
      <c r="S223" s="103">
        <f t="shared" si="3"/>
        <v>0</v>
      </c>
      <c r="U223" s="107" t="str">
        <f t="shared" si="4"/>
        <v>0</v>
      </c>
    </row>
    <row r="224" ht="15.75" customHeight="1">
      <c r="A224" s="279"/>
      <c r="B224" s="280"/>
      <c r="C224" s="280"/>
      <c r="D224" s="280"/>
      <c r="E224" s="281"/>
      <c r="F224" s="281"/>
      <c r="G224" s="280"/>
      <c r="H224" s="282"/>
      <c r="I224" s="283"/>
      <c r="J224" s="280"/>
      <c r="K224" s="103"/>
      <c r="L224" s="146"/>
      <c r="M224" s="103"/>
      <c r="N224" s="103"/>
      <c r="O224" s="103">
        <f t="shared" si="1"/>
        <v>0</v>
      </c>
      <c r="P224" s="104">
        <f t="shared" si="2"/>
        <v>0</v>
      </c>
      <c r="Q224" s="147"/>
      <c r="R224" s="103"/>
      <c r="S224" s="103">
        <f t="shared" si="3"/>
        <v>0</v>
      </c>
      <c r="U224" s="107" t="str">
        <f t="shared" si="4"/>
        <v>0</v>
      </c>
    </row>
    <row r="225" ht="15.75" customHeight="1">
      <c r="A225" s="279"/>
      <c r="B225" s="280"/>
      <c r="C225" s="280"/>
      <c r="D225" s="280"/>
      <c r="E225" s="281"/>
      <c r="F225" s="281"/>
      <c r="G225" s="280"/>
      <c r="H225" s="282"/>
      <c r="I225" s="283"/>
      <c r="J225" s="280"/>
      <c r="K225" s="103"/>
      <c r="L225" s="146"/>
      <c r="M225" s="103"/>
      <c r="N225" s="103"/>
      <c r="O225" s="103">
        <f t="shared" si="1"/>
        <v>0</v>
      </c>
      <c r="P225" s="104">
        <f t="shared" si="2"/>
        <v>0</v>
      </c>
      <c r="Q225" s="147"/>
      <c r="R225" s="103"/>
      <c r="S225" s="103">
        <f t="shared" si="3"/>
        <v>0</v>
      </c>
      <c r="U225" s="107" t="str">
        <f t="shared" si="4"/>
        <v>0</v>
      </c>
    </row>
    <row r="226" ht="15.75" customHeight="1">
      <c r="A226" s="279"/>
      <c r="B226" s="280"/>
      <c r="C226" s="280"/>
      <c r="D226" s="280"/>
      <c r="E226" s="281"/>
      <c r="F226" s="281"/>
      <c r="G226" s="280"/>
      <c r="H226" s="282"/>
      <c r="I226" s="283"/>
      <c r="J226" s="280"/>
      <c r="K226" s="103"/>
      <c r="L226" s="146"/>
      <c r="M226" s="103"/>
      <c r="N226" s="103"/>
      <c r="O226" s="103">
        <f t="shared" si="1"/>
        <v>0</v>
      </c>
      <c r="P226" s="104">
        <f t="shared" si="2"/>
        <v>0</v>
      </c>
      <c r="Q226" s="147"/>
      <c r="R226" s="103"/>
      <c r="S226" s="103">
        <f t="shared" si="3"/>
        <v>0</v>
      </c>
      <c r="U226" s="107" t="str">
        <f t="shared" si="4"/>
        <v>0</v>
      </c>
    </row>
    <row r="227" ht="15.75" customHeight="1">
      <c r="A227" s="279"/>
      <c r="B227" s="280"/>
      <c r="C227" s="280"/>
      <c r="D227" s="280"/>
      <c r="E227" s="281"/>
      <c r="F227" s="281"/>
      <c r="G227" s="280"/>
      <c r="H227" s="282"/>
      <c r="I227" s="283"/>
      <c r="J227" s="280"/>
      <c r="K227" s="103"/>
      <c r="L227" s="146"/>
      <c r="M227" s="103"/>
      <c r="N227" s="103"/>
      <c r="O227" s="103">
        <f t="shared" si="1"/>
        <v>0</v>
      </c>
      <c r="P227" s="104">
        <f t="shared" si="2"/>
        <v>0</v>
      </c>
      <c r="Q227" s="147"/>
      <c r="R227" s="103"/>
      <c r="S227" s="103">
        <f t="shared" si="3"/>
        <v>0</v>
      </c>
      <c r="U227" s="107" t="str">
        <f t="shared" si="4"/>
        <v>0</v>
      </c>
    </row>
    <row r="228" ht="15.75" customHeight="1">
      <c r="A228" s="279"/>
      <c r="B228" s="280"/>
      <c r="C228" s="280"/>
      <c r="D228" s="280"/>
      <c r="E228" s="281"/>
      <c r="F228" s="281"/>
      <c r="G228" s="280"/>
      <c r="H228" s="282"/>
      <c r="I228" s="283"/>
      <c r="J228" s="280"/>
      <c r="K228" s="103"/>
      <c r="L228" s="146"/>
      <c r="M228" s="103"/>
      <c r="N228" s="103"/>
      <c r="O228" s="103">
        <f t="shared" si="1"/>
        <v>0</v>
      </c>
      <c r="P228" s="104">
        <f t="shared" si="2"/>
        <v>0</v>
      </c>
      <c r="Q228" s="147"/>
      <c r="R228" s="103"/>
      <c r="S228" s="103">
        <f t="shared" si="3"/>
        <v>0</v>
      </c>
      <c r="U228" s="107" t="str">
        <f t="shared" si="4"/>
        <v>0</v>
      </c>
    </row>
    <row r="229" ht="15.75" customHeight="1">
      <c r="A229" s="279"/>
      <c r="B229" s="280"/>
      <c r="C229" s="280"/>
      <c r="D229" s="280"/>
      <c r="E229" s="281"/>
      <c r="F229" s="281"/>
      <c r="G229" s="280"/>
      <c r="H229" s="282"/>
      <c r="I229" s="283"/>
      <c r="J229" s="280"/>
      <c r="K229" s="103"/>
      <c r="L229" s="146"/>
      <c r="M229" s="103"/>
      <c r="N229" s="103"/>
      <c r="O229" s="103">
        <f t="shared" si="1"/>
        <v>0</v>
      </c>
      <c r="P229" s="104">
        <f t="shared" si="2"/>
        <v>0</v>
      </c>
      <c r="Q229" s="147"/>
      <c r="R229" s="103"/>
      <c r="S229" s="103">
        <f t="shared" si="3"/>
        <v>0</v>
      </c>
      <c r="U229" s="107" t="str">
        <f t="shared" si="4"/>
        <v>0</v>
      </c>
    </row>
    <row r="230" ht="15.75" customHeight="1">
      <c r="A230" s="279"/>
      <c r="B230" s="280"/>
      <c r="C230" s="280"/>
      <c r="D230" s="280"/>
      <c r="E230" s="281"/>
      <c r="F230" s="281"/>
      <c r="G230" s="280"/>
      <c r="H230" s="282"/>
      <c r="I230" s="283"/>
      <c r="J230" s="280"/>
      <c r="K230" s="103"/>
      <c r="L230" s="146"/>
      <c r="M230" s="103"/>
      <c r="N230" s="103"/>
      <c r="O230" s="103">
        <f t="shared" si="1"/>
        <v>0</v>
      </c>
      <c r="P230" s="104">
        <f t="shared" si="2"/>
        <v>0</v>
      </c>
      <c r="Q230" s="147"/>
      <c r="R230" s="103"/>
      <c r="S230" s="103">
        <f t="shared" si="3"/>
        <v>0</v>
      </c>
      <c r="U230" s="107" t="str">
        <f t="shared" si="4"/>
        <v>0</v>
      </c>
    </row>
    <row r="231" ht="15.75" customHeight="1">
      <c r="A231" s="279"/>
      <c r="B231" s="280"/>
      <c r="C231" s="280"/>
      <c r="D231" s="280"/>
      <c r="E231" s="281"/>
      <c r="F231" s="281"/>
      <c r="G231" s="280"/>
      <c r="H231" s="282"/>
      <c r="I231" s="283"/>
      <c r="J231" s="280"/>
      <c r="K231" s="103"/>
      <c r="L231" s="146"/>
      <c r="M231" s="103"/>
      <c r="N231" s="103"/>
      <c r="O231" s="103">
        <f t="shared" si="1"/>
        <v>0</v>
      </c>
      <c r="P231" s="104">
        <f t="shared" si="2"/>
        <v>0</v>
      </c>
      <c r="Q231" s="147"/>
      <c r="R231" s="103"/>
      <c r="S231" s="103">
        <f t="shared" si="3"/>
        <v>0</v>
      </c>
      <c r="U231" s="107" t="str">
        <f t="shared" si="4"/>
        <v>0</v>
      </c>
    </row>
    <row r="232" ht="15.75" customHeight="1">
      <c r="A232" s="279"/>
      <c r="B232" s="280"/>
      <c r="C232" s="280"/>
      <c r="D232" s="280"/>
      <c r="E232" s="281"/>
      <c r="F232" s="281"/>
      <c r="G232" s="280"/>
      <c r="H232" s="282"/>
      <c r="I232" s="283"/>
      <c r="J232" s="280"/>
      <c r="K232" s="103"/>
      <c r="L232" s="146"/>
      <c r="M232" s="103"/>
      <c r="N232" s="103"/>
      <c r="O232" s="103">
        <f t="shared" si="1"/>
        <v>0</v>
      </c>
      <c r="P232" s="104">
        <f t="shared" si="2"/>
        <v>0</v>
      </c>
      <c r="Q232" s="147"/>
      <c r="R232" s="103"/>
      <c r="S232" s="103">
        <f t="shared" si="3"/>
        <v>0</v>
      </c>
      <c r="U232" s="107" t="str">
        <f t="shared" si="4"/>
        <v>0</v>
      </c>
    </row>
    <row r="233" ht="15.75" customHeight="1">
      <c r="A233" s="279"/>
      <c r="B233" s="280"/>
      <c r="C233" s="280"/>
      <c r="D233" s="280"/>
      <c r="E233" s="281"/>
      <c r="F233" s="281"/>
      <c r="G233" s="280"/>
      <c r="H233" s="282"/>
      <c r="I233" s="283"/>
      <c r="J233" s="280"/>
      <c r="K233" s="103"/>
      <c r="L233" s="146"/>
      <c r="M233" s="103"/>
      <c r="N233" s="103"/>
      <c r="O233" s="103">
        <f t="shared" si="1"/>
        <v>0</v>
      </c>
      <c r="P233" s="104">
        <f t="shared" si="2"/>
        <v>0</v>
      </c>
      <c r="Q233" s="147"/>
      <c r="R233" s="103"/>
      <c r="S233" s="103">
        <f t="shared" si="3"/>
        <v>0</v>
      </c>
      <c r="U233" s="107" t="str">
        <f t="shared" si="4"/>
        <v>0</v>
      </c>
    </row>
    <row r="234" ht="15.75" customHeight="1">
      <c r="A234" s="279"/>
      <c r="B234" s="280"/>
      <c r="C234" s="280"/>
      <c r="D234" s="280"/>
      <c r="E234" s="281"/>
      <c r="F234" s="281"/>
      <c r="G234" s="280"/>
      <c r="H234" s="282"/>
      <c r="I234" s="283"/>
      <c r="J234" s="280"/>
      <c r="K234" s="103"/>
      <c r="L234" s="146"/>
      <c r="M234" s="103"/>
      <c r="N234" s="103"/>
      <c r="O234" s="103">
        <f t="shared" si="1"/>
        <v>0</v>
      </c>
      <c r="P234" s="104">
        <f t="shared" si="2"/>
        <v>0</v>
      </c>
      <c r="Q234" s="147"/>
      <c r="R234" s="103"/>
      <c r="S234" s="103">
        <f t="shared" si="3"/>
        <v>0</v>
      </c>
      <c r="U234" s="107" t="str">
        <f t="shared" si="4"/>
        <v>0</v>
      </c>
    </row>
    <row r="235" ht="15.75" customHeight="1">
      <c r="A235" s="279"/>
      <c r="B235" s="280"/>
      <c r="C235" s="280"/>
      <c r="D235" s="280"/>
      <c r="E235" s="281"/>
      <c r="F235" s="281"/>
      <c r="G235" s="280"/>
      <c r="H235" s="282"/>
      <c r="I235" s="283"/>
      <c r="J235" s="280"/>
      <c r="K235" s="103"/>
      <c r="L235" s="146"/>
      <c r="M235" s="103"/>
      <c r="N235" s="103"/>
      <c r="O235" s="103">
        <f t="shared" si="1"/>
        <v>0</v>
      </c>
      <c r="P235" s="104">
        <f t="shared" si="2"/>
        <v>0</v>
      </c>
      <c r="Q235" s="147"/>
      <c r="R235" s="103"/>
      <c r="S235" s="103">
        <f t="shared" si="3"/>
        <v>0</v>
      </c>
      <c r="U235" s="107" t="str">
        <f t="shared" si="4"/>
        <v>0</v>
      </c>
    </row>
    <row r="236" ht="15.75" customHeight="1">
      <c r="A236" s="279"/>
      <c r="B236" s="280"/>
      <c r="C236" s="280"/>
      <c r="D236" s="280"/>
      <c r="E236" s="281"/>
      <c r="F236" s="281"/>
      <c r="G236" s="280"/>
      <c r="H236" s="282"/>
      <c r="I236" s="283"/>
      <c r="J236" s="280"/>
      <c r="K236" s="103"/>
      <c r="L236" s="146"/>
      <c r="M236" s="103"/>
      <c r="N236" s="103"/>
      <c r="O236" s="103">
        <f t="shared" si="1"/>
        <v>0</v>
      </c>
      <c r="P236" s="104">
        <f t="shared" si="2"/>
        <v>0</v>
      </c>
      <c r="Q236" s="147"/>
      <c r="R236" s="103"/>
      <c r="S236" s="103">
        <f t="shared" si="3"/>
        <v>0</v>
      </c>
      <c r="U236" s="107" t="str">
        <f t="shared" si="4"/>
        <v>0</v>
      </c>
    </row>
    <row r="237" ht="15.75" customHeight="1">
      <c r="A237" s="279"/>
      <c r="B237" s="280"/>
      <c r="C237" s="280"/>
      <c r="D237" s="280"/>
      <c r="E237" s="281"/>
      <c r="F237" s="281"/>
      <c r="G237" s="280"/>
      <c r="H237" s="282"/>
      <c r="I237" s="283"/>
      <c r="J237" s="280"/>
      <c r="K237" s="103"/>
      <c r="L237" s="146"/>
      <c r="M237" s="103"/>
      <c r="N237" s="103"/>
      <c r="O237" s="103">
        <f t="shared" si="1"/>
        <v>0</v>
      </c>
      <c r="P237" s="104">
        <f t="shared" si="2"/>
        <v>0</v>
      </c>
      <c r="Q237" s="147"/>
      <c r="R237" s="103"/>
      <c r="S237" s="103">
        <f t="shared" si="3"/>
        <v>0</v>
      </c>
      <c r="U237" s="107" t="str">
        <f t="shared" si="4"/>
        <v>0</v>
      </c>
    </row>
    <row r="238" ht="15.75" customHeight="1">
      <c r="A238" s="279"/>
      <c r="B238" s="280"/>
      <c r="C238" s="280"/>
      <c r="D238" s="280"/>
      <c r="E238" s="281"/>
      <c r="F238" s="281"/>
      <c r="G238" s="280"/>
      <c r="H238" s="282"/>
      <c r="I238" s="283"/>
      <c r="J238" s="280"/>
      <c r="K238" s="103"/>
      <c r="L238" s="146"/>
      <c r="M238" s="103"/>
      <c r="N238" s="103"/>
      <c r="O238" s="103">
        <f t="shared" si="1"/>
        <v>0</v>
      </c>
      <c r="P238" s="104">
        <f t="shared" si="2"/>
        <v>0</v>
      </c>
      <c r="Q238" s="147"/>
      <c r="R238" s="103"/>
      <c r="S238" s="103">
        <f t="shared" si="3"/>
        <v>0</v>
      </c>
      <c r="U238" s="107" t="str">
        <f t="shared" si="4"/>
        <v>0</v>
      </c>
    </row>
    <row r="239" ht="15.75" customHeight="1">
      <c r="A239" s="279"/>
      <c r="B239" s="280"/>
      <c r="C239" s="280"/>
      <c r="D239" s="280"/>
      <c r="E239" s="281"/>
      <c r="F239" s="281"/>
      <c r="G239" s="280"/>
      <c r="H239" s="282"/>
      <c r="I239" s="283"/>
      <c r="J239" s="280"/>
      <c r="K239" s="103"/>
      <c r="L239" s="146"/>
      <c r="M239" s="103"/>
      <c r="N239" s="103"/>
      <c r="O239" s="103">
        <f t="shared" si="1"/>
        <v>0</v>
      </c>
      <c r="P239" s="104">
        <f t="shared" si="2"/>
        <v>0</v>
      </c>
      <c r="Q239" s="147"/>
      <c r="R239" s="103"/>
      <c r="S239" s="103">
        <f t="shared" si="3"/>
        <v>0</v>
      </c>
      <c r="U239" s="107" t="str">
        <f t="shared" si="4"/>
        <v>0</v>
      </c>
    </row>
    <row r="240" ht="15.75" customHeight="1">
      <c r="A240" s="279"/>
      <c r="B240" s="280"/>
      <c r="C240" s="280"/>
      <c r="D240" s="280"/>
      <c r="E240" s="281"/>
      <c r="F240" s="281"/>
      <c r="G240" s="280"/>
      <c r="H240" s="282"/>
      <c r="I240" s="283"/>
      <c r="J240" s="280"/>
      <c r="K240" s="103"/>
      <c r="L240" s="146"/>
      <c r="M240" s="103"/>
      <c r="N240" s="103"/>
      <c r="O240" s="103">
        <f t="shared" si="1"/>
        <v>0</v>
      </c>
      <c r="P240" s="104">
        <f t="shared" si="2"/>
        <v>0</v>
      </c>
      <c r="Q240" s="147"/>
      <c r="R240" s="103"/>
      <c r="S240" s="103">
        <f t="shared" si="3"/>
        <v>0</v>
      </c>
      <c r="U240" s="107" t="str">
        <f t="shared" si="4"/>
        <v>0</v>
      </c>
    </row>
    <row r="241" ht="15.75" customHeight="1">
      <c r="A241" s="279"/>
      <c r="B241" s="280"/>
      <c r="C241" s="280"/>
      <c r="D241" s="280"/>
      <c r="E241" s="281"/>
      <c r="F241" s="281"/>
      <c r="G241" s="280"/>
      <c r="H241" s="282"/>
      <c r="I241" s="283"/>
      <c r="J241" s="280"/>
      <c r="K241" s="103"/>
      <c r="L241" s="146"/>
      <c r="M241" s="103"/>
      <c r="N241" s="103"/>
      <c r="O241" s="103">
        <f t="shared" si="1"/>
        <v>0</v>
      </c>
      <c r="P241" s="104">
        <f t="shared" si="2"/>
        <v>0</v>
      </c>
      <c r="Q241" s="147"/>
      <c r="R241" s="103"/>
      <c r="S241" s="103">
        <f t="shared" si="3"/>
        <v>0</v>
      </c>
      <c r="U241" s="107" t="str">
        <f t="shared" si="4"/>
        <v>0</v>
      </c>
    </row>
    <row r="242" ht="15.75" customHeight="1">
      <c r="A242" s="279"/>
      <c r="B242" s="280"/>
      <c r="C242" s="280"/>
      <c r="D242" s="280"/>
      <c r="E242" s="281"/>
      <c r="F242" s="281"/>
      <c r="G242" s="280"/>
      <c r="H242" s="282"/>
      <c r="I242" s="283"/>
      <c r="J242" s="280"/>
      <c r="K242" s="103"/>
      <c r="L242" s="146"/>
      <c r="M242" s="103"/>
      <c r="N242" s="103"/>
      <c r="O242" s="103">
        <f t="shared" si="1"/>
        <v>0</v>
      </c>
      <c r="P242" s="104">
        <f t="shared" si="2"/>
        <v>0</v>
      </c>
      <c r="Q242" s="147"/>
      <c r="R242" s="103"/>
      <c r="S242" s="103">
        <f t="shared" si="3"/>
        <v>0</v>
      </c>
      <c r="U242" s="107" t="str">
        <f t="shared" si="4"/>
        <v>0</v>
      </c>
    </row>
    <row r="243" ht="15.75" customHeight="1">
      <c r="A243" s="279"/>
      <c r="B243" s="280"/>
      <c r="C243" s="280"/>
      <c r="D243" s="280"/>
      <c r="E243" s="281"/>
      <c r="F243" s="281"/>
      <c r="G243" s="280"/>
      <c r="H243" s="282"/>
      <c r="I243" s="283"/>
      <c r="J243" s="280"/>
      <c r="K243" s="103"/>
      <c r="L243" s="146"/>
      <c r="M243" s="103"/>
      <c r="N243" s="103"/>
      <c r="O243" s="103">
        <f t="shared" si="1"/>
        <v>0</v>
      </c>
      <c r="P243" s="104">
        <f t="shared" si="2"/>
        <v>0</v>
      </c>
      <c r="Q243" s="147"/>
      <c r="R243" s="103"/>
      <c r="S243" s="103">
        <f t="shared" si="3"/>
        <v>0</v>
      </c>
      <c r="U243" s="107" t="str">
        <f t="shared" si="4"/>
        <v>0</v>
      </c>
    </row>
    <row r="244" ht="15.75" customHeight="1">
      <c r="A244" s="279"/>
      <c r="B244" s="280"/>
      <c r="C244" s="280"/>
      <c r="D244" s="280"/>
      <c r="E244" s="281"/>
      <c r="F244" s="281"/>
      <c r="G244" s="280"/>
      <c r="H244" s="282"/>
      <c r="I244" s="283"/>
      <c r="J244" s="280"/>
      <c r="K244" s="103"/>
      <c r="L244" s="146"/>
      <c r="M244" s="103"/>
      <c r="N244" s="103"/>
      <c r="O244" s="103">
        <f t="shared" si="1"/>
        <v>0</v>
      </c>
      <c r="P244" s="104">
        <f t="shared" si="2"/>
        <v>0</v>
      </c>
      <c r="Q244" s="147"/>
      <c r="R244" s="103"/>
      <c r="S244" s="103">
        <f t="shared" si="3"/>
        <v>0</v>
      </c>
      <c r="U244" s="107" t="str">
        <f t="shared" si="4"/>
        <v>0</v>
      </c>
    </row>
    <row r="245" ht="15.75" customHeight="1">
      <c r="A245" s="279"/>
      <c r="B245" s="280"/>
      <c r="C245" s="280"/>
      <c r="D245" s="280"/>
      <c r="E245" s="281"/>
      <c r="F245" s="281"/>
      <c r="G245" s="280"/>
      <c r="H245" s="282"/>
      <c r="I245" s="283"/>
      <c r="J245" s="280"/>
      <c r="K245" s="103"/>
      <c r="L245" s="146"/>
      <c r="M245" s="103"/>
      <c r="N245" s="103"/>
      <c r="O245" s="103">
        <f t="shared" si="1"/>
        <v>0</v>
      </c>
      <c r="P245" s="104">
        <f t="shared" si="2"/>
        <v>0</v>
      </c>
      <c r="Q245" s="147"/>
      <c r="R245" s="103"/>
      <c r="S245" s="103">
        <f t="shared" si="3"/>
        <v>0</v>
      </c>
      <c r="U245" s="107" t="str">
        <f t="shared" si="4"/>
        <v>0</v>
      </c>
    </row>
    <row r="246" ht="15.75" customHeight="1">
      <c r="A246" s="279"/>
      <c r="B246" s="280"/>
      <c r="C246" s="280"/>
      <c r="D246" s="280"/>
      <c r="E246" s="281"/>
      <c r="F246" s="281"/>
      <c r="G246" s="280"/>
      <c r="H246" s="282"/>
      <c r="I246" s="283"/>
      <c r="J246" s="280"/>
      <c r="K246" s="103"/>
      <c r="L246" s="146"/>
      <c r="M246" s="103"/>
      <c r="N246" s="103"/>
      <c r="O246" s="103">
        <f t="shared" si="1"/>
        <v>0</v>
      </c>
      <c r="P246" s="104">
        <f t="shared" si="2"/>
        <v>0</v>
      </c>
      <c r="Q246" s="147"/>
      <c r="R246" s="103"/>
      <c r="S246" s="103">
        <f t="shared" si="3"/>
        <v>0</v>
      </c>
      <c r="U246" s="107" t="str">
        <f t="shared" si="4"/>
        <v>0</v>
      </c>
    </row>
    <row r="247" ht="15.75" customHeight="1">
      <c r="A247" s="279"/>
      <c r="B247" s="280"/>
      <c r="C247" s="280"/>
      <c r="D247" s="280"/>
      <c r="E247" s="281"/>
      <c r="F247" s="281"/>
      <c r="G247" s="280"/>
      <c r="H247" s="282"/>
      <c r="I247" s="283"/>
      <c r="J247" s="280"/>
      <c r="K247" s="103"/>
      <c r="L247" s="146"/>
      <c r="M247" s="103"/>
      <c r="N247" s="103"/>
      <c r="O247" s="103">
        <f t="shared" si="1"/>
        <v>0</v>
      </c>
      <c r="P247" s="104">
        <f t="shared" si="2"/>
        <v>0</v>
      </c>
      <c r="Q247" s="147"/>
      <c r="R247" s="103"/>
      <c r="S247" s="103">
        <f t="shared" si="3"/>
        <v>0</v>
      </c>
      <c r="U247" s="107" t="str">
        <f t="shared" si="4"/>
        <v>0</v>
      </c>
    </row>
    <row r="248" ht="15.75" customHeight="1">
      <c r="A248" s="279"/>
      <c r="B248" s="280"/>
      <c r="C248" s="280"/>
      <c r="D248" s="280"/>
      <c r="E248" s="281"/>
      <c r="F248" s="281"/>
      <c r="G248" s="280"/>
      <c r="H248" s="282"/>
      <c r="I248" s="283"/>
      <c r="J248" s="280"/>
      <c r="K248" s="103"/>
      <c r="L248" s="146"/>
      <c r="M248" s="103"/>
      <c r="N248" s="103"/>
      <c r="O248" s="103">
        <f t="shared" si="1"/>
        <v>0</v>
      </c>
      <c r="P248" s="104">
        <f t="shared" si="2"/>
        <v>0</v>
      </c>
      <c r="Q248" s="147"/>
      <c r="R248" s="103"/>
      <c r="S248" s="103">
        <f t="shared" si="3"/>
        <v>0</v>
      </c>
      <c r="U248" s="107" t="str">
        <f t="shared" si="4"/>
        <v>0</v>
      </c>
    </row>
    <row r="249" ht="15.75" customHeight="1">
      <c r="A249" s="279"/>
      <c r="B249" s="280"/>
      <c r="C249" s="280"/>
      <c r="D249" s="280"/>
      <c r="E249" s="281"/>
      <c r="F249" s="281"/>
      <c r="G249" s="280"/>
      <c r="H249" s="282"/>
      <c r="I249" s="283"/>
      <c r="J249" s="280"/>
      <c r="K249" s="103"/>
      <c r="L249" s="146"/>
      <c r="M249" s="103"/>
      <c r="N249" s="103"/>
      <c r="O249" s="103">
        <f t="shared" si="1"/>
        <v>0</v>
      </c>
      <c r="P249" s="104">
        <f t="shared" si="2"/>
        <v>0</v>
      </c>
      <c r="Q249" s="147"/>
      <c r="R249" s="103"/>
      <c r="S249" s="103">
        <f t="shared" si="3"/>
        <v>0</v>
      </c>
      <c r="U249" s="107" t="str">
        <f t="shared" si="4"/>
        <v>0</v>
      </c>
    </row>
    <row r="250" ht="15.75" customHeight="1">
      <c r="A250" s="279"/>
      <c r="B250" s="280"/>
      <c r="C250" s="280"/>
      <c r="D250" s="280"/>
      <c r="E250" s="281"/>
      <c r="F250" s="281"/>
      <c r="G250" s="280"/>
      <c r="H250" s="282"/>
      <c r="I250" s="283"/>
      <c r="J250" s="280"/>
      <c r="K250" s="103"/>
      <c r="L250" s="146"/>
      <c r="M250" s="103"/>
      <c r="N250" s="103"/>
      <c r="O250" s="103">
        <f t="shared" si="1"/>
        <v>0</v>
      </c>
      <c r="P250" s="104">
        <f t="shared" si="2"/>
        <v>0</v>
      </c>
      <c r="Q250" s="147"/>
      <c r="R250" s="103"/>
      <c r="S250" s="103">
        <f t="shared" si="3"/>
        <v>0</v>
      </c>
      <c r="U250" s="107" t="str">
        <f t="shared" si="4"/>
        <v>0</v>
      </c>
    </row>
    <row r="251" ht="15.75" customHeight="1">
      <c r="A251" s="279"/>
      <c r="B251" s="280"/>
      <c r="C251" s="280"/>
      <c r="D251" s="280"/>
      <c r="E251" s="281"/>
      <c r="F251" s="281"/>
      <c r="G251" s="280"/>
      <c r="H251" s="282"/>
      <c r="I251" s="283"/>
      <c r="J251" s="280"/>
      <c r="K251" s="103"/>
      <c r="L251" s="146"/>
      <c r="M251" s="103"/>
      <c r="N251" s="103"/>
      <c r="O251" s="103">
        <f t="shared" si="1"/>
        <v>0</v>
      </c>
      <c r="P251" s="104">
        <f t="shared" si="2"/>
        <v>0</v>
      </c>
      <c r="Q251" s="147"/>
      <c r="R251" s="103"/>
      <c r="S251" s="103">
        <f t="shared" si="3"/>
        <v>0</v>
      </c>
      <c r="U251" s="107" t="str">
        <f t="shared" si="4"/>
        <v>0</v>
      </c>
    </row>
    <row r="252" ht="15.75" customHeight="1">
      <c r="A252" s="279"/>
      <c r="B252" s="280"/>
      <c r="C252" s="280"/>
      <c r="D252" s="280"/>
      <c r="E252" s="281"/>
      <c r="F252" s="281"/>
      <c r="G252" s="280"/>
      <c r="H252" s="282"/>
      <c r="I252" s="283"/>
      <c r="J252" s="280"/>
      <c r="K252" s="103"/>
      <c r="L252" s="146"/>
      <c r="M252" s="103"/>
      <c r="N252" s="103"/>
      <c r="O252" s="103">
        <f t="shared" si="1"/>
        <v>0</v>
      </c>
      <c r="P252" s="104">
        <f t="shared" si="2"/>
        <v>0</v>
      </c>
      <c r="Q252" s="147"/>
      <c r="R252" s="103"/>
      <c r="S252" s="103">
        <f t="shared" si="3"/>
        <v>0</v>
      </c>
      <c r="U252" s="107" t="str">
        <f t="shared" si="4"/>
        <v>0</v>
      </c>
    </row>
    <row r="253" ht="15.75" customHeight="1">
      <c r="A253" s="279"/>
      <c r="B253" s="280"/>
      <c r="C253" s="280"/>
      <c r="D253" s="280"/>
      <c r="E253" s="281"/>
      <c r="F253" s="281"/>
      <c r="G253" s="280"/>
      <c r="H253" s="282"/>
      <c r="I253" s="283"/>
      <c r="J253" s="280"/>
      <c r="K253" s="103"/>
      <c r="L253" s="146"/>
      <c r="M253" s="103"/>
      <c r="N253" s="103"/>
      <c r="O253" s="103">
        <f t="shared" si="1"/>
        <v>0</v>
      </c>
      <c r="P253" s="104">
        <f t="shared" si="2"/>
        <v>0</v>
      </c>
      <c r="Q253" s="147"/>
      <c r="R253" s="103"/>
      <c r="S253" s="103">
        <f t="shared" si="3"/>
        <v>0</v>
      </c>
      <c r="U253" s="107" t="str">
        <f t="shared" si="4"/>
        <v>0</v>
      </c>
    </row>
    <row r="254" ht="15.75" customHeight="1">
      <c r="A254" s="279"/>
      <c r="B254" s="280"/>
      <c r="C254" s="280"/>
      <c r="D254" s="280"/>
      <c r="E254" s="281"/>
      <c r="F254" s="281"/>
      <c r="G254" s="280"/>
      <c r="H254" s="282"/>
      <c r="I254" s="283"/>
      <c r="J254" s="280"/>
      <c r="K254" s="103"/>
      <c r="L254" s="146"/>
      <c r="M254" s="103"/>
      <c r="N254" s="103"/>
      <c r="O254" s="103">
        <f t="shared" si="1"/>
        <v>0</v>
      </c>
      <c r="P254" s="104">
        <f t="shared" si="2"/>
        <v>0</v>
      </c>
      <c r="Q254" s="147"/>
      <c r="R254" s="103"/>
      <c r="S254" s="103">
        <f t="shared" si="3"/>
        <v>0</v>
      </c>
      <c r="U254" s="107" t="str">
        <f t="shared" si="4"/>
        <v>0</v>
      </c>
    </row>
    <row r="255" ht="15.75" customHeight="1">
      <c r="A255" s="279"/>
      <c r="B255" s="280"/>
      <c r="C255" s="280"/>
      <c r="D255" s="280"/>
      <c r="E255" s="281"/>
      <c r="F255" s="281"/>
      <c r="G255" s="280"/>
      <c r="H255" s="282"/>
      <c r="I255" s="283"/>
      <c r="J255" s="280"/>
      <c r="K255" s="103"/>
      <c r="L255" s="146"/>
      <c r="M255" s="103"/>
      <c r="N255" s="103"/>
      <c r="O255" s="103">
        <f t="shared" si="1"/>
        <v>0</v>
      </c>
      <c r="P255" s="104">
        <f t="shared" si="2"/>
        <v>0</v>
      </c>
      <c r="Q255" s="147"/>
      <c r="R255" s="103"/>
      <c r="S255" s="103">
        <f t="shared" si="3"/>
        <v>0</v>
      </c>
      <c r="U255" s="107" t="str">
        <f t="shared" si="4"/>
        <v>0</v>
      </c>
    </row>
    <row r="256" ht="15.75" customHeight="1">
      <c r="A256" s="279"/>
      <c r="B256" s="280"/>
      <c r="C256" s="280"/>
      <c r="D256" s="280"/>
      <c r="E256" s="281"/>
      <c r="F256" s="281"/>
      <c r="G256" s="280"/>
      <c r="H256" s="282"/>
      <c r="I256" s="283"/>
      <c r="J256" s="280"/>
      <c r="K256" s="103"/>
      <c r="L256" s="146"/>
      <c r="M256" s="103"/>
      <c r="N256" s="103"/>
      <c r="O256" s="103">
        <f t="shared" si="1"/>
        <v>0</v>
      </c>
      <c r="P256" s="104">
        <f t="shared" si="2"/>
        <v>0</v>
      </c>
      <c r="Q256" s="147"/>
      <c r="R256" s="103"/>
      <c r="S256" s="103">
        <f t="shared" si="3"/>
        <v>0</v>
      </c>
      <c r="U256" s="107" t="str">
        <f t="shared" si="4"/>
        <v>0</v>
      </c>
    </row>
    <row r="257" ht="15.75" customHeight="1">
      <c r="A257" s="279"/>
      <c r="B257" s="280"/>
      <c r="C257" s="280"/>
      <c r="D257" s="280"/>
      <c r="E257" s="281"/>
      <c r="F257" s="281"/>
      <c r="G257" s="280"/>
      <c r="H257" s="282"/>
      <c r="I257" s="283"/>
      <c r="J257" s="280"/>
      <c r="K257" s="103"/>
      <c r="L257" s="146"/>
      <c r="M257" s="103"/>
      <c r="N257" s="103"/>
      <c r="O257" s="103">
        <f t="shared" si="1"/>
        <v>0</v>
      </c>
      <c r="P257" s="104">
        <f t="shared" si="2"/>
        <v>0</v>
      </c>
      <c r="Q257" s="147"/>
      <c r="R257" s="103"/>
      <c r="S257" s="103">
        <f t="shared" si="3"/>
        <v>0</v>
      </c>
      <c r="U257" s="107" t="str">
        <f t="shared" si="4"/>
        <v>0</v>
      </c>
    </row>
    <row r="258" ht="15.75" customHeight="1">
      <c r="A258" s="279"/>
      <c r="B258" s="280"/>
      <c r="C258" s="280"/>
      <c r="D258" s="280"/>
      <c r="E258" s="281"/>
      <c r="F258" s="281"/>
      <c r="G258" s="280"/>
      <c r="H258" s="282"/>
      <c r="I258" s="283"/>
      <c r="J258" s="280"/>
      <c r="K258" s="103"/>
      <c r="L258" s="146"/>
      <c r="M258" s="103"/>
      <c r="N258" s="103"/>
      <c r="O258" s="103">
        <f t="shared" si="1"/>
        <v>0</v>
      </c>
      <c r="P258" s="104">
        <f t="shared" si="2"/>
        <v>0</v>
      </c>
      <c r="Q258" s="147"/>
      <c r="R258" s="103"/>
      <c r="S258" s="103">
        <f t="shared" si="3"/>
        <v>0</v>
      </c>
      <c r="U258" s="107" t="str">
        <f t="shared" si="4"/>
        <v>0</v>
      </c>
    </row>
    <row r="259" ht="15.75" customHeight="1">
      <c r="A259" s="279"/>
      <c r="B259" s="280"/>
      <c r="C259" s="280"/>
      <c r="D259" s="280"/>
      <c r="E259" s="281"/>
      <c r="F259" s="281"/>
      <c r="G259" s="280"/>
      <c r="H259" s="282"/>
      <c r="I259" s="283"/>
      <c r="J259" s="280"/>
      <c r="K259" s="103"/>
      <c r="L259" s="146"/>
      <c r="M259" s="103"/>
      <c r="N259" s="103"/>
      <c r="O259" s="103">
        <f t="shared" si="1"/>
        <v>0</v>
      </c>
      <c r="P259" s="104">
        <f t="shared" si="2"/>
        <v>0</v>
      </c>
      <c r="Q259" s="147"/>
      <c r="R259" s="103"/>
      <c r="S259" s="103">
        <f t="shared" si="3"/>
        <v>0</v>
      </c>
      <c r="U259" s="107" t="str">
        <f t="shared" si="4"/>
        <v>0</v>
      </c>
    </row>
    <row r="260" ht="15.75" customHeight="1">
      <c r="A260" s="279"/>
      <c r="B260" s="280"/>
      <c r="C260" s="280"/>
      <c r="D260" s="280"/>
      <c r="E260" s="281"/>
      <c r="F260" s="281"/>
      <c r="G260" s="280"/>
      <c r="H260" s="282"/>
      <c r="I260" s="283"/>
      <c r="J260" s="280"/>
      <c r="K260" s="103"/>
      <c r="L260" s="146"/>
      <c r="M260" s="103"/>
      <c r="N260" s="103"/>
      <c r="O260" s="103">
        <f t="shared" si="1"/>
        <v>0</v>
      </c>
      <c r="P260" s="104">
        <f t="shared" si="2"/>
        <v>0</v>
      </c>
      <c r="Q260" s="147"/>
      <c r="R260" s="103"/>
      <c r="S260" s="103">
        <f t="shared" si="3"/>
        <v>0</v>
      </c>
      <c r="U260" s="107" t="str">
        <f t="shared" si="4"/>
        <v>0</v>
      </c>
    </row>
    <row r="261" ht="15.75" customHeight="1">
      <c r="A261" s="279"/>
      <c r="B261" s="280"/>
      <c r="C261" s="280"/>
      <c r="D261" s="280"/>
      <c r="E261" s="281"/>
      <c r="F261" s="281"/>
      <c r="G261" s="280"/>
      <c r="H261" s="282"/>
      <c r="I261" s="283"/>
      <c r="J261" s="280"/>
      <c r="K261" s="103"/>
      <c r="L261" s="146"/>
      <c r="M261" s="103"/>
      <c r="N261" s="103"/>
      <c r="O261" s="103">
        <f t="shared" si="1"/>
        <v>0</v>
      </c>
      <c r="P261" s="104">
        <f t="shared" si="2"/>
        <v>0</v>
      </c>
      <c r="Q261" s="147"/>
      <c r="R261" s="103"/>
      <c r="S261" s="103">
        <f t="shared" si="3"/>
        <v>0</v>
      </c>
      <c r="U261" s="107" t="str">
        <f t="shared" si="4"/>
        <v>0</v>
      </c>
    </row>
    <row r="262" ht="15.75" customHeight="1">
      <c r="A262" s="279"/>
      <c r="B262" s="280"/>
      <c r="C262" s="280"/>
      <c r="D262" s="280"/>
      <c r="E262" s="281"/>
      <c r="F262" s="281"/>
      <c r="G262" s="280"/>
      <c r="H262" s="282"/>
      <c r="I262" s="283"/>
      <c r="J262" s="280"/>
      <c r="K262" s="103"/>
      <c r="L262" s="146"/>
      <c r="M262" s="103"/>
      <c r="N262" s="103"/>
      <c r="O262" s="103">
        <f t="shared" si="1"/>
        <v>0</v>
      </c>
      <c r="P262" s="104">
        <f t="shared" si="2"/>
        <v>0</v>
      </c>
      <c r="Q262" s="147"/>
      <c r="R262" s="103"/>
      <c r="S262" s="103">
        <f t="shared" si="3"/>
        <v>0</v>
      </c>
      <c r="U262" s="107" t="str">
        <f t="shared" si="4"/>
        <v>0</v>
      </c>
    </row>
    <row r="263" ht="15.75" customHeight="1">
      <c r="A263" s="279"/>
      <c r="B263" s="280"/>
      <c r="C263" s="280"/>
      <c r="D263" s="280"/>
      <c r="E263" s="281"/>
      <c r="F263" s="281"/>
      <c r="G263" s="280"/>
      <c r="H263" s="282"/>
      <c r="I263" s="283"/>
      <c r="J263" s="280"/>
      <c r="K263" s="103"/>
      <c r="L263" s="146"/>
      <c r="M263" s="103"/>
      <c r="N263" s="103"/>
      <c r="O263" s="103">
        <f t="shared" si="1"/>
        <v>0</v>
      </c>
      <c r="P263" s="104">
        <f t="shared" si="2"/>
        <v>0</v>
      </c>
      <c r="Q263" s="147"/>
      <c r="R263" s="103"/>
      <c r="S263" s="103">
        <f t="shared" si="3"/>
        <v>0</v>
      </c>
      <c r="U263" s="107" t="str">
        <f t="shared" si="4"/>
        <v>0</v>
      </c>
    </row>
    <row r="264" ht="15.75" customHeight="1">
      <c r="A264" s="279"/>
      <c r="B264" s="280"/>
      <c r="C264" s="280"/>
      <c r="D264" s="280"/>
      <c r="E264" s="281"/>
      <c r="F264" s="281"/>
      <c r="G264" s="280"/>
      <c r="H264" s="282"/>
      <c r="I264" s="283"/>
      <c r="J264" s="280"/>
      <c r="K264" s="103"/>
      <c r="L264" s="146"/>
      <c r="M264" s="103"/>
      <c r="N264" s="103"/>
      <c r="O264" s="103">
        <f t="shared" si="1"/>
        <v>0</v>
      </c>
      <c r="P264" s="104">
        <f t="shared" si="2"/>
        <v>0</v>
      </c>
      <c r="Q264" s="147"/>
      <c r="R264" s="103"/>
      <c r="S264" s="103">
        <f t="shared" si="3"/>
        <v>0</v>
      </c>
      <c r="U264" s="107" t="str">
        <f t="shared" si="4"/>
        <v>0</v>
      </c>
    </row>
    <row r="265" ht="15.75" customHeight="1">
      <c r="A265" s="279"/>
      <c r="B265" s="280"/>
      <c r="C265" s="280"/>
      <c r="D265" s="280"/>
      <c r="E265" s="281"/>
      <c r="F265" s="281"/>
      <c r="G265" s="280"/>
      <c r="H265" s="282"/>
      <c r="I265" s="283"/>
      <c r="J265" s="280"/>
      <c r="K265" s="103"/>
      <c r="L265" s="146"/>
      <c r="M265" s="103"/>
      <c r="N265" s="103"/>
      <c r="O265" s="103">
        <f t="shared" si="1"/>
        <v>0</v>
      </c>
      <c r="P265" s="104">
        <f t="shared" si="2"/>
        <v>0</v>
      </c>
      <c r="Q265" s="147"/>
      <c r="R265" s="103"/>
      <c r="S265" s="103">
        <f t="shared" si="3"/>
        <v>0</v>
      </c>
      <c r="U265" s="107" t="str">
        <f t="shared" si="4"/>
        <v>0</v>
      </c>
    </row>
    <row r="266" ht="15.75" customHeight="1">
      <c r="A266" s="279"/>
      <c r="B266" s="280"/>
      <c r="C266" s="280"/>
      <c r="D266" s="280"/>
      <c r="E266" s="281"/>
      <c r="F266" s="281"/>
      <c r="G266" s="280"/>
      <c r="H266" s="282"/>
      <c r="I266" s="283"/>
      <c r="J266" s="280"/>
      <c r="K266" s="103"/>
      <c r="L266" s="146"/>
      <c r="M266" s="103"/>
      <c r="N266" s="103"/>
      <c r="O266" s="103">
        <f t="shared" si="1"/>
        <v>0</v>
      </c>
      <c r="P266" s="104">
        <f t="shared" si="2"/>
        <v>0</v>
      </c>
      <c r="Q266" s="147"/>
      <c r="R266" s="103"/>
      <c r="S266" s="103">
        <f t="shared" si="3"/>
        <v>0</v>
      </c>
      <c r="U266" s="107" t="str">
        <f t="shared" si="4"/>
        <v>0</v>
      </c>
    </row>
    <row r="267" ht="15.75" customHeight="1">
      <c r="A267" s="279"/>
      <c r="B267" s="280"/>
      <c r="C267" s="280"/>
      <c r="D267" s="280"/>
      <c r="E267" s="281"/>
      <c r="F267" s="281"/>
      <c r="G267" s="280"/>
      <c r="H267" s="282"/>
      <c r="I267" s="283"/>
      <c r="J267" s="280"/>
      <c r="K267" s="103"/>
      <c r="L267" s="146"/>
      <c r="M267" s="103"/>
      <c r="N267" s="103"/>
      <c r="O267" s="103">
        <f t="shared" si="1"/>
        <v>0</v>
      </c>
      <c r="P267" s="104">
        <f t="shared" si="2"/>
        <v>0</v>
      </c>
      <c r="Q267" s="147"/>
      <c r="R267" s="103"/>
      <c r="S267" s="103">
        <f t="shared" si="3"/>
        <v>0</v>
      </c>
      <c r="U267" s="107" t="str">
        <f t="shared" si="4"/>
        <v>0</v>
      </c>
    </row>
    <row r="268" ht="15.75" customHeight="1">
      <c r="A268" s="279"/>
      <c r="B268" s="280"/>
      <c r="C268" s="280"/>
      <c r="D268" s="280"/>
      <c r="E268" s="281"/>
      <c r="F268" s="281"/>
      <c r="G268" s="280"/>
      <c r="H268" s="282"/>
      <c r="I268" s="283"/>
      <c r="J268" s="280"/>
      <c r="K268" s="103"/>
      <c r="L268" s="146"/>
      <c r="M268" s="103"/>
      <c r="N268" s="103"/>
      <c r="O268" s="103">
        <f t="shared" si="1"/>
        <v>0</v>
      </c>
      <c r="P268" s="104">
        <f t="shared" si="2"/>
        <v>0</v>
      </c>
      <c r="Q268" s="147"/>
      <c r="R268" s="103"/>
      <c r="S268" s="103">
        <f t="shared" si="3"/>
        <v>0</v>
      </c>
      <c r="U268" s="107" t="str">
        <f t="shared" si="4"/>
        <v>0</v>
      </c>
    </row>
    <row r="269" ht="15.75" customHeight="1">
      <c r="A269" s="279"/>
      <c r="B269" s="280"/>
      <c r="C269" s="280"/>
      <c r="D269" s="280"/>
      <c r="E269" s="281"/>
      <c r="F269" s="281"/>
      <c r="G269" s="280"/>
      <c r="H269" s="282"/>
      <c r="I269" s="283"/>
      <c r="J269" s="280"/>
      <c r="K269" s="103"/>
      <c r="L269" s="146"/>
      <c r="M269" s="103"/>
      <c r="N269" s="103"/>
      <c r="O269" s="103">
        <f t="shared" si="1"/>
        <v>0</v>
      </c>
      <c r="P269" s="104">
        <f t="shared" si="2"/>
        <v>0</v>
      </c>
      <c r="Q269" s="147"/>
      <c r="R269" s="103"/>
      <c r="S269" s="103">
        <f t="shared" si="3"/>
        <v>0</v>
      </c>
      <c r="U269" s="107" t="str">
        <f t="shared" si="4"/>
        <v>0</v>
      </c>
    </row>
    <row r="270" ht="15.75" customHeight="1">
      <c r="A270" s="279"/>
      <c r="B270" s="280"/>
      <c r="C270" s="280"/>
      <c r="D270" s="280"/>
      <c r="E270" s="281"/>
      <c r="F270" s="281"/>
      <c r="G270" s="280"/>
      <c r="H270" s="282"/>
      <c r="I270" s="283"/>
      <c r="J270" s="280"/>
      <c r="K270" s="103"/>
      <c r="L270" s="146"/>
      <c r="M270" s="103"/>
      <c r="N270" s="103"/>
      <c r="O270" s="103">
        <f t="shared" si="1"/>
        <v>0</v>
      </c>
      <c r="P270" s="104">
        <f t="shared" si="2"/>
        <v>0</v>
      </c>
      <c r="Q270" s="147"/>
      <c r="R270" s="103"/>
      <c r="S270" s="103">
        <f t="shared" si="3"/>
        <v>0</v>
      </c>
      <c r="U270" s="107" t="str">
        <f t="shared" si="4"/>
        <v>0</v>
      </c>
    </row>
    <row r="271" ht="15.75" customHeight="1">
      <c r="A271" s="279"/>
      <c r="B271" s="280"/>
      <c r="C271" s="280"/>
      <c r="D271" s="280"/>
      <c r="E271" s="281"/>
      <c r="F271" s="281"/>
      <c r="G271" s="280"/>
      <c r="H271" s="282"/>
      <c r="I271" s="283"/>
      <c r="J271" s="280"/>
      <c r="K271" s="103"/>
      <c r="L271" s="146"/>
      <c r="M271" s="103"/>
      <c r="N271" s="103"/>
      <c r="O271" s="103">
        <f t="shared" si="1"/>
        <v>0</v>
      </c>
      <c r="P271" s="104">
        <f t="shared" si="2"/>
        <v>0</v>
      </c>
      <c r="Q271" s="147"/>
      <c r="R271" s="103"/>
      <c r="S271" s="103">
        <f t="shared" si="3"/>
        <v>0</v>
      </c>
      <c r="U271" s="107" t="str">
        <f t="shared" si="4"/>
        <v>0</v>
      </c>
    </row>
    <row r="272" ht="15.75" customHeight="1">
      <c r="A272" s="279"/>
      <c r="B272" s="280"/>
      <c r="C272" s="280"/>
      <c r="D272" s="280"/>
      <c r="E272" s="281"/>
      <c r="F272" s="281"/>
      <c r="G272" s="280"/>
      <c r="H272" s="282"/>
      <c r="I272" s="283"/>
      <c r="J272" s="280"/>
      <c r="K272" s="103"/>
      <c r="L272" s="146"/>
      <c r="M272" s="103"/>
      <c r="N272" s="103"/>
      <c r="O272" s="103">
        <f t="shared" si="1"/>
        <v>0</v>
      </c>
      <c r="P272" s="104">
        <f t="shared" si="2"/>
        <v>0</v>
      </c>
      <c r="Q272" s="147"/>
      <c r="R272" s="103"/>
      <c r="S272" s="103">
        <f t="shared" si="3"/>
        <v>0</v>
      </c>
      <c r="U272" s="107" t="str">
        <f t="shared" si="4"/>
        <v>0</v>
      </c>
    </row>
    <row r="273" ht="15.75" customHeight="1">
      <c r="A273" s="279"/>
      <c r="B273" s="280"/>
      <c r="C273" s="280"/>
      <c r="D273" s="280"/>
      <c r="E273" s="281"/>
      <c r="F273" s="281"/>
      <c r="G273" s="280"/>
      <c r="H273" s="282"/>
      <c r="I273" s="283"/>
      <c r="J273" s="280"/>
      <c r="K273" s="103"/>
      <c r="L273" s="146"/>
      <c r="M273" s="103"/>
      <c r="N273" s="103"/>
      <c r="O273" s="103">
        <f t="shared" si="1"/>
        <v>0</v>
      </c>
      <c r="P273" s="104">
        <f t="shared" si="2"/>
        <v>0</v>
      </c>
      <c r="Q273" s="147"/>
      <c r="R273" s="103"/>
      <c r="S273" s="103">
        <f t="shared" si="3"/>
        <v>0</v>
      </c>
      <c r="U273" s="107" t="str">
        <f t="shared" si="4"/>
        <v>0</v>
      </c>
    </row>
    <row r="274" ht="15.75" customHeight="1">
      <c r="A274" s="279"/>
      <c r="B274" s="280"/>
      <c r="C274" s="280"/>
      <c r="D274" s="280"/>
      <c r="E274" s="281"/>
      <c r="F274" s="281"/>
      <c r="G274" s="280"/>
      <c r="H274" s="282"/>
      <c r="I274" s="283"/>
      <c r="J274" s="280"/>
      <c r="K274" s="103"/>
      <c r="L274" s="146"/>
      <c r="M274" s="103"/>
      <c r="N274" s="103"/>
      <c r="O274" s="103">
        <f t="shared" si="1"/>
        <v>0</v>
      </c>
      <c r="P274" s="104">
        <f t="shared" si="2"/>
        <v>0</v>
      </c>
      <c r="Q274" s="147"/>
      <c r="R274" s="103"/>
      <c r="S274" s="103">
        <f t="shared" si="3"/>
        <v>0</v>
      </c>
      <c r="U274" s="107" t="str">
        <f t="shared" si="4"/>
        <v>0</v>
      </c>
    </row>
    <row r="275" ht="15.75" customHeight="1">
      <c r="A275" s="279"/>
      <c r="B275" s="280"/>
      <c r="C275" s="280"/>
      <c r="D275" s="280"/>
      <c r="E275" s="281"/>
      <c r="F275" s="281"/>
      <c r="G275" s="280"/>
      <c r="H275" s="282"/>
      <c r="I275" s="283"/>
      <c r="J275" s="280"/>
      <c r="K275" s="103"/>
      <c r="L275" s="146"/>
      <c r="M275" s="103"/>
      <c r="N275" s="103"/>
      <c r="O275" s="103">
        <f t="shared" si="1"/>
        <v>0</v>
      </c>
      <c r="P275" s="104">
        <f t="shared" si="2"/>
        <v>0</v>
      </c>
      <c r="Q275" s="147"/>
      <c r="R275" s="103"/>
      <c r="S275" s="103">
        <f t="shared" si="3"/>
        <v>0</v>
      </c>
      <c r="U275" s="107" t="str">
        <f t="shared" si="4"/>
        <v>0</v>
      </c>
    </row>
    <row r="276" ht="15.75" customHeight="1">
      <c r="A276" s="279"/>
      <c r="B276" s="280"/>
      <c r="C276" s="280"/>
      <c r="D276" s="280"/>
      <c r="E276" s="281"/>
      <c r="F276" s="281"/>
      <c r="G276" s="280"/>
      <c r="H276" s="282"/>
      <c r="I276" s="283"/>
      <c r="J276" s="280"/>
      <c r="K276" s="103"/>
      <c r="L276" s="146"/>
      <c r="M276" s="103"/>
      <c r="N276" s="103"/>
      <c r="O276" s="103">
        <f t="shared" si="1"/>
        <v>0</v>
      </c>
      <c r="P276" s="104">
        <f t="shared" si="2"/>
        <v>0</v>
      </c>
      <c r="Q276" s="147"/>
      <c r="R276" s="103"/>
      <c r="S276" s="103">
        <f t="shared" si="3"/>
        <v>0</v>
      </c>
      <c r="U276" s="107" t="str">
        <f t="shared" si="4"/>
        <v>0</v>
      </c>
    </row>
    <row r="277" ht="15.75" customHeight="1">
      <c r="A277" s="279"/>
      <c r="B277" s="280"/>
      <c r="C277" s="280"/>
      <c r="D277" s="280"/>
      <c r="E277" s="281"/>
      <c r="F277" s="281"/>
      <c r="G277" s="280"/>
      <c r="H277" s="282"/>
      <c r="I277" s="283"/>
      <c r="J277" s="280"/>
      <c r="K277" s="103"/>
      <c r="L277" s="146"/>
      <c r="M277" s="103"/>
      <c r="N277" s="103"/>
      <c r="O277" s="103">
        <f t="shared" si="1"/>
        <v>0</v>
      </c>
      <c r="P277" s="104">
        <f t="shared" si="2"/>
        <v>0</v>
      </c>
      <c r="Q277" s="147"/>
      <c r="R277" s="103"/>
      <c r="S277" s="103">
        <f t="shared" si="3"/>
        <v>0</v>
      </c>
      <c r="U277" s="107" t="str">
        <f t="shared" si="4"/>
        <v>0</v>
      </c>
    </row>
    <row r="278" ht="15.75" customHeight="1">
      <c r="A278" s="279"/>
      <c r="B278" s="280"/>
      <c r="C278" s="280"/>
      <c r="D278" s="280"/>
      <c r="E278" s="281"/>
      <c r="F278" s="281"/>
      <c r="G278" s="280"/>
      <c r="H278" s="282"/>
      <c r="I278" s="283"/>
      <c r="J278" s="280"/>
      <c r="K278" s="103"/>
      <c r="L278" s="146"/>
      <c r="M278" s="103"/>
      <c r="N278" s="103"/>
      <c r="O278" s="103">
        <f t="shared" si="1"/>
        <v>0</v>
      </c>
      <c r="P278" s="104">
        <f t="shared" si="2"/>
        <v>0</v>
      </c>
      <c r="Q278" s="147"/>
      <c r="R278" s="103"/>
      <c r="S278" s="103">
        <f t="shared" si="3"/>
        <v>0</v>
      </c>
      <c r="U278" s="107" t="str">
        <f t="shared" si="4"/>
        <v>0</v>
      </c>
    </row>
    <row r="279" ht="15.75" customHeight="1">
      <c r="A279" s="279"/>
      <c r="B279" s="280"/>
      <c r="C279" s="280"/>
      <c r="D279" s="280"/>
      <c r="E279" s="281"/>
      <c r="F279" s="281"/>
      <c r="G279" s="280"/>
      <c r="H279" s="282"/>
      <c r="I279" s="283"/>
      <c r="J279" s="280"/>
      <c r="K279" s="103"/>
      <c r="L279" s="146"/>
      <c r="M279" s="103"/>
      <c r="N279" s="103"/>
      <c r="O279" s="103">
        <f t="shared" si="1"/>
        <v>0</v>
      </c>
      <c r="P279" s="104">
        <f t="shared" si="2"/>
        <v>0</v>
      </c>
      <c r="Q279" s="147"/>
      <c r="R279" s="103"/>
      <c r="S279" s="103">
        <f t="shared" si="3"/>
        <v>0</v>
      </c>
      <c r="U279" s="107" t="str">
        <f t="shared" si="4"/>
        <v>0</v>
      </c>
    </row>
    <row r="280" ht="15.75" customHeight="1">
      <c r="A280" s="279"/>
      <c r="B280" s="280"/>
      <c r="C280" s="280"/>
      <c r="D280" s="280"/>
      <c r="E280" s="281"/>
      <c r="F280" s="281"/>
      <c r="G280" s="280"/>
      <c r="H280" s="282"/>
      <c r="I280" s="283"/>
      <c r="J280" s="280"/>
      <c r="K280" s="103"/>
      <c r="L280" s="146"/>
      <c r="M280" s="103"/>
      <c r="N280" s="103"/>
      <c r="O280" s="103">
        <f t="shared" si="1"/>
        <v>0</v>
      </c>
      <c r="P280" s="104">
        <f t="shared" si="2"/>
        <v>0</v>
      </c>
      <c r="Q280" s="147"/>
      <c r="R280" s="103"/>
      <c r="S280" s="103">
        <f t="shared" si="3"/>
        <v>0</v>
      </c>
      <c r="U280" s="107" t="str">
        <f t="shared" si="4"/>
        <v>0</v>
      </c>
    </row>
    <row r="281" ht="15.75" customHeight="1">
      <c r="A281" s="279"/>
      <c r="B281" s="280"/>
      <c r="C281" s="280"/>
      <c r="D281" s="280"/>
      <c r="E281" s="281"/>
      <c r="F281" s="281"/>
      <c r="G281" s="280"/>
      <c r="H281" s="282"/>
      <c r="I281" s="283"/>
      <c r="J281" s="280"/>
      <c r="K281" s="103"/>
      <c r="L281" s="146"/>
      <c r="M281" s="103"/>
      <c r="N281" s="103"/>
      <c r="O281" s="103">
        <f t="shared" si="1"/>
        <v>0</v>
      </c>
      <c r="P281" s="104">
        <f t="shared" si="2"/>
        <v>0</v>
      </c>
      <c r="Q281" s="147"/>
      <c r="R281" s="103"/>
      <c r="S281" s="103">
        <f t="shared" si="3"/>
        <v>0</v>
      </c>
      <c r="U281" s="107" t="str">
        <f t="shared" si="4"/>
        <v>0</v>
      </c>
    </row>
    <row r="282" ht="15.75" customHeight="1">
      <c r="A282" s="279"/>
      <c r="B282" s="280"/>
      <c r="C282" s="280"/>
      <c r="D282" s="280"/>
      <c r="E282" s="281"/>
      <c r="F282" s="281"/>
      <c r="G282" s="280"/>
      <c r="H282" s="282"/>
      <c r="I282" s="283"/>
      <c r="J282" s="280"/>
      <c r="K282" s="103"/>
      <c r="L282" s="146"/>
      <c r="M282" s="103"/>
      <c r="N282" s="103"/>
      <c r="O282" s="103">
        <f t="shared" si="1"/>
        <v>0</v>
      </c>
      <c r="P282" s="104">
        <f t="shared" si="2"/>
        <v>0</v>
      </c>
      <c r="Q282" s="147"/>
      <c r="R282" s="103"/>
      <c r="S282" s="103">
        <f t="shared" si="3"/>
        <v>0</v>
      </c>
      <c r="U282" s="107" t="str">
        <f t="shared" si="4"/>
        <v>0</v>
      </c>
    </row>
    <row r="283" ht="15.75" customHeight="1">
      <c r="A283" s="279"/>
      <c r="B283" s="280"/>
      <c r="C283" s="280"/>
      <c r="D283" s="280"/>
      <c r="E283" s="281"/>
      <c r="F283" s="281"/>
      <c r="G283" s="280"/>
      <c r="H283" s="282"/>
      <c r="I283" s="283"/>
      <c r="J283" s="280"/>
      <c r="K283" s="103"/>
      <c r="L283" s="146"/>
      <c r="M283" s="103"/>
      <c r="N283" s="103"/>
      <c r="O283" s="103">
        <f t="shared" si="1"/>
        <v>0</v>
      </c>
      <c r="P283" s="104">
        <f t="shared" si="2"/>
        <v>0</v>
      </c>
      <c r="Q283" s="147"/>
      <c r="R283" s="103"/>
      <c r="S283" s="103">
        <f t="shared" si="3"/>
        <v>0</v>
      </c>
      <c r="U283" s="107" t="str">
        <f t="shared" si="4"/>
        <v>0</v>
      </c>
    </row>
    <row r="284" ht="15.75" customHeight="1">
      <c r="A284" s="279"/>
      <c r="B284" s="280"/>
      <c r="C284" s="280"/>
      <c r="D284" s="280"/>
      <c r="E284" s="281"/>
      <c r="F284" s="281"/>
      <c r="G284" s="280"/>
      <c r="H284" s="282"/>
      <c r="I284" s="283"/>
      <c r="J284" s="280"/>
      <c r="K284" s="103"/>
      <c r="L284" s="146"/>
      <c r="M284" s="103"/>
      <c r="N284" s="103"/>
      <c r="O284" s="103">
        <f t="shared" si="1"/>
        <v>0</v>
      </c>
      <c r="P284" s="104">
        <f t="shared" si="2"/>
        <v>0</v>
      </c>
      <c r="Q284" s="147"/>
      <c r="R284" s="103"/>
      <c r="S284" s="103">
        <f t="shared" si="3"/>
        <v>0</v>
      </c>
      <c r="U284" s="107" t="str">
        <f t="shared" si="4"/>
        <v>0</v>
      </c>
    </row>
    <row r="285" ht="15.75" customHeight="1">
      <c r="A285" s="279"/>
      <c r="B285" s="280"/>
      <c r="C285" s="280"/>
      <c r="D285" s="280"/>
      <c r="E285" s="281"/>
      <c r="F285" s="281"/>
      <c r="G285" s="280"/>
      <c r="H285" s="282"/>
      <c r="I285" s="283"/>
      <c r="J285" s="280"/>
      <c r="K285" s="103"/>
      <c r="L285" s="146"/>
      <c r="M285" s="103"/>
      <c r="N285" s="103"/>
      <c r="O285" s="103">
        <f t="shared" si="1"/>
        <v>0</v>
      </c>
      <c r="P285" s="104">
        <f t="shared" si="2"/>
        <v>0</v>
      </c>
      <c r="Q285" s="147"/>
      <c r="R285" s="103"/>
      <c r="S285" s="103">
        <f t="shared" si="3"/>
        <v>0</v>
      </c>
      <c r="U285" s="107" t="str">
        <f t="shared" si="4"/>
        <v>0</v>
      </c>
    </row>
    <row r="286" ht="15.75" customHeight="1">
      <c r="A286" s="279"/>
      <c r="B286" s="280"/>
      <c r="C286" s="280"/>
      <c r="D286" s="280"/>
      <c r="E286" s="281"/>
      <c r="F286" s="281"/>
      <c r="G286" s="280"/>
      <c r="H286" s="282"/>
      <c r="I286" s="283"/>
      <c r="J286" s="280"/>
      <c r="K286" s="103"/>
      <c r="L286" s="146"/>
      <c r="M286" s="103"/>
      <c r="N286" s="103"/>
      <c r="O286" s="103">
        <f t="shared" si="1"/>
        <v>0</v>
      </c>
      <c r="P286" s="104">
        <f t="shared" si="2"/>
        <v>0</v>
      </c>
      <c r="Q286" s="147"/>
      <c r="R286" s="103"/>
      <c r="S286" s="103">
        <f t="shared" si="3"/>
        <v>0</v>
      </c>
      <c r="U286" s="107" t="str">
        <f t="shared" si="4"/>
        <v>0</v>
      </c>
    </row>
    <row r="287" ht="15.75" customHeight="1">
      <c r="A287" s="279"/>
      <c r="B287" s="280"/>
      <c r="C287" s="280"/>
      <c r="D287" s="280"/>
      <c r="E287" s="281"/>
      <c r="F287" s="281"/>
      <c r="G287" s="280"/>
      <c r="H287" s="282"/>
      <c r="I287" s="283"/>
      <c r="J287" s="280"/>
      <c r="K287" s="103"/>
      <c r="L287" s="146"/>
      <c r="M287" s="103"/>
      <c r="N287" s="103"/>
      <c r="O287" s="103">
        <f t="shared" si="1"/>
        <v>0</v>
      </c>
      <c r="P287" s="104">
        <f t="shared" si="2"/>
        <v>0</v>
      </c>
      <c r="Q287" s="147"/>
      <c r="R287" s="103"/>
      <c r="S287" s="103">
        <f t="shared" si="3"/>
        <v>0</v>
      </c>
      <c r="U287" s="107" t="str">
        <f t="shared" si="4"/>
        <v>0</v>
      </c>
    </row>
    <row r="288" ht="15.75" customHeight="1">
      <c r="A288" s="279"/>
      <c r="B288" s="280"/>
      <c r="C288" s="280"/>
      <c r="D288" s="280"/>
      <c r="E288" s="281"/>
      <c r="F288" s="281"/>
      <c r="G288" s="280"/>
      <c r="H288" s="282"/>
      <c r="I288" s="283"/>
      <c r="J288" s="280"/>
      <c r="K288" s="103"/>
      <c r="L288" s="146"/>
      <c r="M288" s="103"/>
      <c r="N288" s="103"/>
      <c r="O288" s="103">
        <f t="shared" si="1"/>
        <v>0</v>
      </c>
      <c r="P288" s="104">
        <f t="shared" si="2"/>
        <v>0</v>
      </c>
      <c r="Q288" s="147"/>
      <c r="R288" s="103"/>
      <c r="S288" s="103">
        <f t="shared" si="3"/>
        <v>0</v>
      </c>
      <c r="U288" s="107" t="str">
        <f t="shared" si="4"/>
        <v>0</v>
      </c>
    </row>
    <row r="289" ht="15.75" customHeight="1">
      <c r="A289" s="279"/>
      <c r="B289" s="280"/>
      <c r="C289" s="280"/>
      <c r="D289" s="280"/>
      <c r="E289" s="281"/>
      <c r="F289" s="281"/>
      <c r="G289" s="280"/>
      <c r="H289" s="282"/>
      <c r="I289" s="283"/>
      <c r="J289" s="280"/>
      <c r="K289" s="103"/>
      <c r="L289" s="146"/>
      <c r="M289" s="103"/>
      <c r="N289" s="103"/>
      <c r="O289" s="103">
        <f t="shared" si="1"/>
        <v>0</v>
      </c>
      <c r="P289" s="104">
        <f t="shared" si="2"/>
        <v>0</v>
      </c>
      <c r="Q289" s="147"/>
      <c r="R289" s="103"/>
      <c r="S289" s="103">
        <f t="shared" si="3"/>
        <v>0</v>
      </c>
      <c r="U289" s="107" t="str">
        <f t="shared" si="4"/>
        <v>0</v>
      </c>
    </row>
    <row r="290" ht="15.75" customHeight="1">
      <c r="A290" s="279"/>
      <c r="B290" s="280"/>
      <c r="C290" s="280"/>
      <c r="D290" s="280"/>
      <c r="E290" s="281"/>
      <c r="F290" s="281"/>
      <c r="G290" s="280"/>
      <c r="H290" s="282"/>
      <c r="I290" s="283"/>
      <c r="J290" s="280"/>
      <c r="K290" s="103"/>
      <c r="L290" s="146"/>
      <c r="M290" s="103"/>
      <c r="N290" s="103"/>
      <c r="O290" s="103">
        <f t="shared" si="1"/>
        <v>0</v>
      </c>
      <c r="P290" s="104">
        <f t="shared" si="2"/>
        <v>0</v>
      </c>
      <c r="Q290" s="147"/>
      <c r="R290" s="103"/>
      <c r="S290" s="103">
        <f t="shared" si="3"/>
        <v>0</v>
      </c>
      <c r="U290" s="107" t="str">
        <f t="shared" si="4"/>
        <v>0</v>
      </c>
    </row>
    <row r="291" ht="15.75" customHeight="1">
      <c r="A291" s="279"/>
      <c r="B291" s="280"/>
      <c r="C291" s="280"/>
      <c r="D291" s="280"/>
      <c r="E291" s="281"/>
      <c r="F291" s="281"/>
      <c r="G291" s="280"/>
      <c r="H291" s="282"/>
      <c r="I291" s="283"/>
      <c r="J291" s="280"/>
      <c r="K291" s="103"/>
      <c r="L291" s="146"/>
      <c r="M291" s="103"/>
      <c r="N291" s="103"/>
      <c r="O291" s="103">
        <f t="shared" si="1"/>
        <v>0</v>
      </c>
      <c r="P291" s="104">
        <f t="shared" si="2"/>
        <v>0</v>
      </c>
      <c r="Q291" s="147"/>
      <c r="R291" s="103"/>
      <c r="S291" s="103">
        <f t="shared" si="3"/>
        <v>0</v>
      </c>
      <c r="U291" s="107" t="str">
        <f t="shared" si="4"/>
        <v>0</v>
      </c>
    </row>
    <row r="292" ht="15.75" customHeight="1">
      <c r="A292" s="279"/>
      <c r="B292" s="280"/>
      <c r="C292" s="280"/>
      <c r="D292" s="280"/>
      <c r="E292" s="281"/>
      <c r="F292" s="281"/>
      <c r="G292" s="280"/>
      <c r="H292" s="282"/>
      <c r="I292" s="283"/>
      <c r="J292" s="280"/>
      <c r="K292" s="103"/>
      <c r="L292" s="146"/>
      <c r="M292" s="103"/>
      <c r="N292" s="103"/>
      <c r="O292" s="103">
        <f t="shared" si="1"/>
        <v>0</v>
      </c>
      <c r="P292" s="104">
        <f t="shared" si="2"/>
        <v>0</v>
      </c>
      <c r="Q292" s="147"/>
      <c r="R292" s="103"/>
      <c r="S292" s="103">
        <f t="shared" si="3"/>
        <v>0</v>
      </c>
      <c r="U292" s="107" t="str">
        <f t="shared" si="4"/>
        <v>0</v>
      </c>
    </row>
    <row r="293" ht="15.75" customHeight="1">
      <c r="A293" s="279"/>
      <c r="B293" s="280"/>
      <c r="C293" s="280"/>
      <c r="D293" s="280"/>
      <c r="E293" s="281"/>
      <c r="F293" s="281"/>
      <c r="G293" s="280"/>
      <c r="H293" s="282"/>
      <c r="I293" s="283"/>
      <c r="J293" s="280"/>
      <c r="K293" s="103"/>
      <c r="L293" s="146"/>
      <c r="M293" s="103"/>
      <c r="N293" s="103"/>
      <c r="O293" s="103">
        <f t="shared" si="1"/>
        <v>0</v>
      </c>
      <c r="P293" s="104">
        <f t="shared" si="2"/>
        <v>0</v>
      </c>
      <c r="Q293" s="147"/>
      <c r="R293" s="103"/>
      <c r="S293" s="103">
        <f t="shared" si="3"/>
        <v>0</v>
      </c>
      <c r="U293" s="107" t="str">
        <f t="shared" si="4"/>
        <v>0</v>
      </c>
    </row>
    <row r="294" ht="15.75" customHeight="1">
      <c r="A294" s="279"/>
      <c r="B294" s="280"/>
      <c r="C294" s="280"/>
      <c r="D294" s="280"/>
      <c r="E294" s="281"/>
      <c r="F294" s="281"/>
      <c r="G294" s="280"/>
      <c r="H294" s="282"/>
      <c r="I294" s="283"/>
      <c r="J294" s="280"/>
      <c r="K294" s="103"/>
      <c r="L294" s="146"/>
      <c r="M294" s="103"/>
      <c r="N294" s="103"/>
      <c r="O294" s="103">
        <f t="shared" si="1"/>
        <v>0</v>
      </c>
      <c r="P294" s="104">
        <f t="shared" si="2"/>
        <v>0</v>
      </c>
      <c r="Q294" s="147"/>
      <c r="R294" s="103"/>
      <c r="S294" s="103">
        <f t="shared" si="3"/>
        <v>0</v>
      </c>
      <c r="U294" s="107" t="str">
        <f t="shared" si="4"/>
        <v>0</v>
      </c>
    </row>
    <row r="295" ht="15.75" customHeight="1">
      <c r="A295" s="279"/>
      <c r="B295" s="280"/>
      <c r="C295" s="280"/>
      <c r="D295" s="280"/>
      <c r="E295" s="281"/>
      <c r="F295" s="281"/>
      <c r="G295" s="280"/>
      <c r="H295" s="282"/>
      <c r="I295" s="283"/>
      <c r="J295" s="280"/>
      <c r="K295" s="103"/>
      <c r="L295" s="146"/>
      <c r="M295" s="103"/>
      <c r="N295" s="103"/>
      <c r="O295" s="103">
        <f t="shared" si="1"/>
        <v>0</v>
      </c>
      <c r="P295" s="104">
        <f t="shared" si="2"/>
        <v>0</v>
      </c>
      <c r="Q295" s="147"/>
      <c r="R295" s="103"/>
      <c r="S295" s="103">
        <f t="shared" si="3"/>
        <v>0</v>
      </c>
      <c r="U295" s="107" t="str">
        <f t="shared" si="4"/>
        <v>0</v>
      </c>
    </row>
    <row r="296" ht="15.75" customHeight="1">
      <c r="A296" s="279"/>
      <c r="B296" s="280"/>
      <c r="C296" s="280"/>
      <c r="D296" s="280"/>
      <c r="E296" s="281"/>
      <c r="F296" s="281"/>
      <c r="G296" s="280"/>
      <c r="H296" s="282"/>
      <c r="I296" s="283"/>
      <c r="J296" s="280"/>
      <c r="K296" s="103"/>
      <c r="L296" s="146"/>
      <c r="M296" s="103"/>
      <c r="N296" s="103"/>
      <c r="O296" s="103">
        <f t="shared" si="1"/>
        <v>0</v>
      </c>
      <c r="P296" s="104">
        <f t="shared" si="2"/>
        <v>0</v>
      </c>
      <c r="Q296" s="147"/>
      <c r="R296" s="103"/>
      <c r="S296" s="103">
        <f t="shared" si="3"/>
        <v>0</v>
      </c>
      <c r="U296" s="107" t="str">
        <f t="shared" si="4"/>
        <v>0</v>
      </c>
    </row>
    <row r="297" ht="15.75" customHeight="1">
      <c r="A297" s="279"/>
      <c r="B297" s="280"/>
      <c r="C297" s="280"/>
      <c r="D297" s="280"/>
      <c r="E297" s="281"/>
      <c r="F297" s="281"/>
      <c r="G297" s="280"/>
      <c r="H297" s="282"/>
      <c r="I297" s="283"/>
      <c r="J297" s="280"/>
      <c r="K297" s="103"/>
      <c r="L297" s="146"/>
      <c r="M297" s="103"/>
      <c r="N297" s="103"/>
      <c r="O297" s="103">
        <f t="shared" si="1"/>
        <v>0</v>
      </c>
      <c r="P297" s="104">
        <f t="shared" si="2"/>
        <v>0</v>
      </c>
      <c r="Q297" s="147"/>
      <c r="R297" s="103"/>
      <c r="S297" s="103">
        <f t="shared" si="3"/>
        <v>0</v>
      </c>
      <c r="U297" s="107" t="str">
        <f t="shared" si="4"/>
        <v>0</v>
      </c>
    </row>
    <row r="298" ht="15.75" customHeight="1">
      <c r="A298" s="279"/>
      <c r="B298" s="280"/>
      <c r="C298" s="280"/>
      <c r="D298" s="280"/>
      <c r="E298" s="281"/>
      <c r="F298" s="281"/>
      <c r="G298" s="280"/>
      <c r="H298" s="282"/>
      <c r="I298" s="283"/>
      <c r="J298" s="280"/>
      <c r="K298" s="103"/>
      <c r="L298" s="146"/>
      <c r="M298" s="103"/>
      <c r="N298" s="103"/>
      <c r="O298" s="103">
        <f t="shared" si="1"/>
        <v>0</v>
      </c>
      <c r="P298" s="104">
        <f t="shared" si="2"/>
        <v>0</v>
      </c>
      <c r="Q298" s="147"/>
      <c r="R298" s="103"/>
      <c r="S298" s="103">
        <f t="shared" si="3"/>
        <v>0</v>
      </c>
      <c r="U298" s="107" t="str">
        <f t="shared" si="4"/>
        <v>0</v>
      </c>
    </row>
    <row r="299" ht="15.75" customHeight="1">
      <c r="A299" s="279"/>
      <c r="B299" s="280"/>
      <c r="C299" s="280"/>
      <c r="D299" s="280"/>
      <c r="E299" s="281"/>
      <c r="F299" s="281"/>
      <c r="G299" s="280"/>
      <c r="H299" s="282"/>
      <c r="I299" s="283"/>
      <c r="J299" s="280"/>
      <c r="K299" s="103"/>
      <c r="L299" s="146"/>
      <c r="M299" s="103"/>
      <c r="N299" s="103"/>
      <c r="O299" s="103">
        <f t="shared" si="1"/>
        <v>0</v>
      </c>
      <c r="P299" s="104">
        <f t="shared" si="2"/>
        <v>0</v>
      </c>
      <c r="Q299" s="147"/>
      <c r="R299" s="103"/>
      <c r="S299" s="103">
        <f t="shared" si="3"/>
        <v>0</v>
      </c>
      <c r="U299" s="107" t="str">
        <f t="shared" si="4"/>
        <v>0</v>
      </c>
    </row>
    <row r="300" ht="15.75" customHeight="1">
      <c r="A300" s="279"/>
      <c r="B300" s="280"/>
      <c r="C300" s="280"/>
      <c r="D300" s="280"/>
      <c r="E300" s="281"/>
      <c r="F300" s="281"/>
      <c r="G300" s="280"/>
      <c r="H300" s="282"/>
      <c r="I300" s="283"/>
      <c r="J300" s="280"/>
      <c r="K300" s="103"/>
      <c r="L300" s="146"/>
      <c r="M300" s="103"/>
      <c r="N300" s="103"/>
      <c r="O300" s="103">
        <f t="shared" si="1"/>
        <v>0</v>
      </c>
      <c r="P300" s="104">
        <f t="shared" si="2"/>
        <v>0</v>
      </c>
      <c r="Q300" s="147"/>
      <c r="R300" s="103"/>
      <c r="S300" s="103">
        <f t="shared" si="3"/>
        <v>0</v>
      </c>
      <c r="U300" s="107" t="str">
        <f t="shared" si="4"/>
        <v>0</v>
      </c>
    </row>
    <row r="301" ht="15.75" customHeight="1">
      <c r="A301" s="279"/>
      <c r="B301" s="280"/>
      <c r="C301" s="280"/>
      <c r="D301" s="280"/>
      <c r="E301" s="281"/>
      <c r="F301" s="281"/>
      <c r="G301" s="280"/>
      <c r="H301" s="282"/>
      <c r="I301" s="283"/>
      <c r="J301" s="280"/>
      <c r="K301" s="103"/>
      <c r="L301" s="146"/>
      <c r="M301" s="103"/>
      <c r="N301" s="103"/>
      <c r="O301" s="103">
        <f t="shared" si="1"/>
        <v>0</v>
      </c>
      <c r="P301" s="104">
        <f t="shared" si="2"/>
        <v>0</v>
      </c>
      <c r="Q301" s="147"/>
      <c r="R301" s="103"/>
      <c r="S301" s="103">
        <f t="shared" si="3"/>
        <v>0</v>
      </c>
      <c r="U301" s="107" t="str">
        <f t="shared" si="4"/>
        <v>0</v>
      </c>
    </row>
    <row r="302" ht="15.75" customHeight="1">
      <c r="A302" s="279"/>
      <c r="B302" s="280"/>
      <c r="C302" s="280"/>
      <c r="D302" s="280"/>
      <c r="E302" s="281"/>
      <c r="F302" s="281"/>
      <c r="G302" s="280"/>
      <c r="H302" s="282"/>
      <c r="I302" s="283"/>
      <c r="J302" s="280"/>
      <c r="K302" s="103"/>
      <c r="L302" s="146"/>
      <c r="M302" s="103"/>
      <c r="N302" s="103"/>
      <c r="O302" s="103">
        <f t="shared" si="1"/>
        <v>0</v>
      </c>
      <c r="P302" s="104">
        <f t="shared" si="2"/>
        <v>0</v>
      </c>
      <c r="Q302" s="147"/>
      <c r="R302" s="103"/>
      <c r="S302" s="103">
        <f t="shared" si="3"/>
        <v>0</v>
      </c>
      <c r="U302" s="107" t="str">
        <f t="shared" si="4"/>
        <v>0</v>
      </c>
    </row>
    <row r="303" ht="15.75" customHeight="1">
      <c r="A303" s="279"/>
      <c r="B303" s="280"/>
      <c r="C303" s="280"/>
      <c r="D303" s="280"/>
      <c r="E303" s="281"/>
      <c r="F303" s="281"/>
      <c r="G303" s="280"/>
      <c r="H303" s="282"/>
      <c r="I303" s="283"/>
      <c r="J303" s="280"/>
      <c r="K303" s="103"/>
      <c r="L303" s="146"/>
      <c r="M303" s="103"/>
      <c r="N303" s="103"/>
      <c r="O303" s="103">
        <f t="shared" si="1"/>
        <v>0</v>
      </c>
      <c r="P303" s="104">
        <f t="shared" si="2"/>
        <v>0</v>
      </c>
      <c r="Q303" s="147"/>
      <c r="R303" s="103"/>
      <c r="S303" s="103">
        <f t="shared" si="3"/>
        <v>0</v>
      </c>
      <c r="U303" s="107" t="str">
        <f t="shared" si="4"/>
        <v>0</v>
      </c>
    </row>
    <row r="304" ht="15.75" customHeight="1">
      <c r="A304" s="279"/>
      <c r="B304" s="280"/>
      <c r="C304" s="280"/>
      <c r="D304" s="280"/>
      <c r="E304" s="281"/>
      <c r="F304" s="281"/>
      <c r="G304" s="280"/>
      <c r="H304" s="282"/>
      <c r="I304" s="283"/>
      <c r="J304" s="280"/>
      <c r="K304" s="103"/>
      <c r="L304" s="146"/>
      <c r="M304" s="103"/>
      <c r="N304" s="103"/>
      <c r="O304" s="103">
        <f t="shared" si="1"/>
        <v>0</v>
      </c>
      <c r="P304" s="104">
        <f t="shared" si="2"/>
        <v>0</v>
      </c>
      <c r="Q304" s="147"/>
      <c r="R304" s="103"/>
      <c r="S304" s="103">
        <f t="shared" si="3"/>
        <v>0</v>
      </c>
      <c r="U304" s="107" t="str">
        <f t="shared" si="4"/>
        <v>0</v>
      </c>
    </row>
    <row r="305" ht="15.75" customHeight="1">
      <c r="A305" s="279"/>
      <c r="B305" s="280"/>
      <c r="C305" s="280"/>
      <c r="D305" s="280"/>
      <c r="E305" s="281"/>
      <c r="F305" s="281"/>
      <c r="G305" s="280"/>
      <c r="H305" s="282"/>
      <c r="I305" s="283"/>
      <c r="J305" s="280"/>
      <c r="K305" s="103"/>
      <c r="L305" s="146"/>
      <c r="M305" s="103"/>
      <c r="N305" s="103"/>
      <c r="O305" s="103">
        <f t="shared" si="1"/>
        <v>0</v>
      </c>
      <c r="P305" s="104">
        <f t="shared" si="2"/>
        <v>0</v>
      </c>
      <c r="Q305" s="147"/>
      <c r="R305" s="103"/>
      <c r="S305" s="103">
        <f t="shared" si="3"/>
        <v>0</v>
      </c>
      <c r="U305" s="107" t="str">
        <f t="shared" si="4"/>
        <v>0</v>
      </c>
    </row>
    <row r="306" ht="15.75" customHeight="1">
      <c r="A306" s="279"/>
      <c r="B306" s="280"/>
      <c r="C306" s="280"/>
      <c r="D306" s="280"/>
      <c r="E306" s="281"/>
      <c r="F306" s="281"/>
      <c r="G306" s="280"/>
      <c r="H306" s="282"/>
      <c r="I306" s="283"/>
      <c r="J306" s="280"/>
      <c r="K306" s="103"/>
      <c r="L306" s="146"/>
      <c r="M306" s="103"/>
      <c r="N306" s="103"/>
      <c r="O306" s="103">
        <f t="shared" si="1"/>
        <v>0</v>
      </c>
      <c r="P306" s="104">
        <f t="shared" si="2"/>
        <v>0</v>
      </c>
      <c r="Q306" s="147"/>
      <c r="R306" s="103"/>
      <c r="S306" s="103">
        <f t="shared" si="3"/>
        <v>0</v>
      </c>
      <c r="U306" s="107" t="str">
        <f t="shared" si="4"/>
        <v>0</v>
      </c>
    </row>
    <row r="307" ht="15.75" customHeight="1">
      <c r="A307" s="279"/>
      <c r="B307" s="280"/>
      <c r="C307" s="280"/>
      <c r="D307" s="280"/>
      <c r="E307" s="281"/>
      <c r="F307" s="281"/>
      <c r="G307" s="280"/>
      <c r="H307" s="282"/>
      <c r="I307" s="283"/>
      <c r="J307" s="280"/>
      <c r="K307" s="103"/>
      <c r="L307" s="146"/>
      <c r="M307" s="103"/>
      <c r="N307" s="103"/>
      <c r="O307" s="103">
        <f t="shared" si="1"/>
        <v>0</v>
      </c>
      <c r="P307" s="104">
        <f t="shared" si="2"/>
        <v>0</v>
      </c>
      <c r="Q307" s="147"/>
      <c r="R307" s="103"/>
      <c r="S307" s="103">
        <f t="shared" si="3"/>
        <v>0</v>
      </c>
      <c r="U307" s="107" t="str">
        <f t="shared" si="4"/>
        <v>0</v>
      </c>
    </row>
    <row r="308" ht="15.75" customHeight="1">
      <c r="A308" s="279"/>
      <c r="B308" s="280"/>
      <c r="C308" s="280"/>
      <c r="D308" s="280"/>
      <c r="E308" s="281"/>
      <c r="F308" s="281"/>
      <c r="G308" s="280"/>
      <c r="H308" s="282"/>
      <c r="I308" s="283"/>
      <c r="J308" s="280"/>
      <c r="K308" s="103"/>
      <c r="L308" s="146"/>
      <c r="M308" s="103"/>
      <c r="N308" s="103"/>
      <c r="O308" s="103">
        <f t="shared" si="1"/>
        <v>0</v>
      </c>
      <c r="P308" s="104">
        <f t="shared" si="2"/>
        <v>0</v>
      </c>
      <c r="Q308" s="147"/>
      <c r="R308" s="103"/>
      <c r="S308" s="103">
        <f t="shared" si="3"/>
        <v>0</v>
      </c>
      <c r="U308" s="107" t="str">
        <f t="shared" si="4"/>
        <v>0</v>
      </c>
    </row>
    <row r="309" ht="15.75" customHeight="1">
      <c r="A309" s="279"/>
      <c r="B309" s="280"/>
      <c r="C309" s="280"/>
      <c r="D309" s="280"/>
      <c r="E309" s="281"/>
      <c r="F309" s="281"/>
      <c r="G309" s="280"/>
      <c r="H309" s="282"/>
      <c r="I309" s="283"/>
      <c r="J309" s="280"/>
      <c r="K309" s="103"/>
      <c r="L309" s="146"/>
      <c r="M309" s="103"/>
      <c r="N309" s="103"/>
      <c r="O309" s="103">
        <f t="shared" si="1"/>
        <v>0</v>
      </c>
      <c r="P309" s="104">
        <f t="shared" si="2"/>
        <v>0</v>
      </c>
      <c r="Q309" s="147"/>
      <c r="R309" s="103"/>
      <c r="S309" s="103">
        <f t="shared" si="3"/>
        <v>0</v>
      </c>
      <c r="U309" s="107" t="str">
        <f t="shared" si="4"/>
        <v>0</v>
      </c>
    </row>
    <row r="310" ht="15.75" customHeight="1">
      <c r="A310" s="279"/>
      <c r="B310" s="280"/>
      <c r="C310" s="280"/>
      <c r="D310" s="280"/>
      <c r="E310" s="281"/>
      <c r="F310" s="281"/>
      <c r="G310" s="280"/>
      <c r="H310" s="282"/>
      <c r="I310" s="283"/>
      <c r="J310" s="280"/>
      <c r="K310" s="103"/>
      <c r="L310" s="146"/>
      <c r="M310" s="103"/>
      <c r="N310" s="103"/>
      <c r="O310" s="103">
        <f t="shared" si="1"/>
        <v>0</v>
      </c>
      <c r="P310" s="104">
        <f t="shared" si="2"/>
        <v>0</v>
      </c>
      <c r="Q310" s="147"/>
      <c r="R310" s="103"/>
      <c r="S310" s="103">
        <f t="shared" si="3"/>
        <v>0</v>
      </c>
      <c r="U310" s="107" t="str">
        <f t="shared" si="4"/>
        <v>0</v>
      </c>
    </row>
    <row r="311" ht="15.75" customHeight="1">
      <c r="A311" s="279"/>
      <c r="B311" s="280"/>
      <c r="C311" s="280"/>
      <c r="D311" s="280"/>
      <c r="E311" s="281"/>
      <c r="F311" s="281"/>
      <c r="G311" s="280"/>
      <c r="H311" s="282"/>
      <c r="I311" s="283"/>
      <c r="J311" s="280"/>
      <c r="K311" s="103"/>
      <c r="L311" s="146"/>
      <c r="M311" s="103"/>
      <c r="N311" s="103"/>
      <c r="O311" s="103">
        <f t="shared" si="1"/>
        <v>0</v>
      </c>
      <c r="P311" s="104">
        <f t="shared" si="2"/>
        <v>0</v>
      </c>
      <c r="Q311" s="147"/>
      <c r="R311" s="103"/>
      <c r="S311" s="103">
        <f t="shared" si="3"/>
        <v>0</v>
      </c>
      <c r="U311" s="107" t="str">
        <f t="shared" si="4"/>
        <v>0</v>
      </c>
    </row>
    <row r="312" ht="15.75" customHeight="1">
      <c r="A312" s="279"/>
      <c r="B312" s="280"/>
      <c r="C312" s="280"/>
      <c r="D312" s="280"/>
      <c r="E312" s="281"/>
      <c r="F312" s="281"/>
      <c r="G312" s="280"/>
      <c r="H312" s="282"/>
      <c r="I312" s="283"/>
      <c r="J312" s="280"/>
      <c r="K312" s="103"/>
      <c r="L312" s="146"/>
      <c r="M312" s="103"/>
      <c r="N312" s="103"/>
      <c r="O312" s="103">
        <f t="shared" si="1"/>
        <v>0</v>
      </c>
      <c r="P312" s="104">
        <f t="shared" si="2"/>
        <v>0</v>
      </c>
      <c r="Q312" s="147"/>
      <c r="R312" s="103"/>
      <c r="S312" s="103">
        <f t="shared" si="3"/>
        <v>0</v>
      </c>
      <c r="U312" s="107" t="str">
        <f t="shared" si="4"/>
        <v>0</v>
      </c>
    </row>
    <row r="313" ht="15.75" customHeight="1">
      <c r="A313" s="279"/>
      <c r="B313" s="280"/>
      <c r="C313" s="280"/>
      <c r="D313" s="280"/>
      <c r="E313" s="281"/>
      <c r="F313" s="281"/>
      <c r="G313" s="280"/>
      <c r="H313" s="282"/>
      <c r="I313" s="283"/>
      <c r="J313" s="280"/>
      <c r="K313" s="103"/>
      <c r="L313" s="146"/>
      <c r="M313" s="103"/>
      <c r="N313" s="103"/>
      <c r="O313" s="103">
        <f t="shared" si="1"/>
        <v>0</v>
      </c>
      <c r="P313" s="104">
        <f t="shared" si="2"/>
        <v>0</v>
      </c>
      <c r="Q313" s="147"/>
      <c r="R313" s="103"/>
      <c r="S313" s="103">
        <f t="shared" si="3"/>
        <v>0</v>
      </c>
      <c r="U313" s="107" t="str">
        <f t="shared" si="4"/>
        <v>0</v>
      </c>
    </row>
    <row r="314" ht="15.75" customHeight="1">
      <c r="A314" s="279"/>
      <c r="B314" s="280"/>
      <c r="C314" s="280"/>
      <c r="D314" s="280"/>
      <c r="E314" s="281"/>
      <c r="F314" s="281"/>
      <c r="G314" s="280"/>
      <c r="H314" s="282"/>
      <c r="I314" s="283"/>
      <c r="J314" s="280"/>
      <c r="K314" s="103"/>
      <c r="L314" s="146"/>
      <c r="M314" s="103"/>
      <c r="N314" s="103"/>
      <c r="O314" s="103">
        <f t="shared" si="1"/>
        <v>0</v>
      </c>
      <c r="P314" s="104">
        <f t="shared" si="2"/>
        <v>0</v>
      </c>
      <c r="Q314" s="147"/>
      <c r="R314" s="103"/>
      <c r="S314" s="103">
        <f t="shared" si="3"/>
        <v>0</v>
      </c>
      <c r="U314" s="107" t="str">
        <f t="shared" si="4"/>
        <v>0</v>
      </c>
    </row>
    <row r="315" ht="15.75" customHeight="1">
      <c r="A315" s="279"/>
      <c r="B315" s="280"/>
      <c r="C315" s="280"/>
      <c r="D315" s="280"/>
      <c r="E315" s="281"/>
      <c r="F315" s="281"/>
      <c r="G315" s="280"/>
      <c r="H315" s="282"/>
      <c r="I315" s="283"/>
      <c r="J315" s="280"/>
      <c r="K315" s="103"/>
      <c r="L315" s="146"/>
      <c r="M315" s="103"/>
      <c r="N315" s="103"/>
      <c r="O315" s="103">
        <f t="shared" si="1"/>
        <v>0</v>
      </c>
      <c r="P315" s="104">
        <f t="shared" si="2"/>
        <v>0</v>
      </c>
      <c r="Q315" s="147"/>
      <c r="R315" s="103"/>
      <c r="S315" s="103">
        <f t="shared" si="3"/>
        <v>0</v>
      </c>
      <c r="U315" s="107" t="str">
        <f t="shared" si="4"/>
        <v>0</v>
      </c>
    </row>
    <row r="316" ht="15.75" customHeight="1">
      <c r="A316" s="279"/>
      <c r="B316" s="280"/>
      <c r="C316" s="280"/>
      <c r="D316" s="280"/>
      <c r="E316" s="281"/>
      <c r="F316" s="281"/>
      <c r="G316" s="280"/>
      <c r="H316" s="282"/>
      <c r="I316" s="283"/>
      <c r="J316" s="280"/>
      <c r="K316" s="103"/>
      <c r="L316" s="146"/>
      <c r="M316" s="103"/>
      <c r="N316" s="103"/>
      <c r="O316" s="103">
        <f t="shared" si="1"/>
        <v>0</v>
      </c>
      <c r="P316" s="104">
        <f t="shared" si="2"/>
        <v>0</v>
      </c>
      <c r="Q316" s="147"/>
      <c r="R316" s="103"/>
      <c r="S316" s="103">
        <f t="shared" si="3"/>
        <v>0</v>
      </c>
      <c r="U316" s="107" t="str">
        <f t="shared" si="4"/>
        <v>0</v>
      </c>
    </row>
    <row r="317" ht="15.75" customHeight="1">
      <c r="A317" s="279"/>
      <c r="B317" s="280"/>
      <c r="C317" s="280"/>
      <c r="D317" s="280"/>
      <c r="E317" s="281"/>
      <c r="F317" s="281"/>
      <c r="G317" s="280"/>
      <c r="H317" s="282"/>
      <c r="I317" s="283"/>
      <c r="J317" s="280"/>
      <c r="K317" s="103"/>
      <c r="L317" s="146"/>
      <c r="M317" s="103"/>
      <c r="N317" s="103"/>
      <c r="O317" s="103">
        <f t="shared" si="1"/>
        <v>0</v>
      </c>
      <c r="P317" s="104">
        <f t="shared" si="2"/>
        <v>0</v>
      </c>
      <c r="Q317" s="147"/>
      <c r="R317" s="103"/>
      <c r="S317" s="103">
        <f t="shared" si="3"/>
        <v>0</v>
      </c>
      <c r="U317" s="107" t="str">
        <f t="shared" si="4"/>
        <v>0</v>
      </c>
    </row>
    <row r="318" ht="15.75" customHeight="1">
      <c r="A318" s="279"/>
      <c r="B318" s="280"/>
      <c r="C318" s="280"/>
      <c r="D318" s="280"/>
      <c r="E318" s="281"/>
      <c r="F318" s="281"/>
      <c r="G318" s="280"/>
      <c r="H318" s="282"/>
      <c r="I318" s="283"/>
      <c r="J318" s="280"/>
      <c r="K318" s="103"/>
      <c r="L318" s="146"/>
      <c r="M318" s="103"/>
      <c r="N318" s="103"/>
      <c r="O318" s="103">
        <f t="shared" si="1"/>
        <v>0</v>
      </c>
      <c r="P318" s="104">
        <f t="shared" si="2"/>
        <v>0</v>
      </c>
      <c r="Q318" s="147"/>
      <c r="R318" s="103"/>
      <c r="S318" s="103">
        <f t="shared" si="3"/>
        <v>0</v>
      </c>
      <c r="U318" s="107" t="str">
        <f t="shared" si="4"/>
        <v>0</v>
      </c>
    </row>
    <row r="319" ht="15.75" customHeight="1">
      <c r="A319" s="279"/>
      <c r="B319" s="280"/>
      <c r="C319" s="280"/>
      <c r="D319" s="280"/>
      <c r="E319" s="281"/>
      <c r="F319" s="281"/>
      <c r="G319" s="280"/>
      <c r="H319" s="282"/>
      <c r="I319" s="283"/>
      <c r="J319" s="280"/>
      <c r="K319" s="103"/>
      <c r="L319" s="146"/>
      <c r="M319" s="103"/>
      <c r="N319" s="103"/>
      <c r="O319" s="103">
        <f t="shared" si="1"/>
        <v>0</v>
      </c>
      <c r="P319" s="104">
        <f t="shared" si="2"/>
        <v>0</v>
      </c>
      <c r="Q319" s="147"/>
      <c r="R319" s="103"/>
      <c r="S319" s="103">
        <f t="shared" si="3"/>
        <v>0</v>
      </c>
      <c r="U319" s="107" t="str">
        <f t="shared" si="4"/>
        <v>0</v>
      </c>
    </row>
    <row r="320" ht="15.75" customHeight="1">
      <c r="A320" s="279"/>
      <c r="B320" s="280"/>
      <c r="C320" s="280"/>
      <c r="D320" s="280"/>
      <c r="E320" s="281"/>
      <c r="F320" s="281"/>
      <c r="G320" s="280"/>
      <c r="H320" s="282"/>
      <c r="I320" s="283"/>
      <c r="J320" s="280"/>
      <c r="K320" s="103"/>
      <c r="L320" s="146"/>
      <c r="M320" s="103"/>
      <c r="N320" s="103"/>
      <c r="O320" s="103">
        <f t="shared" si="1"/>
        <v>0</v>
      </c>
      <c r="P320" s="104">
        <f t="shared" si="2"/>
        <v>0</v>
      </c>
      <c r="Q320" s="147"/>
      <c r="R320" s="103"/>
      <c r="S320" s="103">
        <f t="shared" si="3"/>
        <v>0</v>
      </c>
      <c r="U320" s="107" t="str">
        <f t="shared" si="4"/>
        <v>0</v>
      </c>
    </row>
    <row r="321" ht="15.75" customHeight="1">
      <c r="A321" s="279"/>
      <c r="B321" s="280"/>
      <c r="C321" s="280"/>
      <c r="D321" s="280"/>
      <c r="E321" s="281"/>
      <c r="F321" s="281"/>
      <c r="G321" s="280"/>
      <c r="H321" s="282"/>
      <c r="I321" s="283"/>
      <c r="J321" s="280"/>
      <c r="K321" s="103"/>
      <c r="L321" s="146"/>
      <c r="M321" s="103"/>
      <c r="N321" s="103"/>
      <c r="O321" s="103">
        <f t="shared" si="1"/>
        <v>0</v>
      </c>
      <c r="P321" s="104">
        <f t="shared" si="2"/>
        <v>0</v>
      </c>
      <c r="Q321" s="147"/>
      <c r="R321" s="103"/>
      <c r="S321" s="103">
        <f t="shared" si="3"/>
        <v>0</v>
      </c>
      <c r="U321" s="107" t="str">
        <f t="shared" si="4"/>
        <v>0</v>
      </c>
    </row>
    <row r="322" ht="15.75" customHeight="1">
      <c r="A322" s="279"/>
      <c r="B322" s="280"/>
      <c r="C322" s="280"/>
      <c r="D322" s="280"/>
      <c r="E322" s="281"/>
      <c r="F322" s="281"/>
      <c r="G322" s="280"/>
      <c r="H322" s="282"/>
      <c r="I322" s="283"/>
      <c r="J322" s="280"/>
      <c r="K322" s="103"/>
      <c r="L322" s="146"/>
      <c r="M322" s="103"/>
      <c r="N322" s="103"/>
      <c r="O322" s="103">
        <f t="shared" si="1"/>
        <v>0</v>
      </c>
      <c r="P322" s="104">
        <f t="shared" si="2"/>
        <v>0</v>
      </c>
      <c r="Q322" s="147"/>
      <c r="R322" s="103"/>
      <c r="S322" s="103">
        <f t="shared" si="3"/>
        <v>0</v>
      </c>
      <c r="U322" s="107" t="str">
        <f t="shared" si="4"/>
        <v>0</v>
      </c>
    </row>
    <row r="323" ht="15.75" customHeight="1">
      <c r="A323" s="279"/>
      <c r="B323" s="280"/>
      <c r="C323" s="280"/>
      <c r="D323" s="280"/>
      <c r="E323" s="281"/>
      <c r="F323" s="281"/>
      <c r="G323" s="280"/>
      <c r="H323" s="282"/>
      <c r="I323" s="283"/>
      <c r="J323" s="280"/>
      <c r="K323" s="103"/>
      <c r="L323" s="146"/>
      <c r="M323" s="103"/>
      <c r="N323" s="103"/>
      <c r="O323" s="103">
        <f t="shared" si="1"/>
        <v>0</v>
      </c>
      <c r="P323" s="104">
        <f t="shared" si="2"/>
        <v>0</v>
      </c>
      <c r="Q323" s="147"/>
      <c r="R323" s="103"/>
      <c r="S323" s="103">
        <f t="shared" si="3"/>
        <v>0</v>
      </c>
      <c r="U323" s="107" t="str">
        <f t="shared" si="4"/>
        <v>0</v>
      </c>
    </row>
    <row r="324" ht="15.75" customHeight="1">
      <c r="A324" s="279"/>
      <c r="B324" s="280"/>
      <c r="C324" s="280"/>
      <c r="D324" s="280"/>
      <c r="E324" s="281"/>
      <c r="F324" s="281"/>
      <c r="G324" s="280"/>
      <c r="H324" s="282"/>
      <c r="I324" s="283"/>
      <c r="J324" s="280"/>
      <c r="K324" s="103"/>
      <c r="L324" s="146"/>
      <c r="M324" s="103"/>
      <c r="N324" s="103"/>
      <c r="O324" s="103">
        <f t="shared" si="1"/>
        <v>0</v>
      </c>
      <c r="P324" s="104">
        <f t="shared" si="2"/>
        <v>0</v>
      </c>
      <c r="Q324" s="147"/>
      <c r="R324" s="103"/>
      <c r="S324" s="103">
        <f t="shared" si="3"/>
        <v>0</v>
      </c>
      <c r="U324" s="107" t="str">
        <f t="shared" si="4"/>
        <v>0</v>
      </c>
    </row>
    <row r="325" ht="15.75" customHeight="1">
      <c r="A325" s="279"/>
      <c r="B325" s="280"/>
      <c r="C325" s="280"/>
      <c r="D325" s="280"/>
      <c r="E325" s="281"/>
      <c r="F325" s="281"/>
      <c r="G325" s="280"/>
      <c r="H325" s="282"/>
      <c r="I325" s="283"/>
      <c r="J325" s="280"/>
      <c r="K325" s="103"/>
      <c r="L325" s="146"/>
      <c r="M325" s="103"/>
      <c r="N325" s="103"/>
      <c r="O325" s="103">
        <f t="shared" si="1"/>
        <v>0</v>
      </c>
      <c r="P325" s="104">
        <f t="shared" si="2"/>
        <v>0</v>
      </c>
      <c r="Q325" s="147"/>
      <c r="R325" s="103"/>
      <c r="S325" s="103">
        <f t="shared" si="3"/>
        <v>0</v>
      </c>
      <c r="U325" s="107" t="str">
        <f t="shared" si="4"/>
        <v>0</v>
      </c>
    </row>
    <row r="326" ht="15.75" customHeight="1">
      <c r="A326" s="279"/>
      <c r="B326" s="280"/>
      <c r="C326" s="280"/>
      <c r="D326" s="280"/>
      <c r="E326" s="281"/>
      <c r="F326" s="281"/>
      <c r="G326" s="280"/>
      <c r="H326" s="282"/>
      <c r="I326" s="283"/>
      <c r="J326" s="280"/>
      <c r="K326" s="103"/>
      <c r="L326" s="146"/>
      <c r="M326" s="103"/>
      <c r="N326" s="103"/>
      <c r="O326" s="103">
        <f t="shared" si="1"/>
        <v>0</v>
      </c>
      <c r="P326" s="104">
        <f t="shared" si="2"/>
        <v>0</v>
      </c>
      <c r="Q326" s="147"/>
      <c r="R326" s="103"/>
      <c r="S326" s="103">
        <f t="shared" si="3"/>
        <v>0</v>
      </c>
      <c r="U326" s="107" t="str">
        <f t="shared" si="4"/>
        <v>0</v>
      </c>
    </row>
    <row r="327" ht="15.75" customHeight="1">
      <c r="A327" s="279"/>
      <c r="B327" s="280"/>
      <c r="C327" s="280"/>
      <c r="D327" s="280"/>
      <c r="E327" s="281"/>
      <c r="F327" s="281"/>
      <c r="G327" s="280"/>
      <c r="H327" s="282"/>
      <c r="I327" s="283"/>
      <c r="J327" s="280"/>
      <c r="K327" s="103"/>
      <c r="L327" s="146"/>
      <c r="M327" s="103"/>
      <c r="N327" s="103"/>
      <c r="O327" s="103">
        <f t="shared" si="1"/>
        <v>0</v>
      </c>
      <c r="P327" s="104">
        <f t="shared" si="2"/>
        <v>0</v>
      </c>
      <c r="Q327" s="147"/>
      <c r="R327" s="103"/>
      <c r="S327" s="103">
        <f t="shared" si="3"/>
        <v>0</v>
      </c>
      <c r="U327" s="107" t="str">
        <f t="shared" si="4"/>
        <v>0</v>
      </c>
    </row>
    <row r="328" ht="15.75" customHeight="1">
      <c r="A328" s="279"/>
      <c r="B328" s="280"/>
      <c r="C328" s="280"/>
      <c r="D328" s="280"/>
      <c r="E328" s="281"/>
      <c r="F328" s="281"/>
      <c r="G328" s="280"/>
      <c r="H328" s="282"/>
      <c r="I328" s="283"/>
      <c r="J328" s="280"/>
      <c r="K328" s="103"/>
      <c r="L328" s="146"/>
      <c r="M328" s="103"/>
      <c r="N328" s="103"/>
      <c r="O328" s="103">
        <f t="shared" si="1"/>
        <v>0</v>
      </c>
      <c r="P328" s="104">
        <f t="shared" si="2"/>
        <v>0</v>
      </c>
      <c r="Q328" s="147"/>
      <c r="R328" s="103"/>
      <c r="S328" s="103">
        <f t="shared" si="3"/>
        <v>0</v>
      </c>
      <c r="U328" s="107" t="str">
        <f t="shared" si="4"/>
        <v>0</v>
      </c>
    </row>
    <row r="329" ht="15.75" customHeight="1">
      <c r="A329" s="279"/>
      <c r="B329" s="280"/>
      <c r="C329" s="280"/>
      <c r="D329" s="280"/>
      <c r="E329" s="281"/>
      <c r="F329" s="281"/>
      <c r="G329" s="280"/>
      <c r="H329" s="282"/>
      <c r="I329" s="283"/>
      <c r="J329" s="280"/>
      <c r="K329" s="103"/>
      <c r="L329" s="146"/>
      <c r="M329" s="103"/>
      <c r="N329" s="103"/>
      <c r="O329" s="103">
        <f t="shared" si="1"/>
        <v>0</v>
      </c>
      <c r="P329" s="104">
        <f t="shared" si="2"/>
        <v>0</v>
      </c>
      <c r="Q329" s="147"/>
      <c r="R329" s="103"/>
      <c r="S329" s="103">
        <f t="shared" si="3"/>
        <v>0</v>
      </c>
      <c r="U329" s="107" t="str">
        <f t="shared" si="4"/>
        <v>0</v>
      </c>
    </row>
    <row r="330" ht="15.75" customHeight="1">
      <c r="A330" s="279"/>
      <c r="B330" s="280"/>
      <c r="C330" s="280"/>
      <c r="D330" s="280"/>
      <c r="E330" s="281"/>
      <c r="F330" s="281"/>
      <c r="G330" s="280"/>
      <c r="H330" s="282"/>
      <c r="I330" s="283"/>
      <c r="J330" s="280"/>
      <c r="K330" s="103"/>
      <c r="L330" s="146"/>
      <c r="M330" s="103"/>
      <c r="N330" s="103"/>
      <c r="O330" s="103">
        <f t="shared" si="1"/>
        <v>0</v>
      </c>
      <c r="P330" s="104">
        <f t="shared" si="2"/>
        <v>0</v>
      </c>
      <c r="Q330" s="147"/>
      <c r="R330" s="103"/>
      <c r="S330" s="103">
        <f t="shared" si="3"/>
        <v>0</v>
      </c>
      <c r="U330" s="107" t="str">
        <f t="shared" si="4"/>
        <v>0</v>
      </c>
    </row>
    <row r="331" ht="15.75" customHeight="1">
      <c r="A331" s="279"/>
      <c r="B331" s="280"/>
      <c r="C331" s="280"/>
      <c r="D331" s="280"/>
      <c r="E331" s="281"/>
      <c r="F331" s="281"/>
      <c r="G331" s="280"/>
      <c r="H331" s="282"/>
      <c r="I331" s="283"/>
      <c r="J331" s="280"/>
      <c r="K331" s="103"/>
      <c r="L331" s="146"/>
      <c r="M331" s="103"/>
      <c r="N331" s="103"/>
      <c r="O331" s="103">
        <f t="shared" si="1"/>
        <v>0</v>
      </c>
      <c r="P331" s="104">
        <f t="shared" si="2"/>
        <v>0</v>
      </c>
      <c r="Q331" s="147"/>
      <c r="R331" s="103"/>
      <c r="S331" s="103">
        <f t="shared" si="3"/>
        <v>0</v>
      </c>
      <c r="U331" s="107" t="str">
        <f t="shared" si="4"/>
        <v>0</v>
      </c>
    </row>
    <row r="332" ht="15.75" customHeight="1">
      <c r="A332" s="279"/>
      <c r="B332" s="280"/>
      <c r="C332" s="280"/>
      <c r="D332" s="280"/>
      <c r="E332" s="281"/>
      <c r="F332" s="281"/>
      <c r="G332" s="280"/>
      <c r="H332" s="282"/>
      <c r="I332" s="283"/>
      <c r="J332" s="280"/>
      <c r="K332" s="103"/>
      <c r="L332" s="146"/>
      <c r="M332" s="103"/>
      <c r="N332" s="103"/>
      <c r="O332" s="103">
        <f t="shared" si="1"/>
        <v>0</v>
      </c>
      <c r="P332" s="104">
        <f t="shared" si="2"/>
        <v>0</v>
      </c>
      <c r="Q332" s="147"/>
      <c r="R332" s="103"/>
      <c r="S332" s="103">
        <f t="shared" si="3"/>
        <v>0</v>
      </c>
      <c r="U332" s="107" t="str">
        <f t="shared" si="4"/>
        <v>0</v>
      </c>
    </row>
    <row r="333" ht="15.75" customHeight="1">
      <c r="A333" s="279"/>
      <c r="B333" s="280"/>
      <c r="C333" s="280"/>
      <c r="D333" s="280"/>
      <c r="E333" s="281"/>
      <c r="F333" s="281"/>
      <c r="G333" s="280"/>
      <c r="H333" s="282"/>
      <c r="I333" s="283"/>
      <c r="J333" s="280"/>
      <c r="K333" s="103"/>
      <c r="L333" s="146"/>
      <c r="M333" s="103"/>
      <c r="N333" s="103"/>
      <c r="O333" s="103">
        <f t="shared" si="1"/>
        <v>0</v>
      </c>
      <c r="P333" s="104">
        <f t="shared" si="2"/>
        <v>0</v>
      </c>
      <c r="Q333" s="147"/>
      <c r="R333" s="103"/>
      <c r="S333" s="103">
        <f t="shared" si="3"/>
        <v>0</v>
      </c>
      <c r="U333" s="107" t="str">
        <f t="shared" si="4"/>
        <v>0</v>
      </c>
    </row>
    <row r="334" ht="15.75" customHeight="1">
      <c r="A334" s="279"/>
      <c r="B334" s="280"/>
      <c r="C334" s="280"/>
      <c r="D334" s="280"/>
      <c r="E334" s="281"/>
      <c r="F334" s="281"/>
      <c r="G334" s="280"/>
      <c r="H334" s="282"/>
      <c r="I334" s="283"/>
      <c r="J334" s="280"/>
      <c r="K334" s="103"/>
      <c r="L334" s="146"/>
      <c r="M334" s="103"/>
      <c r="N334" s="103"/>
      <c r="O334" s="103">
        <f t="shared" si="1"/>
        <v>0</v>
      </c>
      <c r="P334" s="104">
        <f t="shared" si="2"/>
        <v>0</v>
      </c>
      <c r="Q334" s="147"/>
      <c r="R334" s="103"/>
      <c r="S334" s="103">
        <f t="shared" si="3"/>
        <v>0</v>
      </c>
      <c r="U334" s="107" t="str">
        <f t="shared" si="4"/>
        <v>0</v>
      </c>
    </row>
    <row r="335" ht="15.75" customHeight="1">
      <c r="A335" s="279"/>
      <c r="B335" s="280"/>
      <c r="C335" s="280"/>
      <c r="D335" s="280"/>
      <c r="E335" s="281"/>
      <c r="F335" s="281"/>
      <c r="G335" s="280"/>
      <c r="H335" s="282"/>
      <c r="I335" s="283"/>
      <c r="J335" s="280"/>
      <c r="K335" s="103"/>
      <c r="L335" s="146"/>
      <c r="M335" s="103"/>
      <c r="N335" s="103"/>
      <c r="O335" s="103">
        <f t="shared" si="1"/>
        <v>0</v>
      </c>
      <c r="P335" s="104">
        <f t="shared" si="2"/>
        <v>0</v>
      </c>
      <c r="Q335" s="147"/>
      <c r="R335" s="103"/>
      <c r="S335" s="103">
        <f t="shared" si="3"/>
        <v>0</v>
      </c>
      <c r="U335" s="107" t="str">
        <f t="shared" si="4"/>
        <v>0</v>
      </c>
    </row>
    <row r="336" ht="15.75" customHeight="1">
      <c r="A336" s="279"/>
      <c r="B336" s="280"/>
      <c r="C336" s="280"/>
      <c r="D336" s="280"/>
      <c r="E336" s="281"/>
      <c r="F336" s="281"/>
      <c r="G336" s="280"/>
      <c r="H336" s="282"/>
      <c r="I336" s="283"/>
      <c r="J336" s="280"/>
      <c r="K336" s="103"/>
      <c r="L336" s="146"/>
      <c r="M336" s="103"/>
      <c r="N336" s="103"/>
      <c r="O336" s="103">
        <f t="shared" si="1"/>
        <v>0</v>
      </c>
      <c r="P336" s="104">
        <f t="shared" si="2"/>
        <v>0</v>
      </c>
      <c r="Q336" s="147"/>
      <c r="R336" s="103"/>
      <c r="S336" s="103">
        <f t="shared" si="3"/>
        <v>0</v>
      </c>
      <c r="U336" s="107" t="str">
        <f t="shared" si="4"/>
        <v>0</v>
      </c>
    </row>
    <row r="337" ht="15.75" customHeight="1">
      <c r="A337" s="279"/>
      <c r="B337" s="280"/>
      <c r="C337" s="280"/>
      <c r="D337" s="280"/>
      <c r="E337" s="281"/>
      <c r="F337" s="281"/>
      <c r="G337" s="280"/>
      <c r="H337" s="282"/>
      <c r="I337" s="283"/>
      <c r="J337" s="280"/>
      <c r="K337" s="103"/>
      <c r="L337" s="146"/>
      <c r="M337" s="103"/>
      <c r="N337" s="103"/>
      <c r="O337" s="103">
        <f t="shared" si="1"/>
        <v>0</v>
      </c>
      <c r="P337" s="104">
        <f t="shared" si="2"/>
        <v>0</v>
      </c>
      <c r="Q337" s="147"/>
      <c r="R337" s="103"/>
      <c r="S337" s="103">
        <f t="shared" si="3"/>
        <v>0</v>
      </c>
      <c r="U337" s="107" t="str">
        <f t="shared" si="4"/>
        <v>0</v>
      </c>
    </row>
    <row r="338" ht="15.75" customHeight="1">
      <c r="A338" s="279"/>
      <c r="B338" s="280"/>
      <c r="C338" s="280"/>
      <c r="D338" s="280"/>
      <c r="E338" s="281"/>
      <c r="F338" s="281"/>
      <c r="G338" s="280"/>
      <c r="H338" s="282"/>
      <c r="I338" s="283"/>
      <c r="J338" s="280"/>
      <c r="K338" s="103"/>
      <c r="L338" s="146"/>
      <c r="M338" s="103"/>
      <c r="N338" s="103"/>
      <c r="O338" s="103">
        <f t="shared" si="1"/>
        <v>0</v>
      </c>
      <c r="P338" s="104">
        <f t="shared" si="2"/>
        <v>0</v>
      </c>
      <c r="Q338" s="147"/>
      <c r="R338" s="103"/>
      <c r="S338" s="103">
        <f t="shared" si="3"/>
        <v>0</v>
      </c>
      <c r="U338" s="107" t="str">
        <f t="shared" si="4"/>
        <v>0</v>
      </c>
    </row>
    <row r="339" ht="15.75" customHeight="1">
      <c r="A339" s="279"/>
      <c r="B339" s="280"/>
      <c r="C339" s="280"/>
      <c r="D339" s="280"/>
      <c r="E339" s="281"/>
      <c r="F339" s="281"/>
      <c r="G339" s="280"/>
      <c r="H339" s="282"/>
      <c r="I339" s="283"/>
      <c r="J339" s="280"/>
      <c r="K339" s="103"/>
      <c r="L339" s="146"/>
      <c r="M339" s="103"/>
      <c r="N339" s="103"/>
      <c r="O339" s="103">
        <f t="shared" si="1"/>
        <v>0</v>
      </c>
      <c r="P339" s="104">
        <f t="shared" si="2"/>
        <v>0</v>
      </c>
      <c r="Q339" s="147"/>
      <c r="R339" s="103"/>
      <c r="S339" s="103">
        <f t="shared" si="3"/>
        <v>0</v>
      </c>
      <c r="U339" s="107" t="str">
        <f t="shared" si="4"/>
        <v>0</v>
      </c>
    </row>
    <row r="340" ht="15.75" customHeight="1">
      <c r="A340" s="279"/>
      <c r="B340" s="280"/>
      <c r="C340" s="280"/>
      <c r="D340" s="280"/>
      <c r="E340" s="281"/>
      <c r="F340" s="281"/>
      <c r="G340" s="280"/>
      <c r="H340" s="282"/>
      <c r="I340" s="283"/>
      <c r="J340" s="280"/>
      <c r="K340" s="103"/>
      <c r="L340" s="146"/>
      <c r="M340" s="103"/>
      <c r="N340" s="103"/>
      <c r="O340" s="103">
        <f t="shared" si="1"/>
        <v>0</v>
      </c>
      <c r="P340" s="104">
        <f t="shared" si="2"/>
        <v>0</v>
      </c>
      <c r="Q340" s="147"/>
      <c r="R340" s="103"/>
      <c r="S340" s="103">
        <f t="shared" si="3"/>
        <v>0</v>
      </c>
      <c r="U340" s="107" t="str">
        <f t="shared" si="4"/>
        <v>0</v>
      </c>
    </row>
    <row r="341" ht="15.75" customHeight="1">
      <c r="A341" s="279"/>
      <c r="B341" s="280"/>
      <c r="C341" s="280"/>
      <c r="D341" s="280"/>
      <c r="E341" s="281"/>
      <c r="F341" s="281"/>
      <c r="G341" s="280"/>
      <c r="H341" s="282"/>
      <c r="I341" s="283"/>
      <c r="J341" s="280"/>
      <c r="K341" s="103"/>
      <c r="L341" s="146"/>
      <c r="M341" s="103"/>
      <c r="N341" s="103"/>
      <c r="O341" s="103">
        <f t="shared" si="1"/>
        <v>0</v>
      </c>
      <c r="P341" s="104">
        <f t="shared" si="2"/>
        <v>0</v>
      </c>
      <c r="Q341" s="147"/>
      <c r="R341" s="103"/>
      <c r="S341" s="103">
        <f t="shared" si="3"/>
        <v>0</v>
      </c>
      <c r="U341" s="107" t="str">
        <f t="shared" si="4"/>
        <v>0</v>
      </c>
    </row>
    <row r="342" ht="15.75" customHeight="1">
      <c r="A342" s="279"/>
      <c r="B342" s="280"/>
      <c r="C342" s="280"/>
      <c r="D342" s="280"/>
      <c r="E342" s="281"/>
      <c r="F342" s="281"/>
      <c r="G342" s="280"/>
      <c r="H342" s="282"/>
      <c r="I342" s="283"/>
      <c r="J342" s="280"/>
      <c r="K342" s="103"/>
      <c r="L342" s="146"/>
      <c r="M342" s="103"/>
      <c r="N342" s="103"/>
      <c r="O342" s="103">
        <f t="shared" si="1"/>
        <v>0</v>
      </c>
      <c r="P342" s="104">
        <f t="shared" si="2"/>
        <v>0</v>
      </c>
      <c r="Q342" s="147"/>
      <c r="R342" s="103"/>
      <c r="S342" s="103">
        <f t="shared" si="3"/>
        <v>0</v>
      </c>
      <c r="U342" s="107" t="str">
        <f t="shared" si="4"/>
        <v>0</v>
      </c>
    </row>
    <row r="343" ht="15.75" customHeight="1">
      <c r="A343" s="279"/>
      <c r="B343" s="280"/>
      <c r="C343" s="280"/>
      <c r="D343" s="280"/>
      <c r="E343" s="281"/>
      <c r="F343" s="281"/>
      <c r="G343" s="280"/>
      <c r="H343" s="282"/>
      <c r="I343" s="283"/>
      <c r="J343" s="280"/>
      <c r="K343" s="103"/>
      <c r="L343" s="146"/>
      <c r="M343" s="103"/>
      <c r="N343" s="103"/>
      <c r="O343" s="103">
        <f t="shared" si="1"/>
        <v>0</v>
      </c>
      <c r="P343" s="104">
        <f t="shared" si="2"/>
        <v>0</v>
      </c>
      <c r="Q343" s="147"/>
      <c r="R343" s="103"/>
      <c r="S343" s="103">
        <f t="shared" si="3"/>
        <v>0</v>
      </c>
      <c r="U343" s="107" t="str">
        <f t="shared" si="4"/>
        <v>0</v>
      </c>
    </row>
    <row r="344" ht="15.75" customHeight="1">
      <c r="A344" s="279"/>
      <c r="B344" s="280"/>
      <c r="C344" s="280"/>
      <c r="D344" s="280"/>
      <c r="E344" s="281"/>
      <c r="F344" s="281"/>
      <c r="G344" s="280"/>
      <c r="H344" s="282"/>
      <c r="I344" s="283"/>
      <c r="J344" s="280"/>
      <c r="K344" s="103"/>
      <c r="L344" s="146"/>
      <c r="M344" s="103"/>
      <c r="N344" s="103"/>
      <c r="O344" s="103">
        <f t="shared" si="1"/>
        <v>0</v>
      </c>
      <c r="P344" s="104">
        <f t="shared" si="2"/>
        <v>0</v>
      </c>
      <c r="Q344" s="147"/>
      <c r="R344" s="103"/>
      <c r="S344" s="103">
        <f t="shared" si="3"/>
        <v>0</v>
      </c>
      <c r="U344" s="107" t="str">
        <f t="shared" si="4"/>
        <v>0</v>
      </c>
    </row>
    <row r="345" ht="15.75" customHeight="1">
      <c r="A345" s="279"/>
      <c r="B345" s="280"/>
      <c r="C345" s="280"/>
      <c r="D345" s="280"/>
      <c r="E345" s="281"/>
      <c r="F345" s="281"/>
      <c r="G345" s="280"/>
      <c r="H345" s="282"/>
      <c r="I345" s="283"/>
      <c r="J345" s="280"/>
      <c r="K345" s="103"/>
      <c r="L345" s="146"/>
      <c r="M345" s="103"/>
      <c r="N345" s="103"/>
      <c r="O345" s="103">
        <f t="shared" si="1"/>
        <v>0</v>
      </c>
      <c r="P345" s="104">
        <f t="shared" si="2"/>
        <v>0</v>
      </c>
      <c r="Q345" s="147"/>
      <c r="R345" s="103"/>
      <c r="S345" s="103">
        <f t="shared" si="3"/>
        <v>0</v>
      </c>
      <c r="U345" s="107" t="str">
        <f t="shared" si="4"/>
        <v>0</v>
      </c>
    </row>
    <row r="346" ht="15.75" customHeight="1">
      <c r="A346" s="279"/>
      <c r="B346" s="280"/>
      <c r="C346" s="280"/>
      <c r="D346" s="280"/>
      <c r="E346" s="281"/>
      <c r="F346" s="281"/>
      <c r="G346" s="280"/>
      <c r="H346" s="282"/>
      <c r="I346" s="283"/>
      <c r="J346" s="280"/>
      <c r="K346" s="103"/>
      <c r="L346" s="146"/>
      <c r="M346" s="103"/>
      <c r="N346" s="103"/>
      <c r="O346" s="103">
        <f t="shared" si="1"/>
        <v>0</v>
      </c>
      <c r="P346" s="104">
        <f t="shared" si="2"/>
        <v>0</v>
      </c>
      <c r="Q346" s="147"/>
      <c r="R346" s="103"/>
      <c r="S346" s="103">
        <f t="shared" si="3"/>
        <v>0</v>
      </c>
      <c r="U346" s="107" t="str">
        <f t="shared" si="4"/>
        <v>0</v>
      </c>
    </row>
    <row r="347" ht="15.75" customHeight="1">
      <c r="A347" s="279"/>
      <c r="B347" s="280"/>
      <c r="C347" s="280"/>
      <c r="D347" s="280"/>
      <c r="E347" s="281"/>
      <c r="F347" s="281"/>
      <c r="G347" s="280"/>
      <c r="H347" s="282"/>
      <c r="I347" s="283"/>
      <c r="J347" s="280"/>
      <c r="K347" s="103"/>
      <c r="L347" s="146"/>
      <c r="M347" s="103"/>
      <c r="N347" s="103"/>
      <c r="O347" s="103">
        <f t="shared" si="1"/>
        <v>0</v>
      </c>
      <c r="P347" s="104">
        <f t="shared" si="2"/>
        <v>0</v>
      </c>
      <c r="Q347" s="147"/>
      <c r="R347" s="103"/>
      <c r="S347" s="103">
        <f t="shared" si="3"/>
        <v>0</v>
      </c>
      <c r="U347" s="107" t="str">
        <f t="shared" si="4"/>
        <v>0</v>
      </c>
    </row>
    <row r="348" ht="15.75" customHeight="1">
      <c r="A348" s="279"/>
      <c r="B348" s="280"/>
      <c r="C348" s="280"/>
      <c r="D348" s="280"/>
      <c r="E348" s="281"/>
      <c r="F348" s="281"/>
      <c r="G348" s="280"/>
      <c r="H348" s="282"/>
      <c r="I348" s="283"/>
      <c r="J348" s="280"/>
      <c r="K348" s="103"/>
      <c r="L348" s="146"/>
      <c r="M348" s="103"/>
      <c r="N348" s="103"/>
      <c r="O348" s="103">
        <f t="shared" si="1"/>
        <v>0</v>
      </c>
      <c r="P348" s="104">
        <f t="shared" si="2"/>
        <v>0</v>
      </c>
      <c r="Q348" s="147"/>
      <c r="R348" s="103"/>
      <c r="S348" s="103">
        <f t="shared" si="3"/>
        <v>0</v>
      </c>
      <c r="U348" s="107" t="str">
        <f t="shared" si="4"/>
        <v>0</v>
      </c>
    </row>
    <row r="349" ht="15.75" customHeight="1">
      <c r="A349" s="279"/>
      <c r="B349" s="280"/>
      <c r="C349" s="280"/>
      <c r="D349" s="280"/>
      <c r="E349" s="281"/>
      <c r="F349" s="281"/>
      <c r="G349" s="280"/>
      <c r="H349" s="282"/>
      <c r="I349" s="283"/>
      <c r="J349" s="280"/>
      <c r="K349" s="103"/>
      <c r="L349" s="146"/>
      <c r="M349" s="103"/>
      <c r="N349" s="103"/>
      <c r="O349" s="103">
        <f t="shared" si="1"/>
        <v>0</v>
      </c>
      <c r="P349" s="104">
        <f t="shared" si="2"/>
        <v>0</v>
      </c>
      <c r="Q349" s="147"/>
      <c r="R349" s="103"/>
      <c r="S349" s="103">
        <f t="shared" si="3"/>
        <v>0</v>
      </c>
      <c r="U349" s="107" t="str">
        <f t="shared" si="4"/>
        <v>0</v>
      </c>
    </row>
    <row r="350" ht="15.75" customHeight="1">
      <c r="A350" s="279"/>
      <c r="B350" s="280"/>
      <c r="C350" s="280"/>
      <c r="D350" s="280"/>
      <c r="E350" s="281"/>
      <c r="F350" s="281"/>
      <c r="G350" s="280"/>
      <c r="H350" s="282"/>
      <c r="I350" s="283"/>
      <c r="J350" s="280"/>
      <c r="K350" s="103"/>
      <c r="L350" s="146"/>
      <c r="M350" s="103"/>
      <c r="N350" s="103"/>
      <c r="O350" s="103">
        <f t="shared" si="1"/>
        <v>0</v>
      </c>
      <c r="P350" s="104">
        <f t="shared" si="2"/>
        <v>0</v>
      </c>
      <c r="Q350" s="147"/>
      <c r="R350" s="103"/>
      <c r="S350" s="103">
        <f t="shared" si="3"/>
        <v>0</v>
      </c>
      <c r="U350" s="107" t="str">
        <f t="shared" si="4"/>
        <v>0</v>
      </c>
    </row>
    <row r="351" ht="15.75" customHeight="1">
      <c r="A351" s="279"/>
      <c r="B351" s="280"/>
      <c r="C351" s="280"/>
      <c r="D351" s="280"/>
      <c r="E351" s="281"/>
      <c r="F351" s="281"/>
      <c r="G351" s="280"/>
      <c r="H351" s="282"/>
      <c r="I351" s="283"/>
      <c r="J351" s="280"/>
      <c r="K351" s="103"/>
      <c r="L351" s="146"/>
      <c r="M351" s="103"/>
      <c r="N351" s="103"/>
      <c r="O351" s="103">
        <f t="shared" si="1"/>
        <v>0</v>
      </c>
      <c r="P351" s="104">
        <f t="shared" si="2"/>
        <v>0</v>
      </c>
      <c r="Q351" s="147"/>
      <c r="R351" s="103"/>
      <c r="S351" s="103">
        <f t="shared" si="3"/>
        <v>0</v>
      </c>
      <c r="U351" s="107" t="str">
        <f t="shared" si="4"/>
        <v>0</v>
      </c>
    </row>
    <row r="352" ht="15.75" customHeight="1">
      <c r="A352" s="279"/>
      <c r="B352" s="280"/>
      <c r="C352" s="280"/>
      <c r="D352" s="280"/>
      <c r="E352" s="281"/>
      <c r="F352" s="281"/>
      <c r="G352" s="280"/>
      <c r="H352" s="282"/>
      <c r="I352" s="283"/>
      <c r="J352" s="280"/>
      <c r="K352" s="103"/>
      <c r="L352" s="146"/>
      <c r="M352" s="103"/>
      <c r="N352" s="103"/>
      <c r="O352" s="103">
        <f t="shared" si="1"/>
        <v>0</v>
      </c>
      <c r="P352" s="104">
        <f t="shared" si="2"/>
        <v>0</v>
      </c>
      <c r="Q352" s="147"/>
      <c r="R352" s="103"/>
      <c r="S352" s="103">
        <f t="shared" si="3"/>
        <v>0</v>
      </c>
      <c r="U352" s="107" t="str">
        <f t="shared" si="4"/>
        <v>0</v>
      </c>
    </row>
    <row r="353" ht="15.75" customHeight="1">
      <c r="A353" s="279"/>
      <c r="B353" s="280"/>
      <c r="C353" s="280"/>
      <c r="D353" s="280"/>
      <c r="E353" s="281"/>
      <c r="F353" s="281"/>
      <c r="G353" s="280"/>
      <c r="H353" s="282"/>
      <c r="I353" s="283"/>
      <c r="J353" s="280"/>
      <c r="K353" s="103"/>
      <c r="L353" s="146"/>
      <c r="M353" s="103"/>
      <c r="N353" s="103"/>
      <c r="O353" s="103">
        <f t="shared" si="1"/>
        <v>0</v>
      </c>
      <c r="P353" s="104">
        <f t="shared" si="2"/>
        <v>0</v>
      </c>
      <c r="Q353" s="147"/>
      <c r="R353" s="103"/>
      <c r="S353" s="103">
        <f t="shared" si="3"/>
        <v>0</v>
      </c>
      <c r="U353" s="107" t="str">
        <f t="shared" si="4"/>
        <v>0</v>
      </c>
    </row>
    <row r="354" ht="15.75" customHeight="1">
      <c r="A354" s="279"/>
      <c r="B354" s="280"/>
      <c r="C354" s="280"/>
      <c r="D354" s="280"/>
      <c r="E354" s="281"/>
      <c r="F354" s="281"/>
      <c r="G354" s="280"/>
      <c r="H354" s="282"/>
      <c r="I354" s="283"/>
      <c r="J354" s="280"/>
      <c r="K354" s="103"/>
      <c r="L354" s="146"/>
      <c r="M354" s="103"/>
      <c r="N354" s="103"/>
      <c r="O354" s="103">
        <f t="shared" si="1"/>
        <v>0</v>
      </c>
      <c r="P354" s="104">
        <f t="shared" si="2"/>
        <v>0</v>
      </c>
      <c r="Q354" s="147"/>
      <c r="R354" s="103"/>
      <c r="S354" s="103">
        <f t="shared" si="3"/>
        <v>0</v>
      </c>
      <c r="U354" s="107" t="str">
        <f t="shared" si="4"/>
        <v>0</v>
      </c>
    </row>
    <row r="355" ht="15.75" customHeight="1">
      <c r="A355" s="279"/>
      <c r="B355" s="280"/>
      <c r="C355" s="280"/>
      <c r="D355" s="280"/>
      <c r="E355" s="281"/>
      <c r="F355" s="281"/>
      <c r="G355" s="280"/>
      <c r="H355" s="282"/>
      <c r="I355" s="283"/>
      <c r="J355" s="280"/>
      <c r="K355" s="103"/>
      <c r="L355" s="146"/>
      <c r="M355" s="103"/>
      <c r="N355" s="103"/>
      <c r="O355" s="103">
        <f t="shared" si="1"/>
        <v>0</v>
      </c>
      <c r="P355" s="104">
        <f t="shared" si="2"/>
        <v>0</v>
      </c>
      <c r="Q355" s="147"/>
      <c r="R355" s="103"/>
      <c r="S355" s="103">
        <f t="shared" si="3"/>
        <v>0</v>
      </c>
      <c r="U355" s="107" t="str">
        <f t="shared" si="4"/>
        <v>0</v>
      </c>
    </row>
    <row r="356" ht="15.75" customHeight="1">
      <c r="A356" s="279"/>
      <c r="B356" s="280"/>
      <c r="C356" s="280"/>
      <c r="D356" s="280"/>
      <c r="E356" s="281"/>
      <c r="F356" s="281"/>
      <c r="G356" s="280"/>
      <c r="H356" s="282"/>
      <c r="I356" s="283"/>
      <c r="J356" s="280"/>
      <c r="K356" s="103"/>
      <c r="L356" s="146"/>
      <c r="M356" s="103"/>
      <c r="N356" s="103"/>
      <c r="O356" s="103">
        <f t="shared" si="1"/>
        <v>0</v>
      </c>
      <c r="P356" s="104">
        <f t="shared" si="2"/>
        <v>0</v>
      </c>
      <c r="Q356" s="147"/>
      <c r="R356" s="103"/>
      <c r="S356" s="103">
        <f t="shared" si="3"/>
        <v>0</v>
      </c>
      <c r="U356" s="107" t="str">
        <f t="shared" si="4"/>
        <v>0</v>
      </c>
    </row>
    <row r="357" ht="15.75" customHeight="1">
      <c r="A357" s="279"/>
      <c r="B357" s="280"/>
      <c r="C357" s="280"/>
      <c r="D357" s="280"/>
      <c r="E357" s="281"/>
      <c r="F357" s="281"/>
      <c r="G357" s="280"/>
      <c r="H357" s="282"/>
      <c r="I357" s="283"/>
      <c r="J357" s="280"/>
      <c r="K357" s="103"/>
      <c r="L357" s="146"/>
      <c r="M357" s="103"/>
      <c r="N357" s="103"/>
      <c r="O357" s="103">
        <f t="shared" si="1"/>
        <v>0</v>
      </c>
      <c r="P357" s="104">
        <f t="shared" si="2"/>
        <v>0</v>
      </c>
      <c r="Q357" s="147"/>
      <c r="R357" s="103"/>
      <c r="S357" s="103">
        <f t="shared" si="3"/>
        <v>0</v>
      </c>
      <c r="U357" s="107" t="str">
        <f t="shared" si="4"/>
        <v>0</v>
      </c>
    </row>
    <row r="358" ht="15.75" customHeight="1">
      <c r="A358" s="279"/>
      <c r="B358" s="280"/>
      <c r="C358" s="280"/>
      <c r="D358" s="280"/>
      <c r="E358" s="281"/>
      <c r="F358" s="281"/>
      <c r="G358" s="280"/>
      <c r="H358" s="282"/>
      <c r="I358" s="283"/>
      <c r="J358" s="280"/>
      <c r="K358" s="103"/>
      <c r="L358" s="146"/>
      <c r="M358" s="103"/>
      <c r="N358" s="103"/>
      <c r="O358" s="103">
        <f t="shared" si="1"/>
        <v>0</v>
      </c>
      <c r="P358" s="104">
        <f t="shared" si="2"/>
        <v>0</v>
      </c>
      <c r="Q358" s="147"/>
      <c r="R358" s="103"/>
      <c r="S358" s="103">
        <f t="shared" si="3"/>
        <v>0</v>
      </c>
      <c r="U358" s="107" t="str">
        <f t="shared" si="4"/>
        <v>0</v>
      </c>
    </row>
    <row r="359" ht="15.75" customHeight="1">
      <c r="A359" s="279"/>
      <c r="B359" s="280"/>
      <c r="C359" s="280"/>
      <c r="D359" s="280"/>
      <c r="E359" s="281"/>
      <c r="F359" s="281"/>
      <c r="G359" s="280"/>
      <c r="H359" s="282"/>
      <c r="I359" s="283"/>
      <c r="J359" s="280"/>
      <c r="K359" s="103"/>
      <c r="L359" s="146"/>
      <c r="M359" s="103"/>
      <c r="N359" s="103"/>
      <c r="O359" s="103">
        <f t="shared" si="1"/>
        <v>0</v>
      </c>
      <c r="P359" s="104">
        <f t="shared" si="2"/>
        <v>0</v>
      </c>
      <c r="Q359" s="147"/>
      <c r="R359" s="103"/>
      <c r="S359" s="103">
        <f t="shared" si="3"/>
        <v>0</v>
      </c>
      <c r="U359" s="107" t="str">
        <f t="shared" si="4"/>
        <v>0</v>
      </c>
    </row>
    <row r="360" ht="15.75" customHeight="1">
      <c r="A360" s="279"/>
      <c r="B360" s="280"/>
      <c r="C360" s="280"/>
      <c r="D360" s="280"/>
      <c r="E360" s="281"/>
      <c r="F360" s="281"/>
      <c r="G360" s="280"/>
      <c r="H360" s="282"/>
      <c r="I360" s="283"/>
      <c r="J360" s="280"/>
      <c r="K360" s="103"/>
      <c r="L360" s="146"/>
      <c r="M360" s="103"/>
      <c r="N360" s="103"/>
      <c r="O360" s="103">
        <f t="shared" si="1"/>
        <v>0</v>
      </c>
      <c r="P360" s="104">
        <f t="shared" si="2"/>
        <v>0</v>
      </c>
      <c r="Q360" s="147"/>
      <c r="R360" s="103"/>
      <c r="S360" s="103">
        <f t="shared" si="3"/>
        <v>0</v>
      </c>
      <c r="U360" s="107" t="str">
        <f t="shared" si="4"/>
        <v>0</v>
      </c>
    </row>
    <row r="361" ht="15.75" customHeight="1">
      <c r="A361" s="279"/>
      <c r="B361" s="280"/>
      <c r="C361" s="280"/>
      <c r="D361" s="280"/>
      <c r="E361" s="281"/>
      <c r="F361" s="281"/>
      <c r="G361" s="280"/>
      <c r="H361" s="282"/>
      <c r="I361" s="283"/>
      <c r="J361" s="280"/>
      <c r="K361" s="103"/>
      <c r="L361" s="146"/>
      <c r="M361" s="103"/>
      <c r="N361" s="103"/>
      <c r="O361" s="103">
        <f t="shared" si="1"/>
        <v>0</v>
      </c>
      <c r="P361" s="104">
        <f t="shared" si="2"/>
        <v>0</v>
      </c>
      <c r="Q361" s="147"/>
      <c r="R361" s="103"/>
      <c r="S361" s="103">
        <f t="shared" si="3"/>
        <v>0</v>
      </c>
      <c r="U361" s="107" t="str">
        <f t="shared" si="4"/>
        <v>0</v>
      </c>
    </row>
    <row r="362" ht="15.75" customHeight="1">
      <c r="A362" s="279"/>
      <c r="B362" s="280"/>
      <c r="C362" s="280"/>
      <c r="D362" s="280"/>
      <c r="E362" s="281"/>
      <c r="F362" s="281"/>
      <c r="G362" s="280"/>
      <c r="H362" s="282"/>
      <c r="I362" s="283"/>
      <c r="J362" s="280"/>
      <c r="K362" s="103"/>
      <c r="L362" s="146"/>
      <c r="M362" s="103"/>
      <c r="N362" s="103"/>
      <c r="O362" s="103">
        <f t="shared" si="1"/>
        <v>0</v>
      </c>
      <c r="P362" s="104">
        <f t="shared" si="2"/>
        <v>0</v>
      </c>
      <c r="Q362" s="147"/>
      <c r="R362" s="103"/>
      <c r="S362" s="103">
        <f t="shared" si="3"/>
        <v>0</v>
      </c>
      <c r="U362" s="107" t="str">
        <f t="shared" si="4"/>
        <v>0</v>
      </c>
    </row>
    <row r="363" ht="15.75" customHeight="1">
      <c r="A363" s="279"/>
      <c r="B363" s="280"/>
      <c r="C363" s="280"/>
      <c r="D363" s="280"/>
      <c r="E363" s="281"/>
      <c r="F363" s="281"/>
      <c r="G363" s="280"/>
      <c r="H363" s="282"/>
      <c r="I363" s="283"/>
      <c r="J363" s="280"/>
      <c r="K363" s="103"/>
      <c r="L363" s="146"/>
      <c r="M363" s="103"/>
      <c r="N363" s="103"/>
      <c r="O363" s="103">
        <f t="shared" si="1"/>
        <v>0</v>
      </c>
      <c r="P363" s="104">
        <f t="shared" si="2"/>
        <v>0</v>
      </c>
      <c r="Q363" s="147"/>
      <c r="R363" s="103"/>
      <c r="S363" s="103">
        <f t="shared" si="3"/>
        <v>0</v>
      </c>
      <c r="U363" s="107" t="str">
        <f t="shared" si="4"/>
        <v>0</v>
      </c>
    </row>
    <row r="364" ht="15.75" customHeight="1">
      <c r="A364" s="279"/>
      <c r="B364" s="280"/>
      <c r="C364" s="280"/>
      <c r="D364" s="280"/>
      <c r="E364" s="281"/>
      <c r="F364" s="281"/>
      <c r="G364" s="280"/>
      <c r="H364" s="282"/>
      <c r="I364" s="283"/>
      <c r="J364" s="280"/>
      <c r="K364" s="103"/>
      <c r="L364" s="146"/>
      <c r="M364" s="103"/>
      <c r="N364" s="103"/>
      <c r="O364" s="103">
        <f t="shared" si="1"/>
        <v>0</v>
      </c>
      <c r="P364" s="104">
        <f t="shared" si="2"/>
        <v>0</v>
      </c>
      <c r="Q364" s="147"/>
      <c r="R364" s="103"/>
      <c r="S364" s="103">
        <f t="shared" si="3"/>
        <v>0</v>
      </c>
      <c r="U364" s="107" t="str">
        <f t="shared" si="4"/>
        <v>0</v>
      </c>
    </row>
    <row r="365" ht="15.75" customHeight="1">
      <c r="A365" s="279"/>
      <c r="B365" s="280"/>
      <c r="C365" s="280"/>
      <c r="D365" s="280"/>
      <c r="E365" s="281"/>
      <c r="F365" s="281"/>
      <c r="G365" s="280"/>
      <c r="H365" s="282"/>
      <c r="I365" s="283"/>
      <c r="J365" s="280"/>
      <c r="K365" s="103"/>
      <c r="L365" s="146"/>
      <c r="M365" s="103"/>
      <c r="N365" s="103"/>
      <c r="O365" s="103">
        <f t="shared" si="1"/>
        <v>0</v>
      </c>
      <c r="P365" s="104">
        <f t="shared" si="2"/>
        <v>0</v>
      </c>
      <c r="Q365" s="147"/>
      <c r="R365" s="103"/>
      <c r="S365" s="103">
        <f t="shared" si="3"/>
        <v>0</v>
      </c>
      <c r="U365" s="107" t="str">
        <f t="shared" si="4"/>
        <v>0</v>
      </c>
    </row>
    <row r="366" ht="15.75" customHeight="1">
      <c r="A366" s="279"/>
      <c r="B366" s="280"/>
      <c r="C366" s="280"/>
      <c r="D366" s="280"/>
      <c r="E366" s="281"/>
      <c r="F366" s="281"/>
      <c r="G366" s="280"/>
      <c r="H366" s="282"/>
      <c r="I366" s="283"/>
      <c r="J366" s="280"/>
      <c r="K366" s="103"/>
      <c r="L366" s="146"/>
      <c r="M366" s="103"/>
      <c r="N366" s="103"/>
      <c r="O366" s="103">
        <f t="shared" si="1"/>
        <v>0</v>
      </c>
      <c r="P366" s="104">
        <f t="shared" si="2"/>
        <v>0</v>
      </c>
      <c r="Q366" s="147"/>
      <c r="R366" s="103"/>
      <c r="S366" s="103">
        <f t="shared" si="3"/>
        <v>0</v>
      </c>
      <c r="U366" s="107" t="str">
        <f t="shared" si="4"/>
        <v>0</v>
      </c>
    </row>
    <row r="367" ht="15.75" customHeight="1">
      <c r="A367" s="279"/>
      <c r="B367" s="280"/>
      <c r="C367" s="280"/>
      <c r="D367" s="280"/>
      <c r="E367" s="281"/>
      <c r="F367" s="281"/>
      <c r="G367" s="280"/>
      <c r="H367" s="282"/>
      <c r="I367" s="283"/>
      <c r="J367" s="280"/>
      <c r="K367" s="103"/>
      <c r="L367" s="146"/>
      <c r="M367" s="103"/>
      <c r="N367" s="103"/>
      <c r="O367" s="103">
        <f t="shared" si="1"/>
        <v>0</v>
      </c>
      <c r="P367" s="104">
        <f t="shared" si="2"/>
        <v>0</v>
      </c>
      <c r="Q367" s="147"/>
      <c r="R367" s="103"/>
      <c r="S367" s="103">
        <f t="shared" si="3"/>
        <v>0</v>
      </c>
      <c r="U367" s="107" t="str">
        <f t="shared" si="4"/>
        <v>0</v>
      </c>
    </row>
    <row r="368" ht="15.75" customHeight="1">
      <c r="A368" s="279"/>
      <c r="B368" s="280"/>
      <c r="C368" s="280"/>
      <c r="D368" s="280"/>
      <c r="E368" s="281"/>
      <c r="F368" s="281"/>
      <c r="G368" s="280"/>
      <c r="H368" s="282"/>
      <c r="I368" s="283"/>
      <c r="J368" s="280"/>
      <c r="K368" s="103"/>
      <c r="L368" s="146"/>
      <c r="M368" s="103"/>
      <c r="N368" s="103"/>
      <c r="O368" s="103">
        <f t="shared" si="1"/>
        <v>0</v>
      </c>
      <c r="P368" s="104">
        <f t="shared" si="2"/>
        <v>0</v>
      </c>
      <c r="Q368" s="147"/>
      <c r="R368" s="103"/>
      <c r="S368" s="103">
        <f t="shared" si="3"/>
        <v>0</v>
      </c>
      <c r="U368" s="107" t="str">
        <f t="shared" si="4"/>
        <v>0</v>
      </c>
    </row>
    <row r="369" ht="15.75" customHeight="1">
      <c r="A369" s="279"/>
      <c r="B369" s="280"/>
      <c r="C369" s="280"/>
      <c r="D369" s="280"/>
      <c r="E369" s="281"/>
      <c r="F369" s="281"/>
      <c r="G369" s="280"/>
      <c r="H369" s="282"/>
      <c r="I369" s="283"/>
      <c r="J369" s="280"/>
      <c r="K369" s="103"/>
      <c r="L369" s="146"/>
      <c r="M369" s="103"/>
      <c r="N369" s="103"/>
      <c r="O369" s="103">
        <f t="shared" si="1"/>
        <v>0</v>
      </c>
      <c r="P369" s="104">
        <f t="shared" si="2"/>
        <v>0</v>
      </c>
      <c r="Q369" s="147"/>
      <c r="R369" s="103"/>
      <c r="S369" s="103">
        <f t="shared" si="3"/>
        <v>0</v>
      </c>
      <c r="U369" s="107" t="str">
        <f t="shared" si="4"/>
        <v>0</v>
      </c>
    </row>
    <row r="370" ht="15.75" customHeight="1">
      <c r="A370" s="279"/>
      <c r="B370" s="280"/>
      <c r="C370" s="280"/>
      <c r="D370" s="280"/>
      <c r="E370" s="281"/>
      <c r="F370" s="281"/>
      <c r="G370" s="280"/>
      <c r="H370" s="282"/>
      <c r="I370" s="283"/>
      <c r="J370" s="280"/>
      <c r="K370" s="103"/>
      <c r="L370" s="146"/>
      <c r="M370" s="103"/>
      <c r="N370" s="103"/>
      <c r="O370" s="103">
        <f t="shared" si="1"/>
        <v>0</v>
      </c>
      <c r="P370" s="104">
        <f t="shared" si="2"/>
        <v>0</v>
      </c>
      <c r="Q370" s="147"/>
      <c r="R370" s="103"/>
      <c r="S370" s="103">
        <f t="shared" si="3"/>
        <v>0</v>
      </c>
      <c r="U370" s="107" t="str">
        <f t="shared" si="4"/>
        <v>0</v>
      </c>
    </row>
    <row r="371" ht="15.75" customHeight="1">
      <c r="A371" s="279"/>
      <c r="B371" s="280"/>
      <c r="C371" s="280"/>
      <c r="D371" s="280"/>
      <c r="E371" s="281"/>
      <c r="F371" s="281"/>
      <c r="G371" s="280"/>
      <c r="H371" s="282"/>
      <c r="I371" s="283"/>
      <c r="J371" s="280"/>
      <c r="K371" s="103"/>
      <c r="L371" s="146"/>
      <c r="M371" s="103"/>
      <c r="N371" s="103"/>
      <c r="O371" s="103">
        <f t="shared" si="1"/>
        <v>0</v>
      </c>
      <c r="P371" s="104">
        <f t="shared" si="2"/>
        <v>0</v>
      </c>
      <c r="Q371" s="147"/>
      <c r="R371" s="103"/>
      <c r="S371" s="103">
        <f t="shared" si="3"/>
        <v>0</v>
      </c>
      <c r="U371" s="107" t="str">
        <f t="shared" si="4"/>
        <v>0</v>
      </c>
    </row>
    <row r="372" ht="15.75" customHeight="1">
      <c r="A372" s="279"/>
      <c r="B372" s="280"/>
      <c r="C372" s="280"/>
      <c r="D372" s="280"/>
      <c r="E372" s="281"/>
      <c r="F372" s="281"/>
      <c r="G372" s="280"/>
      <c r="H372" s="282"/>
      <c r="I372" s="283"/>
      <c r="J372" s="280"/>
      <c r="K372" s="103"/>
      <c r="L372" s="146"/>
      <c r="M372" s="103"/>
      <c r="N372" s="103"/>
      <c r="O372" s="103">
        <f t="shared" si="1"/>
        <v>0</v>
      </c>
      <c r="P372" s="104">
        <f t="shared" si="2"/>
        <v>0</v>
      </c>
      <c r="Q372" s="147"/>
      <c r="R372" s="103"/>
      <c r="S372" s="103">
        <f t="shared" si="3"/>
        <v>0</v>
      </c>
      <c r="U372" s="107" t="str">
        <f t="shared" si="4"/>
        <v>0</v>
      </c>
    </row>
    <row r="373" ht="15.75" customHeight="1">
      <c r="A373" s="279"/>
      <c r="B373" s="280"/>
      <c r="C373" s="280"/>
      <c r="D373" s="280"/>
      <c r="E373" s="281"/>
      <c r="F373" s="281"/>
      <c r="G373" s="280"/>
      <c r="H373" s="282"/>
      <c r="I373" s="283"/>
      <c r="J373" s="280"/>
      <c r="K373" s="103"/>
      <c r="L373" s="146"/>
      <c r="M373" s="103"/>
      <c r="N373" s="103"/>
      <c r="O373" s="103">
        <f t="shared" si="1"/>
        <v>0</v>
      </c>
      <c r="P373" s="104">
        <f t="shared" si="2"/>
        <v>0</v>
      </c>
      <c r="Q373" s="147"/>
      <c r="R373" s="103"/>
      <c r="S373" s="103">
        <f t="shared" si="3"/>
        <v>0</v>
      </c>
      <c r="U373" s="107" t="str">
        <f t="shared" si="4"/>
        <v>0</v>
      </c>
    </row>
    <row r="374" ht="15.75" customHeight="1">
      <c r="A374" s="279"/>
      <c r="B374" s="280"/>
      <c r="C374" s="280"/>
      <c r="D374" s="280"/>
      <c r="E374" s="281"/>
      <c r="F374" s="281"/>
      <c r="G374" s="280"/>
      <c r="H374" s="282"/>
      <c r="I374" s="283"/>
      <c r="J374" s="280"/>
      <c r="K374" s="103"/>
      <c r="L374" s="146"/>
      <c r="M374" s="103"/>
      <c r="N374" s="103"/>
      <c r="O374" s="103">
        <f t="shared" si="1"/>
        <v>0</v>
      </c>
      <c r="P374" s="104">
        <f t="shared" si="2"/>
        <v>0</v>
      </c>
      <c r="Q374" s="147"/>
      <c r="R374" s="103"/>
      <c r="S374" s="103">
        <f t="shared" si="3"/>
        <v>0</v>
      </c>
      <c r="U374" s="107" t="str">
        <f t="shared" si="4"/>
        <v>0</v>
      </c>
    </row>
    <row r="375" ht="15.75" customHeight="1">
      <c r="A375" s="279"/>
      <c r="B375" s="280"/>
      <c r="C375" s="280"/>
      <c r="D375" s="280"/>
      <c r="E375" s="281"/>
      <c r="F375" s="281"/>
      <c r="G375" s="280"/>
      <c r="H375" s="282"/>
      <c r="I375" s="283"/>
      <c r="J375" s="280"/>
      <c r="K375" s="103"/>
      <c r="L375" s="146"/>
      <c r="M375" s="103"/>
      <c r="N375" s="103"/>
      <c r="O375" s="103">
        <f t="shared" si="1"/>
        <v>0</v>
      </c>
      <c r="P375" s="104">
        <f t="shared" si="2"/>
        <v>0</v>
      </c>
      <c r="Q375" s="147"/>
      <c r="R375" s="103"/>
      <c r="S375" s="103">
        <f t="shared" si="3"/>
        <v>0</v>
      </c>
      <c r="U375" s="107" t="str">
        <f t="shared" si="4"/>
        <v>0</v>
      </c>
    </row>
    <row r="376" ht="15.75" customHeight="1">
      <c r="A376" s="279"/>
      <c r="B376" s="280"/>
      <c r="C376" s="280"/>
      <c r="D376" s="280"/>
      <c r="E376" s="281"/>
      <c r="F376" s="281"/>
      <c r="G376" s="280"/>
      <c r="H376" s="282"/>
      <c r="I376" s="283"/>
      <c r="J376" s="280"/>
      <c r="K376" s="103"/>
      <c r="L376" s="146"/>
      <c r="M376" s="103"/>
      <c r="N376" s="103"/>
      <c r="O376" s="103">
        <f t="shared" si="1"/>
        <v>0</v>
      </c>
      <c r="P376" s="104">
        <f t="shared" si="2"/>
        <v>0</v>
      </c>
      <c r="Q376" s="147"/>
      <c r="R376" s="103"/>
      <c r="S376" s="103">
        <f t="shared" si="3"/>
        <v>0</v>
      </c>
      <c r="U376" s="107" t="str">
        <f t="shared" si="4"/>
        <v>0</v>
      </c>
    </row>
    <row r="377" ht="15.75" customHeight="1">
      <c r="A377" s="279"/>
      <c r="B377" s="280"/>
      <c r="C377" s="280"/>
      <c r="D377" s="280"/>
      <c r="E377" s="281"/>
      <c r="F377" s="281"/>
      <c r="G377" s="280"/>
      <c r="H377" s="282"/>
      <c r="I377" s="283"/>
      <c r="J377" s="280"/>
      <c r="K377" s="103"/>
      <c r="L377" s="146"/>
      <c r="M377" s="103"/>
      <c r="N377" s="103"/>
      <c r="O377" s="103">
        <f t="shared" si="1"/>
        <v>0</v>
      </c>
      <c r="P377" s="104">
        <f t="shared" si="2"/>
        <v>0</v>
      </c>
      <c r="Q377" s="147"/>
      <c r="R377" s="103"/>
      <c r="S377" s="103">
        <f t="shared" si="3"/>
        <v>0</v>
      </c>
      <c r="U377" s="107" t="str">
        <f t="shared" si="4"/>
        <v>0</v>
      </c>
    </row>
    <row r="378" ht="15.75" customHeight="1">
      <c r="A378" s="279"/>
      <c r="B378" s="280"/>
      <c r="C378" s="280"/>
      <c r="D378" s="280"/>
      <c r="E378" s="281"/>
      <c r="F378" s="281"/>
      <c r="G378" s="280"/>
      <c r="H378" s="282"/>
      <c r="I378" s="283"/>
      <c r="J378" s="280"/>
      <c r="K378" s="103"/>
      <c r="L378" s="146"/>
      <c r="M378" s="103"/>
      <c r="N378" s="103"/>
      <c r="O378" s="103">
        <f t="shared" si="1"/>
        <v>0</v>
      </c>
      <c r="P378" s="104">
        <f t="shared" si="2"/>
        <v>0</v>
      </c>
      <c r="Q378" s="147"/>
      <c r="R378" s="103"/>
      <c r="S378" s="103">
        <f t="shared" si="3"/>
        <v>0</v>
      </c>
      <c r="U378" s="107" t="str">
        <f t="shared" si="4"/>
        <v>0</v>
      </c>
    </row>
    <row r="379" ht="15.75" customHeight="1">
      <c r="A379" s="279"/>
      <c r="B379" s="280"/>
      <c r="C379" s="280"/>
      <c r="D379" s="280"/>
      <c r="E379" s="281"/>
      <c r="F379" s="281"/>
      <c r="G379" s="280"/>
      <c r="H379" s="282"/>
      <c r="I379" s="283"/>
      <c r="J379" s="280"/>
      <c r="K379" s="103"/>
      <c r="L379" s="146"/>
      <c r="M379" s="103"/>
      <c r="N379" s="103"/>
      <c r="O379" s="103">
        <f t="shared" si="1"/>
        <v>0</v>
      </c>
      <c r="P379" s="104">
        <f t="shared" si="2"/>
        <v>0</v>
      </c>
      <c r="Q379" s="147"/>
      <c r="R379" s="103"/>
      <c r="S379" s="103">
        <f t="shared" si="3"/>
        <v>0</v>
      </c>
      <c r="U379" s="107" t="str">
        <f t="shared" si="4"/>
        <v>0</v>
      </c>
    </row>
    <row r="380" ht="15.75" customHeight="1">
      <c r="A380" s="279"/>
      <c r="B380" s="280"/>
      <c r="C380" s="280"/>
      <c r="D380" s="280"/>
      <c r="E380" s="281"/>
      <c r="F380" s="281"/>
      <c r="G380" s="280"/>
      <c r="H380" s="282"/>
      <c r="I380" s="283"/>
      <c r="J380" s="280"/>
      <c r="K380" s="103"/>
      <c r="L380" s="146"/>
      <c r="M380" s="103"/>
      <c r="N380" s="103"/>
      <c r="O380" s="103">
        <f t="shared" si="1"/>
        <v>0</v>
      </c>
      <c r="P380" s="104">
        <f t="shared" si="2"/>
        <v>0</v>
      </c>
      <c r="Q380" s="147"/>
      <c r="R380" s="103"/>
      <c r="S380" s="103">
        <f t="shared" si="3"/>
        <v>0</v>
      </c>
      <c r="U380" s="107" t="str">
        <f t="shared" si="4"/>
        <v>0</v>
      </c>
    </row>
    <row r="381" ht="15.75" customHeight="1">
      <c r="A381" s="279"/>
      <c r="B381" s="280"/>
      <c r="C381" s="280"/>
      <c r="D381" s="280"/>
      <c r="E381" s="281"/>
      <c r="F381" s="281"/>
      <c r="G381" s="280"/>
      <c r="H381" s="282"/>
      <c r="I381" s="283"/>
      <c r="J381" s="280"/>
      <c r="K381" s="103"/>
      <c r="L381" s="146"/>
      <c r="M381" s="103"/>
      <c r="N381" s="103"/>
      <c r="O381" s="103">
        <f t="shared" si="1"/>
        <v>0</v>
      </c>
      <c r="P381" s="104">
        <f t="shared" si="2"/>
        <v>0</v>
      </c>
      <c r="Q381" s="147"/>
      <c r="R381" s="103"/>
      <c r="S381" s="103">
        <f t="shared" si="3"/>
        <v>0</v>
      </c>
      <c r="U381" s="107" t="str">
        <f t="shared" si="4"/>
        <v>0</v>
      </c>
    </row>
    <row r="382" ht="15.75" customHeight="1">
      <c r="A382" s="279"/>
      <c r="B382" s="280"/>
      <c r="C382" s="280"/>
      <c r="D382" s="280"/>
      <c r="E382" s="281"/>
      <c r="F382" s="281"/>
      <c r="G382" s="280"/>
      <c r="H382" s="282"/>
      <c r="I382" s="283"/>
      <c r="J382" s="280"/>
      <c r="K382" s="103"/>
      <c r="L382" s="146"/>
      <c r="M382" s="103"/>
      <c r="N382" s="103"/>
      <c r="O382" s="103">
        <f t="shared" si="1"/>
        <v>0</v>
      </c>
      <c r="P382" s="104">
        <f t="shared" si="2"/>
        <v>0</v>
      </c>
      <c r="Q382" s="147"/>
      <c r="R382" s="103"/>
      <c r="S382" s="103">
        <f t="shared" si="3"/>
        <v>0</v>
      </c>
      <c r="U382" s="107" t="str">
        <f t="shared" si="4"/>
        <v>0</v>
      </c>
    </row>
    <row r="383" ht="15.75" customHeight="1">
      <c r="A383" s="279"/>
      <c r="B383" s="280"/>
      <c r="C383" s="280"/>
      <c r="D383" s="280"/>
      <c r="E383" s="281"/>
      <c r="F383" s="281"/>
      <c r="G383" s="280"/>
      <c r="H383" s="282"/>
      <c r="I383" s="283"/>
      <c r="J383" s="280"/>
      <c r="K383" s="103"/>
      <c r="L383" s="146"/>
      <c r="M383" s="103"/>
      <c r="N383" s="103"/>
      <c r="O383" s="103">
        <f t="shared" si="1"/>
        <v>0</v>
      </c>
      <c r="P383" s="104">
        <f t="shared" si="2"/>
        <v>0</v>
      </c>
      <c r="Q383" s="147"/>
      <c r="R383" s="103"/>
      <c r="S383" s="103">
        <f t="shared" si="3"/>
        <v>0</v>
      </c>
      <c r="U383" s="107" t="str">
        <f t="shared" si="4"/>
        <v>0</v>
      </c>
    </row>
    <row r="384" ht="15.75" customHeight="1">
      <c r="A384" s="279"/>
      <c r="B384" s="280"/>
      <c r="C384" s="280"/>
      <c r="D384" s="280"/>
      <c r="E384" s="281"/>
      <c r="F384" s="281"/>
      <c r="G384" s="280"/>
      <c r="H384" s="282"/>
      <c r="I384" s="283"/>
      <c r="J384" s="280"/>
      <c r="K384" s="103"/>
      <c r="L384" s="146"/>
      <c r="M384" s="103"/>
      <c r="N384" s="103"/>
      <c r="O384" s="103">
        <f t="shared" si="1"/>
        <v>0</v>
      </c>
      <c r="P384" s="104">
        <f t="shared" si="2"/>
        <v>0</v>
      </c>
      <c r="Q384" s="147"/>
      <c r="R384" s="103"/>
      <c r="S384" s="103">
        <f t="shared" si="3"/>
        <v>0</v>
      </c>
      <c r="U384" s="107" t="str">
        <f t="shared" si="4"/>
        <v>0</v>
      </c>
    </row>
    <row r="385" ht="15.75" customHeight="1">
      <c r="A385" s="279"/>
      <c r="B385" s="280"/>
      <c r="C385" s="280"/>
      <c r="D385" s="280"/>
      <c r="E385" s="281"/>
      <c r="F385" s="281"/>
      <c r="G385" s="280"/>
      <c r="H385" s="282"/>
      <c r="I385" s="283"/>
      <c r="J385" s="280"/>
      <c r="K385" s="103"/>
      <c r="L385" s="146"/>
      <c r="M385" s="103"/>
      <c r="N385" s="103"/>
      <c r="O385" s="103">
        <f t="shared" si="1"/>
        <v>0</v>
      </c>
      <c r="P385" s="104">
        <f t="shared" si="2"/>
        <v>0</v>
      </c>
      <c r="Q385" s="147"/>
      <c r="R385" s="103"/>
      <c r="S385" s="103">
        <f t="shared" si="3"/>
        <v>0</v>
      </c>
      <c r="U385" s="107" t="str">
        <f t="shared" si="4"/>
        <v>0</v>
      </c>
    </row>
    <row r="386" ht="15.75" customHeight="1">
      <c r="A386" s="279"/>
      <c r="B386" s="280"/>
      <c r="C386" s="280"/>
      <c r="D386" s="280"/>
      <c r="E386" s="281"/>
      <c r="F386" s="281"/>
      <c r="G386" s="280"/>
      <c r="H386" s="282"/>
      <c r="I386" s="283"/>
      <c r="J386" s="280"/>
      <c r="K386" s="103"/>
      <c r="L386" s="146"/>
      <c r="M386" s="103"/>
      <c r="N386" s="103"/>
      <c r="O386" s="103">
        <f t="shared" si="1"/>
        <v>0</v>
      </c>
      <c r="P386" s="104">
        <f t="shared" si="2"/>
        <v>0</v>
      </c>
      <c r="Q386" s="147"/>
      <c r="R386" s="103"/>
      <c r="S386" s="103">
        <f t="shared" si="3"/>
        <v>0</v>
      </c>
      <c r="U386" s="107" t="str">
        <f t="shared" si="4"/>
        <v>0</v>
      </c>
    </row>
    <row r="387" ht="15.75" customHeight="1">
      <c r="A387" s="279"/>
      <c r="B387" s="280"/>
      <c r="C387" s="280"/>
      <c r="D387" s="280"/>
      <c r="E387" s="281"/>
      <c r="F387" s="281"/>
      <c r="G387" s="280"/>
      <c r="H387" s="282"/>
      <c r="I387" s="283"/>
      <c r="J387" s="280"/>
      <c r="K387" s="103"/>
      <c r="L387" s="146"/>
      <c r="M387" s="103"/>
      <c r="N387" s="103"/>
      <c r="O387" s="103">
        <f t="shared" si="1"/>
        <v>0</v>
      </c>
      <c r="P387" s="104">
        <f t="shared" si="2"/>
        <v>0</v>
      </c>
      <c r="Q387" s="147"/>
      <c r="R387" s="103"/>
      <c r="S387" s="103">
        <f t="shared" si="3"/>
        <v>0</v>
      </c>
      <c r="U387" s="107" t="str">
        <f t="shared" si="4"/>
        <v>0</v>
      </c>
    </row>
    <row r="388" ht="15.75" customHeight="1">
      <c r="A388" s="279"/>
      <c r="B388" s="280"/>
      <c r="C388" s="280"/>
      <c r="D388" s="280"/>
      <c r="E388" s="281"/>
      <c r="F388" s="281"/>
      <c r="G388" s="280"/>
      <c r="H388" s="282"/>
      <c r="I388" s="283"/>
      <c r="J388" s="280"/>
      <c r="K388" s="103"/>
      <c r="L388" s="146"/>
      <c r="M388" s="103"/>
      <c r="N388" s="103"/>
      <c r="O388" s="103">
        <f t="shared" si="1"/>
        <v>0</v>
      </c>
      <c r="P388" s="104">
        <f t="shared" si="2"/>
        <v>0</v>
      </c>
      <c r="Q388" s="147"/>
      <c r="R388" s="103"/>
      <c r="S388" s="103">
        <f t="shared" si="3"/>
        <v>0</v>
      </c>
      <c r="U388" s="107" t="str">
        <f t="shared" si="4"/>
        <v>0</v>
      </c>
    </row>
    <row r="389" ht="15.75" customHeight="1">
      <c r="A389" s="279"/>
      <c r="B389" s="280"/>
      <c r="C389" s="280"/>
      <c r="D389" s="280"/>
      <c r="E389" s="281"/>
      <c r="F389" s="281"/>
      <c r="G389" s="280"/>
      <c r="H389" s="282"/>
      <c r="I389" s="283"/>
      <c r="J389" s="280"/>
      <c r="K389" s="103"/>
      <c r="L389" s="146"/>
      <c r="M389" s="103"/>
      <c r="N389" s="103"/>
      <c r="O389" s="103">
        <f t="shared" si="1"/>
        <v>0</v>
      </c>
      <c r="P389" s="104">
        <f t="shared" si="2"/>
        <v>0</v>
      </c>
      <c r="Q389" s="147"/>
      <c r="R389" s="103"/>
      <c r="S389" s="103">
        <f t="shared" si="3"/>
        <v>0</v>
      </c>
      <c r="U389" s="107" t="str">
        <f t="shared" si="4"/>
        <v>0</v>
      </c>
    </row>
    <row r="390" ht="15.75" customHeight="1">
      <c r="A390" s="279"/>
      <c r="B390" s="280"/>
      <c r="C390" s="280"/>
      <c r="D390" s="280"/>
      <c r="E390" s="281"/>
      <c r="F390" s="281"/>
      <c r="G390" s="280"/>
      <c r="H390" s="282"/>
      <c r="I390" s="283"/>
      <c r="J390" s="280"/>
      <c r="K390" s="103"/>
      <c r="L390" s="146"/>
      <c r="M390" s="103"/>
      <c r="N390" s="103"/>
      <c r="O390" s="103">
        <f t="shared" si="1"/>
        <v>0</v>
      </c>
      <c r="P390" s="104">
        <f t="shared" si="2"/>
        <v>0</v>
      </c>
      <c r="Q390" s="147"/>
      <c r="R390" s="103"/>
      <c r="S390" s="103">
        <f t="shared" si="3"/>
        <v>0</v>
      </c>
      <c r="U390" s="107" t="str">
        <f t="shared" si="4"/>
        <v>0</v>
      </c>
    </row>
    <row r="391" ht="15.75" customHeight="1">
      <c r="A391" s="279"/>
      <c r="B391" s="280"/>
      <c r="C391" s="280"/>
      <c r="D391" s="280"/>
      <c r="E391" s="281"/>
      <c r="F391" s="281"/>
      <c r="G391" s="280"/>
      <c r="H391" s="282"/>
      <c r="I391" s="283"/>
      <c r="J391" s="280"/>
      <c r="K391" s="103"/>
      <c r="L391" s="146"/>
      <c r="M391" s="103"/>
      <c r="N391" s="103"/>
      <c r="O391" s="103">
        <f t="shared" si="1"/>
        <v>0</v>
      </c>
      <c r="P391" s="104">
        <f t="shared" si="2"/>
        <v>0</v>
      </c>
      <c r="Q391" s="147"/>
      <c r="R391" s="103"/>
      <c r="S391" s="103">
        <f t="shared" si="3"/>
        <v>0</v>
      </c>
      <c r="U391" s="107" t="str">
        <f t="shared" si="4"/>
        <v>0</v>
      </c>
    </row>
    <row r="392" ht="15.75" customHeight="1">
      <c r="A392" s="279"/>
      <c r="B392" s="280"/>
      <c r="C392" s="280"/>
      <c r="D392" s="280"/>
      <c r="E392" s="281"/>
      <c r="F392" s="281"/>
      <c r="G392" s="280"/>
      <c r="H392" s="282"/>
      <c r="I392" s="283"/>
      <c r="J392" s="280"/>
      <c r="K392" s="103"/>
      <c r="L392" s="146"/>
      <c r="M392" s="103"/>
      <c r="N392" s="103"/>
      <c r="O392" s="103">
        <f t="shared" si="1"/>
        <v>0</v>
      </c>
      <c r="P392" s="104">
        <f t="shared" si="2"/>
        <v>0</v>
      </c>
      <c r="Q392" s="147"/>
      <c r="R392" s="103"/>
      <c r="S392" s="103">
        <f t="shared" si="3"/>
        <v>0</v>
      </c>
      <c r="U392" s="107" t="str">
        <f t="shared" si="4"/>
        <v>0</v>
      </c>
    </row>
    <row r="393" ht="15.75" customHeight="1">
      <c r="A393" s="279"/>
      <c r="B393" s="280"/>
      <c r="C393" s="280"/>
      <c r="D393" s="280"/>
      <c r="E393" s="281"/>
      <c r="F393" s="281"/>
      <c r="G393" s="280"/>
      <c r="H393" s="282"/>
      <c r="I393" s="283"/>
      <c r="J393" s="280"/>
      <c r="K393" s="103"/>
      <c r="L393" s="146"/>
      <c r="M393" s="103"/>
      <c r="N393" s="103"/>
      <c r="O393" s="103">
        <f t="shared" si="1"/>
        <v>0</v>
      </c>
      <c r="P393" s="104">
        <f t="shared" si="2"/>
        <v>0</v>
      </c>
      <c r="Q393" s="147"/>
      <c r="R393" s="103"/>
      <c r="S393" s="103">
        <f t="shared" si="3"/>
        <v>0</v>
      </c>
      <c r="U393" s="107" t="str">
        <f t="shared" si="4"/>
        <v>0</v>
      </c>
    </row>
    <row r="394" ht="15.75" customHeight="1">
      <c r="A394" s="279"/>
      <c r="B394" s="280"/>
      <c r="C394" s="280"/>
      <c r="D394" s="280"/>
      <c r="E394" s="281"/>
      <c r="F394" s="281"/>
      <c r="G394" s="280"/>
      <c r="H394" s="282"/>
      <c r="I394" s="283"/>
      <c r="J394" s="280"/>
      <c r="K394" s="103"/>
      <c r="L394" s="146"/>
      <c r="M394" s="103"/>
      <c r="N394" s="103"/>
      <c r="O394" s="103">
        <f t="shared" si="1"/>
        <v>0</v>
      </c>
      <c r="P394" s="104">
        <f t="shared" si="2"/>
        <v>0</v>
      </c>
      <c r="Q394" s="147"/>
      <c r="R394" s="103"/>
      <c r="S394" s="103">
        <f t="shared" si="3"/>
        <v>0</v>
      </c>
      <c r="U394" s="107" t="str">
        <f t="shared" si="4"/>
        <v>0</v>
      </c>
    </row>
    <row r="395" ht="15.75" customHeight="1">
      <c r="A395" s="279"/>
      <c r="B395" s="280"/>
      <c r="C395" s="280"/>
      <c r="D395" s="280"/>
      <c r="E395" s="281"/>
      <c r="F395" s="281"/>
      <c r="G395" s="280"/>
      <c r="H395" s="282"/>
      <c r="I395" s="283"/>
      <c r="J395" s="280"/>
      <c r="K395" s="103"/>
      <c r="L395" s="146"/>
      <c r="M395" s="103"/>
      <c r="N395" s="103"/>
      <c r="O395" s="103">
        <f t="shared" si="1"/>
        <v>0</v>
      </c>
      <c r="P395" s="104">
        <f t="shared" si="2"/>
        <v>0</v>
      </c>
      <c r="Q395" s="147"/>
      <c r="R395" s="103"/>
      <c r="S395" s="103">
        <f t="shared" si="3"/>
        <v>0</v>
      </c>
      <c r="U395" s="107" t="str">
        <f t="shared" si="4"/>
        <v>0</v>
      </c>
    </row>
    <row r="396" ht="15.75" customHeight="1">
      <c r="A396" s="279"/>
      <c r="B396" s="280"/>
      <c r="C396" s="280"/>
      <c r="D396" s="280"/>
      <c r="E396" s="281"/>
      <c r="F396" s="281"/>
      <c r="G396" s="280"/>
      <c r="H396" s="282"/>
      <c r="I396" s="283"/>
      <c r="J396" s="280"/>
      <c r="K396" s="103"/>
      <c r="L396" s="146"/>
      <c r="M396" s="103"/>
      <c r="N396" s="103"/>
      <c r="O396" s="103">
        <f t="shared" si="1"/>
        <v>0</v>
      </c>
      <c r="P396" s="104">
        <f t="shared" si="2"/>
        <v>0</v>
      </c>
      <c r="Q396" s="147"/>
      <c r="R396" s="103"/>
      <c r="S396" s="103">
        <f t="shared" si="3"/>
        <v>0</v>
      </c>
      <c r="U396" s="107" t="str">
        <f t="shared" si="4"/>
        <v>0</v>
      </c>
    </row>
    <row r="397" ht="15.75" customHeight="1">
      <c r="A397" s="279"/>
      <c r="B397" s="280"/>
      <c r="C397" s="280"/>
      <c r="D397" s="280"/>
      <c r="E397" s="281"/>
      <c r="F397" s="281"/>
      <c r="G397" s="280"/>
      <c r="H397" s="282"/>
      <c r="I397" s="283"/>
      <c r="J397" s="280"/>
      <c r="K397" s="103"/>
      <c r="L397" s="146"/>
      <c r="M397" s="103"/>
      <c r="N397" s="103"/>
      <c r="O397" s="103">
        <f t="shared" si="1"/>
        <v>0</v>
      </c>
      <c r="P397" s="104">
        <f t="shared" si="2"/>
        <v>0</v>
      </c>
      <c r="Q397" s="147"/>
      <c r="R397" s="103"/>
      <c r="S397" s="103">
        <f t="shared" si="3"/>
        <v>0</v>
      </c>
      <c r="U397" s="107" t="str">
        <f t="shared" si="4"/>
        <v>0</v>
      </c>
    </row>
    <row r="398" ht="15.75" customHeight="1">
      <c r="A398" s="279"/>
      <c r="B398" s="280"/>
      <c r="C398" s="280"/>
      <c r="D398" s="280"/>
      <c r="E398" s="281"/>
      <c r="F398" s="281"/>
      <c r="G398" s="280"/>
      <c r="H398" s="282"/>
      <c r="I398" s="283"/>
      <c r="J398" s="280"/>
      <c r="K398" s="103"/>
      <c r="L398" s="146"/>
      <c r="M398" s="103"/>
      <c r="N398" s="103"/>
      <c r="O398" s="103">
        <f t="shared" si="1"/>
        <v>0</v>
      </c>
      <c r="P398" s="104">
        <f t="shared" si="2"/>
        <v>0</v>
      </c>
      <c r="Q398" s="147"/>
      <c r="R398" s="103"/>
      <c r="S398" s="103">
        <f t="shared" si="3"/>
        <v>0</v>
      </c>
      <c r="U398" s="107" t="str">
        <f t="shared" si="4"/>
        <v>0</v>
      </c>
    </row>
    <row r="399" ht="15.75" customHeight="1">
      <c r="A399" s="279"/>
      <c r="B399" s="280"/>
      <c r="C399" s="280"/>
      <c r="D399" s="280"/>
      <c r="E399" s="281"/>
      <c r="F399" s="281"/>
      <c r="G399" s="280"/>
      <c r="H399" s="282"/>
      <c r="I399" s="283"/>
      <c r="J399" s="280"/>
      <c r="K399" s="103"/>
      <c r="L399" s="146"/>
      <c r="M399" s="103"/>
      <c r="N399" s="103"/>
      <c r="O399" s="103">
        <f t="shared" si="1"/>
        <v>0</v>
      </c>
      <c r="P399" s="104">
        <f t="shared" si="2"/>
        <v>0</v>
      </c>
      <c r="Q399" s="147"/>
      <c r="R399" s="103"/>
      <c r="S399" s="103">
        <f t="shared" si="3"/>
        <v>0</v>
      </c>
      <c r="U399" s="107" t="str">
        <f t="shared" si="4"/>
        <v>0</v>
      </c>
    </row>
    <row r="400" ht="15.75" customHeight="1">
      <c r="A400" s="279"/>
      <c r="B400" s="280"/>
      <c r="C400" s="280"/>
      <c r="D400" s="280"/>
      <c r="E400" s="281"/>
      <c r="F400" s="281"/>
      <c r="G400" s="280"/>
      <c r="H400" s="282"/>
      <c r="I400" s="283"/>
      <c r="J400" s="280"/>
      <c r="K400" s="103"/>
      <c r="L400" s="146"/>
      <c r="M400" s="103"/>
      <c r="N400" s="103"/>
      <c r="O400" s="103">
        <f t="shared" si="1"/>
        <v>0</v>
      </c>
      <c r="P400" s="104">
        <f t="shared" si="2"/>
        <v>0</v>
      </c>
      <c r="Q400" s="147"/>
      <c r="R400" s="103"/>
      <c r="S400" s="103">
        <f t="shared" si="3"/>
        <v>0</v>
      </c>
      <c r="U400" s="107" t="str">
        <f t="shared" si="4"/>
        <v>0</v>
      </c>
    </row>
    <row r="401" ht="15.75" customHeight="1">
      <c r="A401" s="279"/>
      <c r="B401" s="280"/>
      <c r="C401" s="280"/>
      <c r="D401" s="280"/>
      <c r="E401" s="281"/>
      <c r="F401" s="281"/>
      <c r="G401" s="280"/>
      <c r="H401" s="282"/>
      <c r="I401" s="283"/>
      <c r="J401" s="280"/>
      <c r="K401" s="103"/>
      <c r="L401" s="146"/>
      <c r="M401" s="103"/>
      <c r="N401" s="103"/>
      <c r="O401" s="103">
        <f t="shared" si="1"/>
        <v>0</v>
      </c>
      <c r="P401" s="104">
        <f t="shared" si="2"/>
        <v>0</v>
      </c>
      <c r="Q401" s="147"/>
      <c r="R401" s="103"/>
      <c r="S401" s="103">
        <f t="shared" si="3"/>
        <v>0</v>
      </c>
      <c r="U401" s="107" t="str">
        <f t="shared" si="4"/>
        <v>0</v>
      </c>
    </row>
    <row r="402" ht="15.75" customHeight="1">
      <c r="A402" s="279"/>
      <c r="B402" s="280"/>
      <c r="C402" s="280"/>
      <c r="D402" s="280"/>
      <c r="E402" s="281"/>
      <c r="F402" s="281"/>
      <c r="G402" s="280"/>
      <c r="H402" s="282"/>
      <c r="I402" s="283"/>
      <c r="J402" s="280"/>
      <c r="K402" s="103"/>
      <c r="L402" s="146"/>
      <c r="M402" s="103"/>
      <c r="N402" s="103"/>
      <c r="O402" s="103">
        <f t="shared" si="1"/>
        <v>0</v>
      </c>
      <c r="P402" s="104">
        <f t="shared" si="2"/>
        <v>0</v>
      </c>
      <c r="Q402" s="147"/>
      <c r="R402" s="103"/>
      <c r="S402" s="103">
        <f t="shared" si="3"/>
        <v>0</v>
      </c>
      <c r="U402" s="107" t="str">
        <f t="shared" si="4"/>
        <v>0</v>
      </c>
    </row>
    <row r="403" ht="15.75" customHeight="1">
      <c r="A403" s="279"/>
      <c r="B403" s="280"/>
      <c r="C403" s="280"/>
      <c r="D403" s="280"/>
      <c r="E403" s="281"/>
      <c r="F403" s="281"/>
      <c r="G403" s="280"/>
      <c r="H403" s="282"/>
      <c r="I403" s="283"/>
      <c r="J403" s="280"/>
      <c r="K403" s="103"/>
      <c r="L403" s="146"/>
      <c r="M403" s="103"/>
      <c r="N403" s="103"/>
      <c r="O403" s="103">
        <f t="shared" si="1"/>
        <v>0</v>
      </c>
      <c r="P403" s="104">
        <f t="shared" si="2"/>
        <v>0</v>
      </c>
      <c r="Q403" s="147"/>
      <c r="R403" s="103"/>
      <c r="S403" s="103">
        <f t="shared" si="3"/>
        <v>0</v>
      </c>
      <c r="U403" s="107" t="str">
        <f t="shared" si="4"/>
        <v>0</v>
      </c>
    </row>
    <row r="404" ht="15.75" customHeight="1">
      <c r="A404" s="279"/>
      <c r="B404" s="280"/>
      <c r="C404" s="280"/>
      <c r="D404" s="280"/>
      <c r="E404" s="281"/>
      <c r="F404" s="281"/>
      <c r="G404" s="280"/>
      <c r="H404" s="282"/>
      <c r="I404" s="283"/>
      <c r="J404" s="280"/>
      <c r="K404" s="103"/>
      <c r="L404" s="146"/>
      <c r="M404" s="103"/>
      <c r="N404" s="103"/>
      <c r="O404" s="103">
        <f t="shared" si="1"/>
        <v>0</v>
      </c>
      <c r="P404" s="104">
        <f t="shared" si="2"/>
        <v>0</v>
      </c>
      <c r="Q404" s="147"/>
      <c r="R404" s="103"/>
      <c r="S404" s="103">
        <f t="shared" si="3"/>
        <v>0</v>
      </c>
      <c r="U404" s="107" t="str">
        <f t="shared" si="4"/>
        <v>0</v>
      </c>
    </row>
    <row r="405" ht="15.75" customHeight="1">
      <c r="A405" s="279"/>
      <c r="B405" s="280"/>
      <c r="C405" s="280"/>
      <c r="D405" s="280"/>
      <c r="E405" s="281"/>
      <c r="F405" s="281"/>
      <c r="G405" s="280"/>
      <c r="H405" s="282"/>
      <c r="I405" s="283"/>
      <c r="J405" s="280"/>
      <c r="K405" s="103"/>
      <c r="L405" s="146"/>
      <c r="M405" s="103"/>
      <c r="N405" s="103"/>
      <c r="O405" s="103">
        <f t="shared" si="1"/>
        <v>0</v>
      </c>
      <c r="P405" s="104">
        <f t="shared" si="2"/>
        <v>0</v>
      </c>
      <c r="Q405" s="147"/>
      <c r="R405" s="103"/>
      <c r="S405" s="103">
        <f t="shared" si="3"/>
        <v>0</v>
      </c>
      <c r="U405" s="107" t="str">
        <f t="shared" si="4"/>
        <v>0</v>
      </c>
    </row>
    <row r="406" ht="15.75" customHeight="1">
      <c r="A406" s="279"/>
      <c r="B406" s="280"/>
      <c r="C406" s="280"/>
      <c r="D406" s="280"/>
      <c r="E406" s="281"/>
      <c r="F406" s="281"/>
      <c r="G406" s="280"/>
      <c r="H406" s="282"/>
      <c r="I406" s="283"/>
      <c r="J406" s="280"/>
      <c r="K406" s="103"/>
      <c r="L406" s="146"/>
      <c r="M406" s="103"/>
      <c r="N406" s="103"/>
      <c r="O406" s="103">
        <f t="shared" si="1"/>
        <v>0</v>
      </c>
      <c r="P406" s="104">
        <f t="shared" si="2"/>
        <v>0</v>
      </c>
      <c r="Q406" s="147"/>
      <c r="R406" s="103"/>
      <c r="S406" s="103">
        <f t="shared" si="3"/>
        <v>0</v>
      </c>
      <c r="U406" s="107" t="str">
        <f t="shared" si="4"/>
        <v>0</v>
      </c>
    </row>
    <row r="407" ht="15.75" customHeight="1">
      <c r="A407" s="279"/>
      <c r="B407" s="280"/>
      <c r="C407" s="280"/>
      <c r="D407" s="280"/>
      <c r="E407" s="281"/>
      <c r="F407" s="281"/>
      <c r="G407" s="280"/>
      <c r="H407" s="282"/>
      <c r="I407" s="283"/>
      <c r="J407" s="280"/>
      <c r="K407" s="103"/>
      <c r="L407" s="146"/>
      <c r="M407" s="103"/>
      <c r="N407" s="103"/>
      <c r="O407" s="103">
        <f t="shared" si="1"/>
        <v>0</v>
      </c>
      <c r="P407" s="104">
        <f t="shared" si="2"/>
        <v>0</v>
      </c>
      <c r="Q407" s="147"/>
      <c r="R407" s="103"/>
      <c r="S407" s="103">
        <f t="shared" si="3"/>
        <v>0</v>
      </c>
      <c r="U407" s="107" t="str">
        <f t="shared" si="4"/>
        <v>0</v>
      </c>
    </row>
    <row r="408" ht="15.75" customHeight="1">
      <c r="A408" s="279"/>
      <c r="B408" s="280"/>
      <c r="C408" s="280"/>
      <c r="D408" s="280"/>
      <c r="E408" s="281"/>
      <c r="F408" s="281"/>
      <c r="G408" s="280"/>
      <c r="H408" s="282"/>
      <c r="I408" s="283"/>
      <c r="J408" s="280"/>
      <c r="K408" s="103"/>
      <c r="L408" s="146"/>
      <c r="M408" s="103"/>
      <c r="N408" s="103"/>
      <c r="O408" s="103">
        <f t="shared" si="1"/>
        <v>0</v>
      </c>
      <c r="P408" s="104">
        <f t="shared" si="2"/>
        <v>0</v>
      </c>
      <c r="Q408" s="147"/>
      <c r="R408" s="103"/>
      <c r="S408" s="103">
        <f t="shared" si="3"/>
        <v>0</v>
      </c>
      <c r="U408" s="107" t="str">
        <f t="shared" si="4"/>
        <v>0</v>
      </c>
    </row>
    <row r="409" ht="15.75" customHeight="1">
      <c r="A409" s="279"/>
      <c r="B409" s="280"/>
      <c r="C409" s="280"/>
      <c r="D409" s="280"/>
      <c r="E409" s="281"/>
      <c r="F409" s="281"/>
      <c r="G409" s="280"/>
      <c r="H409" s="282"/>
      <c r="I409" s="283"/>
      <c r="J409" s="280"/>
      <c r="K409" s="103"/>
      <c r="L409" s="146"/>
      <c r="M409" s="103"/>
      <c r="N409" s="103"/>
      <c r="O409" s="103">
        <f t="shared" si="1"/>
        <v>0</v>
      </c>
      <c r="P409" s="104">
        <f t="shared" si="2"/>
        <v>0</v>
      </c>
      <c r="Q409" s="147"/>
      <c r="R409" s="103"/>
      <c r="S409" s="103">
        <f t="shared" si="3"/>
        <v>0</v>
      </c>
      <c r="U409" s="107" t="str">
        <f t="shared" si="4"/>
        <v>0</v>
      </c>
    </row>
    <row r="410" ht="15.75" customHeight="1">
      <c r="A410" s="279"/>
      <c r="B410" s="280"/>
      <c r="C410" s="280"/>
      <c r="D410" s="280"/>
      <c r="E410" s="281"/>
      <c r="F410" s="281"/>
      <c r="G410" s="280"/>
      <c r="H410" s="282"/>
      <c r="I410" s="283"/>
      <c r="J410" s="280"/>
      <c r="K410" s="103"/>
      <c r="L410" s="146"/>
      <c r="M410" s="103"/>
      <c r="N410" s="103"/>
      <c r="O410" s="103">
        <f t="shared" si="1"/>
        <v>0</v>
      </c>
      <c r="P410" s="104">
        <f t="shared" si="2"/>
        <v>0</v>
      </c>
      <c r="Q410" s="147"/>
      <c r="R410" s="103"/>
      <c r="S410" s="103">
        <f t="shared" si="3"/>
        <v>0</v>
      </c>
      <c r="U410" s="107" t="str">
        <f t="shared" si="4"/>
        <v>0</v>
      </c>
    </row>
    <row r="411" ht="15.75" customHeight="1">
      <c r="A411" s="279"/>
      <c r="B411" s="280"/>
      <c r="C411" s="280"/>
      <c r="D411" s="280"/>
      <c r="E411" s="281"/>
      <c r="F411" s="281"/>
      <c r="G411" s="280"/>
      <c r="H411" s="282"/>
      <c r="I411" s="283"/>
      <c r="J411" s="280"/>
      <c r="K411" s="103"/>
      <c r="L411" s="146"/>
      <c r="M411" s="103"/>
      <c r="N411" s="103"/>
      <c r="O411" s="103">
        <f t="shared" si="1"/>
        <v>0</v>
      </c>
      <c r="P411" s="104">
        <f t="shared" si="2"/>
        <v>0</v>
      </c>
      <c r="Q411" s="147"/>
      <c r="R411" s="103"/>
      <c r="S411" s="103">
        <f t="shared" si="3"/>
        <v>0</v>
      </c>
      <c r="U411" s="107" t="str">
        <f t="shared" si="4"/>
        <v>0</v>
      </c>
    </row>
    <row r="412" ht="15.75" customHeight="1">
      <c r="A412" s="279"/>
      <c r="B412" s="280"/>
      <c r="C412" s="280"/>
      <c r="D412" s="280"/>
      <c r="E412" s="281"/>
      <c r="F412" s="281"/>
      <c r="G412" s="280"/>
      <c r="H412" s="282"/>
      <c r="I412" s="283"/>
      <c r="J412" s="280"/>
      <c r="K412" s="103"/>
      <c r="L412" s="146"/>
      <c r="M412" s="103"/>
      <c r="N412" s="103"/>
      <c r="O412" s="103">
        <f t="shared" si="1"/>
        <v>0</v>
      </c>
      <c r="P412" s="104">
        <f t="shared" si="2"/>
        <v>0</v>
      </c>
      <c r="Q412" s="147"/>
      <c r="R412" s="103"/>
      <c r="S412" s="103">
        <f t="shared" si="3"/>
        <v>0</v>
      </c>
      <c r="U412" s="107" t="str">
        <f t="shared" si="4"/>
        <v>0</v>
      </c>
    </row>
    <row r="413" ht="15.75" customHeight="1">
      <c r="A413" s="279"/>
      <c r="B413" s="280"/>
      <c r="C413" s="280"/>
      <c r="D413" s="280"/>
      <c r="E413" s="281"/>
      <c r="F413" s="281"/>
      <c r="G413" s="280"/>
      <c r="H413" s="282"/>
      <c r="I413" s="283"/>
      <c r="J413" s="280"/>
      <c r="K413" s="103"/>
      <c r="L413" s="146"/>
      <c r="M413" s="103"/>
      <c r="N413" s="103"/>
      <c r="O413" s="103">
        <f t="shared" si="1"/>
        <v>0</v>
      </c>
      <c r="P413" s="104">
        <f t="shared" si="2"/>
        <v>0</v>
      </c>
      <c r="Q413" s="147"/>
      <c r="R413" s="103"/>
      <c r="S413" s="103">
        <f t="shared" si="3"/>
        <v>0</v>
      </c>
      <c r="U413" s="107" t="str">
        <f t="shared" si="4"/>
        <v>0</v>
      </c>
    </row>
    <row r="414" ht="15.75" customHeight="1">
      <c r="A414" s="279"/>
      <c r="B414" s="280"/>
      <c r="C414" s="280"/>
      <c r="D414" s="280"/>
      <c r="E414" s="281"/>
      <c r="F414" s="281"/>
      <c r="G414" s="280"/>
      <c r="H414" s="282"/>
      <c r="I414" s="283"/>
      <c r="J414" s="280"/>
      <c r="K414" s="103"/>
      <c r="L414" s="146"/>
      <c r="M414" s="103"/>
      <c r="N414" s="103"/>
      <c r="O414" s="103">
        <f t="shared" si="1"/>
        <v>0</v>
      </c>
      <c r="P414" s="104">
        <f t="shared" si="2"/>
        <v>0</v>
      </c>
      <c r="Q414" s="147"/>
      <c r="R414" s="103"/>
      <c r="S414" s="103">
        <f t="shared" si="3"/>
        <v>0</v>
      </c>
      <c r="U414" s="107" t="str">
        <f t="shared" si="4"/>
        <v>0</v>
      </c>
    </row>
    <row r="415" ht="15.75" customHeight="1">
      <c r="A415" s="279"/>
      <c r="B415" s="280"/>
      <c r="C415" s="280"/>
      <c r="D415" s="280"/>
      <c r="E415" s="281"/>
      <c r="F415" s="281"/>
      <c r="G415" s="280"/>
      <c r="H415" s="282"/>
      <c r="I415" s="283"/>
      <c r="J415" s="280"/>
      <c r="K415" s="103"/>
      <c r="L415" s="146"/>
      <c r="M415" s="103"/>
      <c r="N415" s="103"/>
      <c r="O415" s="103">
        <f t="shared" si="1"/>
        <v>0</v>
      </c>
      <c r="P415" s="104">
        <f t="shared" si="2"/>
        <v>0</v>
      </c>
      <c r="Q415" s="147"/>
      <c r="R415" s="103"/>
      <c r="S415" s="103">
        <f t="shared" si="3"/>
        <v>0</v>
      </c>
      <c r="U415" s="107" t="str">
        <f t="shared" si="4"/>
        <v>0</v>
      </c>
    </row>
    <row r="416" ht="15.75" customHeight="1">
      <c r="A416" s="279"/>
      <c r="B416" s="280"/>
      <c r="C416" s="280"/>
      <c r="D416" s="280"/>
      <c r="E416" s="281"/>
      <c r="F416" s="281"/>
      <c r="G416" s="280"/>
      <c r="H416" s="282"/>
      <c r="I416" s="283"/>
      <c r="J416" s="280"/>
      <c r="K416" s="103"/>
      <c r="L416" s="146"/>
      <c r="M416" s="103"/>
      <c r="N416" s="103"/>
      <c r="O416" s="103">
        <f t="shared" si="1"/>
        <v>0</v>
      </c>
      <c r="P416" s="104">
        <f t="shared" si="2"/>
        <v>0</v>
      </c>
      <c r="Q416" s="147"/>
      <c r="R416" s="103"/>
      <c r="S416" s="103">
        <f t="shared" si="3"/>
        <v>0</v>
      </c>
      <c r="U416" s="107" t="str">
        <f t="shared" si="4"/>
        <v>0</v>
      </c>
    </row>
    <row r="417" ht="15.75" customHeight="1">
      <c r="A417" s="279"/>
      <c r="B417" s="280"/>
      <c r="C417" s="280"/>
      <c r="D417" s="280"/>
      <c r="E417" s="281"/>
      <c r="F417" s="281"/>
      <c r="G417" s="280"/>
      <c r="H417" s="282"/>
      <c r="I417" s="283"/>
      <c r="J417" s="280"/>
      <c r="K417" s="103"/>
      <c r="L417" s="146"/>
      <c r="M417" s="103"/>
      <c r="N417" s="103"/>
      <c r="O417" s="103">
        <f t="shared" si="1"/>
        <v>0</v>
      </c>
      <c r="P417" s="104">
        <f t="shared" si="2"/>
        <v>0</v>
      </c>
      <c r="Q417" s="147"/>
      <c r="R417" s="103"/>
      <c r="S417" s="103">
        <f t="shared" si="3"/>
        <v>0</v>
      </c>
      <c r="U417" s="107" t="str">
        <f t="shared" si="4"/>
        <v>0</v>
      </c>
    </row>
    <row r="418" ht="15.75" customHeight="1">
      <c r="A418" s="279"/>
      <c r="B418" s="280"/>
      <c r="C418" s="280"/>
      <c r="D418" s="280"/>
      <c r="E418" s="281"/>
      <c r="F418" s="281"/>
      <c r="G418" s="280"/>
      <c r="H418" s="282"/>
      <c r="I418" s="283"/>
      <c r="J418" s="280"/>
      <c r="K418" s="103"/>
      <c r="L418" s="146"/>
      <c r="M418" s="103"/>
      <c r="N418" s="103"/>
      <c r="O418" s="103">
        <f t="shared" si="1"/>
        <v>0</v>
      </c>
      <c r="P418" s="104">
        <f t="shared" si="2"/>
        <v>0</v>
      </c>
      <c r="Q418" s="147"/>
      <c r="R418" s="103"/>
      <c r="S418" s="103">
        <f t="shared" si="3"/>
        <v>0</v>
      </c>
      <c r="U418" s="107" t="str">
        <f t="shared" si="4"/>
        <v>0</v>
      </c>
    </row>
    <row r="419" ht="15.75" customHeight="1">
      <c r="A419" s="279"/>
      <c r="B419" s="280"/>
      <c r="C419" s="280"/>
      <c r="D419" s="280"/>
      <c r="E419" s="281"/>
      <c r="F419" s="281"/>
      <c r="G419" s="280"/>
      <c r="H419" s="282"/>
      <c r="I419" s="283"/>
      <c r="J419" s="280"/>
      <c r="K419" s="103"/>
      <c r="L419" s="146"/>
      <c r="M419" s="103"/>
      <c r="N419" s="103"/>
      <c r="O419" s="103">
        <f t="shared" si="1"/>
        <v>0</v>
      </c>
      <c r="P419" s="104">
        <f t="shared" si="2"/>
        <v>0</v>
      </c>
      <c r="Q419" s="147"/>
      <c r="R419" s="103"/>
      <c r="S419" s="103">
        <f t="shared" si="3"/>
        <v>0</v>
      </c>
      <c r="U419" s="107" t="str">
        <f t="shared" si="4"/>
        <v>0</v>
      </c>
    </row>
    <row r="420" ht="15.75" customHeight="1">
      <c r="A420" s="279"/>
      <c r="B420" s="280"/>
      <c r="C420" s="280"/>
      <c r="D420" s="280"/>
      <c r="E420" s="281"/>
      <c r="F420" s="281"/>
      <c r="G420" s="280"/>
      <c r="H420" s="282"/>
      <c r="I420" s="283"/>
      <c r="J420" s="280"/>
      <c r="K420" s="103"/>
      <c r="L420" s="146"/>
      <c r="M420" s="103"/>
      <c r="N420" s="103"/>
      <c r="O420" s="103">
        <f t="shared" si="1"/>
        <v>0</v>
      </c>
      <c r="P420" s="104">
        <f t="shared" si="2"/>
        <v>0</v>
      </c>
      <c r="Q420" s="147"/>
      <c r="R420" s="103"/>
      <c r="S420" s="103">
        <f t="shared" si="3"/>
        <v>0</v>
      </c>
      <c r="U420" s="107" t="str">
        <f t="shared" si="4"/>
        <v>0</v>
      </c>
    </row>
    <row r="421" ht="15.75" customHeight="1">
      <c r="A421" s="279"/>
      <c r="B421" s="280"/>
      <c r="C421" s="280"/>
      <c r="D421" s="280"/>
      <c r="E421" s="281"/>
      <c r="F421" s="281"/>
      <c r="G421" s="280"/>
      <c r="H421" s="282"/>
      <c r="I421" s="283"/>
      <c r="J421" s="280"/>
      <c r="K421" s="103"/>
      <c r="L421" s="146"/>
      <c r="M421" s="103"/>
      <c r="N421" s="103"/>
      <c r="O421" s="103">
        <f t="shared" si="1"/>
        <v>0</v>
      </c>
      <c r="P421" s="104">
        <f t="shared" si="2"/>
        <v>0</v>
      </c>
      <c r="Q421" s="147"/>
      <c r="R421" s="103"/>
      <c r="S421" s="103">
        <f t="shared" si="3"/>
        <v>0</v>
      </c>
      <c r="U421" s="107" t="str">
        <f t="shared" si="4"/>
        <v>0</v>
      </c>
    </row>
    <row r="422" ht="15.75" customHeight="1">
      <c r="A422" s="279"/>
      <c r="B422" s="280"/>
      <c r="C422" s="280"/>
      <c r="D422" s="280"/>
      <c r="E422" s="281"/>
      <c r="F422" s="281"/>
      <c r="G422" s="280"/>
      <c r="H422" s="282"/>
      <c r="I422" s="283"/>
      <c r="J422" s="280"/>
      <c r="K422" s="103"/>
      <c r="L422" s="146"/>
      <c r="M422" s="103"/>
      <c r="N422" s="103"/>
      <c r="O422" s="103">
        <f t="shared" si="1"/>
        <v>0</v>
      </c>
      <c r="P422" s="104">
        <f t="shared" si="2"/>
        <v>0</v>
      </c>
      <c r="Q422" s="147"/>
      <c r="R422" s="103"/>
      <c r="S422" s="103">
        <f t="shared" si="3"/>
        <v>0</v>
      </c>
      <c r="U422" s="107" t="str">
        <f t="shared" si="4"/>
        <v>0</v>
      </c>
    </row>
    <row r="423" ht="15.75" customHeight="1">
      <c r="A423" s="279"/>
      <c r="B423" s="280"/>
      <c r="C423" s="280"/>
      <c r="D423" s="280"/>
      <c r="E423" s="281"/>
      <c r="F423" s="281"/>
      <c r="G423" s="280"/>
      <c r="H423" s="282"/>
      <c r="I423" s="283"/>
      <c r="J423" s="280"/>
      <c r="K423" s="103"/>
      <c r="L423" s="146"/>
      <c r="M423" s="103"/>
      <c r="N423" s="103"/>
      <c r="O423" s="103">
        <f t="shared" si="1"/>
        <v>0</v>
      </c>
      <c r="P423" s="104">
        <f t="shared" si="2"/>
        <v>0</v>
      </c>
      <c r="Q423" s="147"/>
      <c r="R423" s="103"/>
      <c r="S423" s="103">
        <f t="shared" si="3"/>
        <v>0</v>
      </c>
      <c r="U423" s="107" t="str">
        <f t="shared" si="4"/>
        <v>0</v>
      </c>
    </row>
    <row r="424" ht="15.75" customHeight="1">
      <c r="A424" s="279"/>
      <c r="B424" s="280"/>
      <c r="C424" s="280"/>
      <c r="D424" s="280"/>
      <c r="E424" s="281"/>
      <c r="F424" s="281"/>
      <c r="G424" s="280"/>
      <c r="H424" s="282"/>
      <c r="I424" s="283"/>
      <c r="J424" s="280"/>
      <c r="K424" s="103"/>
      <c r="L424" s="146"/>
      <c r="M424" s="103"/>
      <c r="N424" s="103"/>
      <c r="O424" s="103">
        <f t="shared" si="1"/>
        <v>0</v>
      </c>
      <c r="P424" s="104">
        <f t="shared" si="2"/>
        <v>0</v>
      </c>
      <c r="Q424" s="147"/>
      <c r="R424" s="103"/>
      <c r="S424" s="103">
        <f t="shared" si="3"/>
        <v>0</v>
      </c>
      <c r="U424" s="107" t="str">
        <f t="shared" si="4"/>
        <v>0</v>
      </c>
    </row>
    <row r="425" ht="15.75" customHeight="1">
      <c r="A425" s="279"/>
      <c r="B425" s="280"/>
      <c r="C425" s="280"/>
      <c r="D425" s="280"/>
      <c r="E425" s="281"/>
      <c r="F425" s="281"/>
      <c r="G425" s="280"/>
      <c r="H425" s="282"/>
      <c r="I425" s="283"/>
      <c r="J425" s="280"/>
      <c r="K425" s="103"/>
      <c r="L425" s="146"/>
      <c r="M425" s="103"/>
      <c r="N425" s="103"/>
      <c r="O425" s="103">
        <f t="shared" si="1"/>
        <v>0</v>
      </c>
      <c r="P425" s="104">
        <f t="shared" si="2"/>
        <v>0</v>
      </c>
      <c r="Q425" s="147"/>
      <c r="R425" s="103"/>
      <c r="S425" s="103">
        <f t="shared" si="3"/>
        <v>0</v>
      </c>
      <c r="U425" s="107" t="str">
        <f t="shared" si="4"/>
        <v>0</v>
      </c>
    </row>
    <row r="426" ht="15.75" customHeight="1">
      <c r="A426" s="279"/>
      <c r="B426" s="280"/>
      <c r="C426" s="280"/>
      <c r="D426" s="280"/>
      <c r="E426" s="281"/>
      <c r="F426" s="281"/>
      <c r="G426" s="280"/>
      <c r="H426" s="282"/>
      <c r="I426" s="283"/>
      <c r="J426" s="280"/>
      <c r="K426" s="103"/>
      <c r="L426" s="146"/>
      <c r="M426" s="103"/>
      <c r="N426" s="103"/>
      <c r="O426" s="103">
        <f t="shared" si="1"/>
        <v>0</v>
      </c>
      <c r="P426" s="104">
        <f t="shared" si="2"/>
        <v>0</v>
      </c>
      <c r="Q426" s="147"/>
      <c r="R426" s="103"/>
      <c r="S426" s="103">
        <f t="shared" si="3"/>
        <v>0</v>
      </c>
      <c r="U426" s="107" t="str">
        <f t="shared" si="4"/>
        <v>0</v>
      </c>
    </row>
    <row r="427" ht="15.75" customHeight="1">
      <c r="A427" s="279"/>
      <c r="B427" s="280"/>
      <c r="C427" s="280"/>
      <c r="D427" s="280"/>
      <c r="E427" s="281"/>
      <c r="F427" s="281"/>
      <c r="G427" s="280"/>
      <c r="H427" s="282"/>
      <c r="I427" s="283"/>
      <c r="J427" s="280"/>
      <c r="K427" s="103"/>
      <c r="L427" s="146"/>
      <c r="M427" s="103"/>
      <c r="N427" s="103"/>
      <c r="O427" s="103">
        <f t="shared" si="1"/>
        <v>0</v>
      </c>
      <c r="P427" s="104">
        <f t="shared" si="2"/>
        <v>0</v>
      </c>
      <c r="Q427" s="147"/>
      <c r="R427" s="103"/>
      <c r="S427" s="103">
        <f t="shared" si="3"/>
        <v>0</v>
      </c>
      <c r="U427" s="107" t="str">
        <f t="shared" si="4"/>
        <v>0</v>
      </c>
    </row>
    <row r="428" ht="15.75" customHeight="1">
      <c r="A428" s="279"/>
      <c r="B428" s="280"/>
      <c r="C428" s="280"/>
      <c r="D428" s="280"/>
      <c r="E428" s="281"/>
      <c r="F428" s="281"/>
      <c r="G428" s="280"/>
      <c r="H428" s="282"/>
      <c r="I428" s="283"/>
      <c r="J428" s="280"/>
      <c r="K428" s="103"/>
      <c r="L428" s="146"/>
      <c r="M428" s="103"/>
      <c r="N428" s="103"/>
      <c r="O428" s="103">
        <f t="shared" si="1"/>
        <v>0</v>
      </c>
      <c r="P428" s="104">
        <f t="shared" si="2"/>
        <v>0</v>
      </c>
      <c r="Q428" s="147"/>
      <c r="R428" s="103"/>
      <c r="S428" s="103">
        <f t="shared" si="3"/>
        <v>0</v>
      </c>
      <c r="U428" s="107" t="str">
        <f t="shared" si="4"/>
        <v>0</v>
      </c>
    </row>
    <row r="429" ht="15.75" customHeight="1">
      <c r="A429" s="279"/>
      <c r="B429" s="280"/>
      <c r="C429" s="280"/>
      <c r="D429" s="280"/>
      <c r="E429" s="281"/>
      <c r="F429" s="281"/>
      <c r="G429" s="280"/>
      <c r="H429" s="282"/>
      <c r="I429" s="283"/>
      <c r="J429" s="280"/>
      <c r="K429" s="103"/>
      <c r="L429" s="146"/>
      <c r="M429" s="103"/>
      <c r="N429" s="103"/>
      <c r="O429" s="103">
        <f t="shared" si="1"/>
        <v>0</v>
      </c>
      <c r="P429" s="104">
        <f t="shared" si="2"/>
        <v>0</v>
      </c>
      <c r="Q429" s="147"/>
      <c r="R429" s="103"/>
      <c r="S429" s="103">
        <f t="shared" si="3"/>
        <v>0</v>
      </c>
      <c r="U429" s="107" t="str">
        <f t="shared" si="4"/>
        <v>0</v>
      </c>
    </row>
    <row r="430" ht="15.75" customHeight="1">
      <c r="A430" s="279"/>
      <c r="B430" s="280"/>
      <c r="C430" s="280"/>
      <c r="D430" s="280"/>
      <c r="E430" s="281"/>
      <c r="F430" s="281"/>
      <c r="G430" s="280"/>
      <c r="H430" s="282"/>
      <c r="I430" s="283"/>
      <c r="J430" s="280"/>
      <c r="K430" s="103"/>
      <c r="L430" s="146"/>
      <c r="M430" s="103"/>
      <c r="N430" s="103"/>
      <c r="O430" s="103">
        <f t="shared" si="1"/>
        <v>0</v>
      </c>
      <c r="P430" s="104">
        <f t="shared" si="2"/>
        <v>0</v>
      </c>
      <c r="Q430" s="147"/>
      <c r="R430" s="103"/>
      <c r="S430" s="103">
        <f t="shared" si="3"/>
        <v>0</v>
      </c>
      <c r="U430" s="107" t="str">
        <f t="shared" si="4"/>
        <v>0</v>
      </c>
    </row>
    <row r="431" ht="15.75" customHeight="1">
      <c r="A431" s="279"/>
      <c r="B431" s="280"/>
      <c r="C431" s="280"/>
      <c r="D431" s="280"/>
      <c r="E431" s="281"/>
      <c r="F431" s="281"/>
      <c r="G431" s="280"/>
      <c r="H431" s="282"/>
      <c r="I431" s="283"/>
      <c r="J431" s="280"/>
      <c r="K431" s="103"/>
      <c r="L431" s="146"/>
      <c r="M431" s="103"/>
      <c r="N431" s="103"/>
      <c r="O431" s="103">
        <f t="shared" si="1"/>
        <v>0</v>
      </c>
      <c r="P431" s="104">
        <f t="shared" si="2"/>
        <v>0</v>
      </c>
      <c r="Q431" s="147"/>
      <c r="R431" s="103"/>
      <c r="S431" s="103">
        <f t="shared" si="3"/>
        <v>0</v>
      </c>
      <c r="U431" s="107" t="str">
        <f t="shared" si="4"/>
        <v>0</v>
      </c>
    </row>
    <row r="432" ht="15.75" customHeight="1">
      <c r="A432" s="279"/>
      <c r="B432" s="280"/>
      <c r="C432" s="280"/>
      <c r="D432" s="280"/>
      <c r="E432" s="281"/>
      <c r="F432" s="281"/>
      <c r="G432" s="280"/>
      <c r="H432" s="282"/>
      <c r="I432" s="283"/>
      <c r="J432" s="280"/>
      <c r="K432" s="103"/>
      <c r="L432" s="146"/>
      <c r="M432" s="103"/>
      <c r="N432" s="103"/>
      <c r="O432" s="103">
        <f t="shared" si="1"/>
        <v>0</v>
      </c>
      <c r="P432" s="104">
        <f t="shared" si="2"/>
        <v>0</v>
      </c>
      <c r="Q432" s="147"/>
      <c r="R432" s="103"/>
      <c r="S432" s="103">
        <f t="shared" si="3"/>
        <v>0</v>
      </c>
      <c r="U432" s="107" t="str">
        <f t="shared" si="4"/>
        <v>0</v>
      </c>
    </row>
    <row r="433" ht="15.75" customHeight="1">
      <c r="A433" s="279"/>
      <c r="B433" s="280"/>
      <c r="C433" s="280"/>
      <c r="D433" s="280"/>
      <c r="E433" s="281"/>
      <c r="F433" s="281"/>
      <c r="G433" s="280"/>
      <c r="H433" s="282"/>
      <c r="I433" s="283"/>
      <c r="J433" s="280"/>
      <c r="K433" s="103"/>
      <c r="L433" s="146"/>
      <c r="M433" s="103"/>
      <c r="N433" s="103"/>
      <c r="O433" s="103">
        <f t="shared" si="1"/>
        <v>0</v>
      </c>
      <c r="P433" s="104">
        <f t="shared" si="2"/>
        <v>0</v>
      </c>
      <c r="Q433" s="147"/>
      <c r="R433" s="103"/>
      <c r="S433" s="103">
        <f t="shared" si="3"/>
        <v>0</v>
      </c>
      <c r="U433" s="107" t="str">
        <f t="shared" si="4"/>
        <v>0</v>
      </c>
    </row>
    <row r="434" ht="15.75" customHeight="1">
      <c r="A434" s="279"/>
      <c r="B434" s="280"/>
      <c r="C434" s="280"/>
      <c r="D434" s="280"/>
      <c r="E434" s="281"/>
      <c r="F434" s="281"/>
      <c r="G434" s="280"/>
      <c r="H434" s="282"/>
      <c r="I434" s="283"/>
      <c r="J434" s="280"/>
      <c r="K434" s="103"/>
      <c r="L434" s="146"/>
      <c r="M434" s="103"/>
      <c r="N434" s="103"/>
      <c r="O434" s="103">
        <f t="shared" si="1"/>
        <v>0</v>
      </c>
      <c r="P434" s="104">
        <f t="shared" si="2"/>
        <v>0</v>
      </c>
      <c r="Q434" s="147"/>
      <c r="R434" s="103"/>
      <c r="S434" s="103">
        <f t="shared" si="3"/>
        <v>0</v>
      </c>
      <c r="U434" s="107" t="str">
        <f t="shared" si="4"/>
        <v>0</v>
      </c>
    </row>
    <row r="435" ht="15.75" customHeight="1">
      <c r="A435" s="279"/>
      <c r="B435" s="280"/>
      <c r="C435" s="280"/>
      <c r="D435" s="280"/>
      <c r="E435" s="281"/>
      <c r="F435" s="281"/>
      <c r="G435" s="280"/>
      <c r="H435" s="282"/>
      <c r="I435" s="283"/>
      <c r="J435" s="280"/>
      <c r="K435" s="103"/>
      <c r="L435" s="146"/>
      <c r="M435" s="103"/>
      <c r="N435" s="103"/>
      <c r="O435" s="103">
        <f t="shared" si="1"/>
        <v>0</v>
      </c>
      <c r="P435" s="104">
        <f t="shared" si="2"/>
        <v>0</v>
      </c>
      <c r="Q435" s="147"/>
      <c r="R435" s="103"/>
      <c r="S435" s="103">
        <f t="shared" si="3"/>
        <v>0</v>
      </c>
      <c r="U435" s="107" t="str">
        <f t="shared" si="4"/>
        <v>0</v>
      </c>
    </row>
    <row r="436" ht="15.75" customHeight="1">
      <c r="A436" s="279"/>
      <c r="B436" s="280"/>
      <c r="C436" s="280"/>
      <c r="D436" s="280"/>
      <c r="E436" s="281"/>
      <c r="F436" s="281"/>
      <c r="G436" s="280"/>
      <c r="H436" s="282"/>
      <c r="I436" s="283"/>
      <c r="J436" s="280"/>
      <c r="K436" s="103"/>
      <c r="L436" s="146"/>
      <c r="M436" s="103"/>
      <c r="N436" s="103"/>
      <c r="O436" s="103">
        <f t="shared" si="1"/>
        <v>0</v>
      </c>
      <c r="P436" s="104">
        <f t="shared" si="2"/>
        <v>0</v>
      </c>
      <c r="Q436" s="147"/>
      <c r="R436" s="103"/>
      <c r="S436" s="103">
        <f t="shared" si="3"/>
        <v>0</v>
      </c>
      <c r="U436" s="107" t="str">
        <f t="shared" si="4"/>
        <v>0</v>
      </c>
    </row>
    <row r="437" ht="15.75" customHeight="1">
      <c r="A437" s="279"/>
      <c r="B437" s="280"/>
      <c r="C437" s="280"/>
      <c r="D437" s="280"/>
      <c r="E437" s="281"/>
      <c r="F437" s="281"/>
      <c r="G437" s="280"/>
      <c r="H437" s="282"/>
      <c r="I437" s="283"/>
      <c r="J437" s="280"/>
      <c r="K437" s="103"/>
      <c r="L437" s="146"/>
      <c r="M437" s="103"/>
      <c r="N437" s="103"/>
      <c r="O437" s="103">
        <f t="shared" si="1"/>
        <v>0</v>
      </c>
      <c r="P437" s="104">
        <f t="shared" si="2"/>
        <v>0</v>
      </c>
      <c r="Q437" s="147"/>
      <c r="R437" s="103"/>
      <c r="S437" s="103">
        <f t="shared" si="3"/>
        <v>0</v>
      </c>
      <c r="U437" s="107" t="str">
        <f t="shared" si="4"/>
        <v>0</v>
      </c>
    </row>
    <row r="438" ht="15.75" customHeight="1">
      <c r="A438" s="279"/>
      <c r="B438" s="280"/>
      <c r="C438" s="280"/>
      <c r="D438" s="280"/>
      <c r="E438" s="281"/>
      <c r="F438" s="281"/>
      <c r="G438" s="280"/>
      <c r="H438" s="282"/>
      <c r="I438" s="283"/>
      <c r="J438" s="280"/>
      <c r="K438" s="103"/>
      <c r="L438" s="146"/>
      <c r="M438" s="103"/>
      <c r="N438" s="103"/>
      <c r="O438" s="103">
        <f t="shared" si="1"/>
        <v>0</v>
      </c>
      <c r="P438" s="104">
        <f t="shared" si="2"/>
        <v>0</v>
      </c>
      <c r="Q438" s="147"/>
      <c r="R438" s="103"/>
      <c r="S438" s="103">
        <f t="shared" si="3"/>
        <v>0</v>
      </c>
      <c r="U438" s="107" t="str">
        <f t="shared" si="4"/>
        <v>0</v>
      </c>
    </row>
    <row r="439" ht="15.75" customHeight="1">
      <c r="A439" s="279"/>
      <c r="B439" s="280"/>
      <c r="C439" s="280"/>
      <c r="D439" s="280"/>
      <c r="E439" s="281"/>
      <c r="F439" s="281"/>
      <c r="G439" s="280"/>
      <c r="H439" s="282"/>
      <c r="I439" s="283"/>
      <c r="J439" s="280"/>
      <c r="K439" s="103"/>
      <c r="L439" s="146"/>
      <c r="M439" s="103"/>
      <c r="N439" s="103"/>
      <c r="O439" s="103">
        <f t="shared" si="1"/>
        <v>0</v>
      </c>
      <c r="P439" s="104">
        <f t="shared" si="2"/>
        <v>0</v>
      </c>
      <c r="Q439" s="147"/>
      <c r="R439" s="103"/>
      <c r="S439" s="103">
        <f t="shared" si="3"/>
        <v>0</v>
      </c>
      <c r="U439" s="107" t="str">
        <f t="shared" si="4"/>
        <v>0</v>
      </c>
    </row>
    <row r="440" ht="15.75" customHeight="1">
      <c r="A440" s="279"/>
      <c r="B440" s="280"/>
      <c r="C440" s="280"/>
      <c r="D440" s="280"/>
      <c r="E440" s="281"/>
      <c r="F440" s="281"/>
      <c r="G440" s="280"/>
      <c r="H440" s="282"/>
      <c r="I440" s="283"/>
      <c r="J440" s="280"/>
      <c r="K440" s="103"/>
      <c r="L440" s="146"/>
      <c r="M440" s="103"/>
      <c r="N440" s="103"/>
      <c r="O440" s="103">
        <f t="shared" si="1"/>
        <v>0</v>
      </c>
      <c r="P440" s="104">
        <f t="shared" si="2"/>
        <v>0</v>
      </c>
      <c r="Q440" s="147"/>
      <c r="R440" s="103"/>
      <c r="S440" s="103">
        <f t="shared" si="3"/>
        <v>0</v>
      </c>
      <c r="U440" s="107" t="str">
        <f t="shared" si="4"/>
        <v>0</v>
      </c>
    </row>
    <row r="441" ht="15.75" customHeight="1">
      <c r="A441" s="279"/>
      <c r="B441" s="280"/>
      <c r="C441" s="280"/>
      <c r="D441" s="280"/>
      <c r="E441" s="281"/>
      <c r="F441" s="281"/>
      <c r="G441" s="280"/>
      <c r="H441" s="282"/>
      <c r="I441" s="283"/>
      <c r="J441" s="280"/>
      <c r="K441" s="103"/>
      <c r="L441" s="146"/>
      <c r="M441" s="103"/>
      <c r="N441" s="103"/>
      <c r="O441" s="103">
        <f t="shared" si="1"/>
        <v>0</v>
      </c>
      <c r="P441" s="104">
        <f t="shared" si="2"/>
        <v>0</v>
      </c>
      <c r="Q441" s="147"/>
      <c r="R441" s="103"/>
      <c r="S441" s="103">
        <f t="shared" si="3"/>
        <v>0</v>
      </c>
      <c r="U441" s="107" t="str">
        <f t="shared" si="4"/>
        <v>0</v>
      </c>
    </row>
    <row r="442" ht="15.75" customHeight="1">
      <c r="A442" s="279"/>
      <c r="B442" s="280"/>
      <c r="C442" s="280"/>
      <c r="D442" s="280"/>
      <c r="E442" s="281"/>
      <c r="F442" s="281"/>
      <c r="G442" s="280"/>
      <c r="H442" s="282"/>
      <c r="I442" s="283"/>
      <c r="J442" s="280"/>
      <c r="K442" s="103"/>
      <c r="L442" s="146"/>
      <c r="M442" s="103"/>
      <c r="N442" s="103"/>
      <c r="O442" s="103">
        <f t="shared" si="1"/>
        <v>0</v>
      </c>
      <c r="P442" s="104">
        <f t="shared" si="2"/>
        <v>0</v>
      </c>
      <c r="Q442" s="147"/>
      <c r="R442" s="103"/>
      <c r="S442" s="103">
        <f t="shared" si="3"/>
        <v>0</v>
      </c>
      <c r="U442" s="107" t="str">
        <f t="shared" si="4"/>
        <v>0</v>
      </c>
    </row>
    <row r="443" ht="15.75" customHeight="1">
      <c r="A443" s="279"/>
      <c r="B443" s="280"/>
      <c r="C443" s="280"/>
      <c r="D443" s="280"/>
      <c r="E443" s="281"/>
      <c r="F443" s="281"/>
      <c r="G443" s="280"/>
      <c r="H443" s="282"/>
      <c r="I443" s="283"/>
      <c r="J443" s="280"/>
      <c r="K443" s="103"/>
      <c r="L443" s="146"/>
      <c r="M443" s="103"/>
      <c r="N443" s="103"/>
      <c r="O443" s="103">
        <f t="shared" si="1"/>
        <v>0</v>
      </c>
      <c r="P443" s="104">
        <f t="shared" si="2"/>
        <v>0</v>
      </c>
      <c r="Q443" s="147"/>
      <c r="R443" s="103"/>
      <c r="S443" s="103">
        <f t="shared" si="3"/>
        <v>0</v>
      </c>
      <c r="U443" s="107" t="str">
        <f t="shared" si="4"/>
        <v>0</v>
      </c>
    </row>
    <row r="444" ht="15.75" customHeight="1">
      <c r="A444" s="279"/>
      <c r="B444" s="280"/>
      <c r="C444" s="280"/>
      <c r="D444" s="280"/>
      <c r="E444" s="281"/>
      <c r="F444" s="281"/>
      <c r="G444" s="280"/>
      <c r="H444" s="282"/>
      <c r="I444" s="283"/>
      <c r="J444" s="280"/>
      <c r="K444" s="103"/>
      <c r="L444" s="146"/>
      <c r="M444" s="103"/>
      <c r="N444" s="103"/>
      <c r="O444" s="103">
        <f t="shared" si="1"/>
        <v>0</v>
      </c>
      <c r="P444" s="104">
        <f t="shared" si="2"/>
        <v>0</v>
      </c>
      <c r="Q444" s="147"/>
      <c r="R444" s="103"/>
      <c r="S444" s="103">
        <f t="shared" si="3"/>
        <v>0</v>
      </c>
      <c r="U444" s="107" t="str">
        <f t="shared" si="4"/>
        <v>0</v>
      </c>
    </row>
    <row r="445" ht="15.75" customHeight="1">
      <c r="A445" s="279"/>
      <c r="B445" s="280"/>
      <c r="C445" s="280"/>
      <c r="D445" s="280"/>
      <c r="E445" s="281"/>
      <c r="F445" s="281"/>
      <c r="G445" s="280"/>
      <c r="H445" s="282"/>
      <c r="I445" s="283"/>
      <c r="J445" s="280"/>
      <c r="K445" s="103"/>
      <c r="L445" s="146"/>
      <c r="M445" s="103"/>
      <c r="N445" s="103"/>
      <c r="O445" s="103">
        <f t="shared" si="1"/>
        <v>0</v>
      </c>
      <c r="P445" s="104">
        <f t="shared" si="2"/>
        <v>0</v>
      </c>
      <c r="Q445" s="147"/>
      <c r="R445" s="103"/>
      <c r="S445" s="103">
        <f t="shared" si="3"/>
        <v>0</v>
      </c>
      <c r="U445" s="107" t="str">
        <f t="shared" si="4"/>
        <v>0</v>
      </c>
    </row>
    <row r="446" ht="15.75" customHeight="1">
      <c r="A446" s="279"/>
      <c r="B446" s="280"/>
      <c r="C446" s="280"/>
      <c r="D446" s="280"/>
      <c r="E446" s="281"/>
      <c r="F446" s="281"/>
      <c r="G446" s="280"/>
      <c r="H446" s="282"/>
      <c r="I446" s="283"/>
      <c r="J446" s="280"/>
      <c r="K446" s="103"/>
      <c r="L446" s="146"/>
      <c r="M446" s="103"/>
      <c r="N446" s="103"/>
      <c r="O446" s="103">
        <f t="shared" si="1"/>
        <v>0</v>
      </c>
      <c r="P446" s="104">
        <f t="shared" si="2"/>
        <v>0</v>
      </c>
      <c r="Q446" s="147"/>
      <c r="R446" s="103"/>
      <c r="S446" s="103">
        <f t="shared" si="3"/>
        <v>0</v>
      </c>
      <c r="U446" s="107" t="str">
        <f t="shared" si="4"/>
        <v>0</v>
      </c>
    </row>
    <row r="447" ht="15.75" customHeight="1">
      <c r="A447" s="279"/>
      <c r="B447" s="280"/>
      <c r="C447" s="280"/>
      <c r="D447" s="280"/>
      <c r="E447" s="281"/>
      <c r="F447" s="281"/>
      <c r="G447" s="280"/>
      <c r="H447" s="282"/>
      <c r="I447" s="283"/>
      <c r="J447" s="280"/>
      <c r="K447" s="103"/>
      <c r="L447" s="146"/>
      <c r="M447" s="103"/>
      <c r="N447" s="103"/>
      <c r="O447" s="103">
        <f t="shared" si="1"/>
        <v>0</v>
      </c>
      <c r="P447" s="104">
        <f t="shared" si="2"/>
        <v>0</v>
      </c>
      <c r="Q447" s="147"/>
      <c r="R447" s="103"/>
      <c r="S447" s="103">
        <f t="shared" si="3"/>
        <v>0</v>
      </c>
      <c r="U447" s="107" t="str">
        <f t="shared" si="4"/>
        <v>0</v>
      </c>
    </row>
    <row r="448" ht="15.75" customHeight="1">
      <c r="A448" s="279"/>
      <c r="B448" s="280"/>
      <c r="C448" s="280"/>
      <c r="D448" s="280"/>
      <c r="E448" s="281"/>
      <c r="F448" s="281"/>
      <c r="G448" s="280"/>
      <c r="H448" s="282"/>
      <c r="I448" s="283"/>
      <c r="J448" s="280"/>
      <c r="K448" s="103"/>
      <c r="L448" s="146"/>
      <c r="M448" s="103"/>
      <c r="N448" s="103"/>
      <c r="O448" s="103">
        <f t="shared" si="1"/>
        <v>0</v>
      </c>
      <c r="P448" s="104">
        <f t="shared" si="2"/>
        <v>0</v>
      </c>
      <c r="Q448" s="147"/>
      <c r="R448" s="103"/>
      <c r="S448" s="103">
        <f t="shared" si="3"/>
        <v>0</v>
      </c>
      <c r="U448" s="107" t="str">
        <f t="shared" si="4"/>
        <v>0</v>
      </c>
    </row>
    <row r="449" ht="15.75" customHeight="1">
      <c r="A449" s="279"/>
      <c r="B449" s="280"/>
      <c r="C449" s="280"/>
      <c r="D449" s="280"/>
      <c r="E449" s="281"/>
      <c r="F449" s="281"/>
      <c r="G449" s="280"/>
      <c r="H449" s="282"/>
      <c r="I449" s="283"/>
      <c r="J449" s="280"/>
      <c r="K449" s="103"/>
      <c r="L449" s="146"/>
      <c r="M449" s="103"/>
      <c r="N449" s="103"/>
      <c r="O449" s="103">
        <f t="shared" si="1"/>
        <v>0</v>
      </c>
      <c r="P449" s="104">
        <f t="shared" si="2"/>
        <v>0</v>
      </c>
      <c r="Q449" s="147"/>
      <c r="R449" s="103"/>
      <c r="S449" s="103">
        <f t="shared" si="3"/>
        <v>0</v>
      </c>
      <c r="U449" s="107" t="str">
        <f t="shared" si="4"/>
        <v>0</v>
      </c>
    </row>
    <row r="450" ht="15.75" customHeight="1">
      <c r="A450" s="279"/>
      <c r="B450" s="280"/>
      <c r="C450" s="280"/>
      <c r="D450" s="280"/>
      <c r="E450" s="281"/>
      <c r="F450" s="281"/>
      <c r="G450" s="280"/>
      <c r="H450" s="282"/>
      <c r="I450" s="283"/>
      <c r="J450" s="280"/>
      <c r="K450" s="103"/>
      <c r="L450" s="146"/>
      <c r="M450" s="103"/>
      <c r="N450" s="103"/>
      <c r="O450" s="103">
        <f t="shared" si="1"/>
        <v>0</v>
      </c>
      <c r="P450" s="104">
        <f t="shared" si="2"/>
        <v>0</v>
      </c>
      <c r="Q450" s="147"/>
      <c r="R450" s="103"/>
      <c r="S450" s="103">
        <f t="shared" si="3"/>
        <v>0</v>
      </c>
      <c r="U450" s="107" t="str">
        <f t="shared" si="4"/>
        <v>0</v>
      </c>
    </row>
    <row r="451" ht="15.75" customHeight="1">
      <c r="A451" s="279"/>
      <c r="B451" s="280"/>
      <c r="C451" s="280"/>
      <c r="D451" s="280"/>
      <c r="E451" s="281"/>
      <c r="F451" s="281"/>
      <c r="G451" s="280"/>
      <c r="H451" s="282"/>
      <c r="I451" s="283"/>
      <c r="J451" s="280"/>
      <c r="K451" s="103"/>
      <c r="L451" s="146"/>
      <c r="M451" s="103"/>
      <c r="N451" s="103"/>
      <c r="O451" s="103">
        <f t="shared" si="1"/>
        <v>0</v>
      </c>
      <c r="P451" s="104">
        <f t="shared" si="2"/>
        <v>0</v>
      </c>
      <c r="Q451" s="147"/>
      <c r="R451" s="103"/>
      <c r="S451" s="103">
        <f t="shared" si="3"/>
        <v>0</v>
      </c>
      <c r="U451" s="107" t="str">
        <f t="shared" si="4"/>
        <v>0</v>
      </c>
    </row>
    <row r="452" ht="15.75" customHeight="1">
      <c r="A452" s="279"/>
      <c r="B452" s="280"/>
      <c r="C452" s="280"/>
      <c r="D452" s="280"/>
      <c r="E452" s="281"/>
      <c r="F452" s="281"/>
      <c r="G452" s="280"/>
      <c r="H452" s="282"/>
      <c r="I452" s="283"/>
      <c r="J452" s="280"/>
      <c r="K452" s="103"/>
      <c r="L452" s="146"/>
      <c r="M452" s="103"/>
      <c r="N452" s="103"/>
      <c r="O452" s="103">
        <f t="shared" si="1"/>
        <v>0</v>
      </c>
      <c r="P452" s="104">
        <f t="shared" si="2"/>
        <v>0</v>
      </c>
      <c r="Q452" s="147"/>
      <c r="R452" s="103"/>
      <c r="S452" s="103">
        <f t="shared" si="3"/>
        <v>0</v>
      </c>
      <c r="U452" s="107" t="str">
        <f t="shared" si="4"/>
        <v>0</v>
      </c>
    </row>
    <row r="453" ht="15.75" customHeight="1">
      <c r="A453" s="279"/>
      <c r="B453" s="280"/>
      <c r="C453" s="280"/>
      <c r="D453" s="280"/>
      <c r="E453" s="281"/>
      <c r="F453" s="281"/>
      <c r="G453" s="280"/>
      <c r="H453" s="282"/>
      <c r="I453" s="283"/>
      <c r="J453" s="280"/>
      <c r="K453" s="103"/>
      <c r="L453" s="146"/>
      <c r="M453" s="103"/>
      <c r="N453" s="103"/>
      <c r="O453" s="103">
        <f t="shared" si="1"/>
        <v>0</v>
      </c>
      <c r="P453" s="104">
        <f t="shared" si="2"/>
        <v>0</v>
      </c>
      <c r="Q453" s="147"/>
      <c r="R453" s="103"/>
      <c r="S453" s="103">
        <f t="shared" si="3"/>
        <v>0</v>
      </c>
      <c r="U453" s="107" t="str">
        <f t="shared" si="4"/>
        <v>0</v>
      </c>
    </row>
    <row r="454" ht="15.75" customHeight="1">
      <c r="A454" s="279"/>
      <c r="B454" s="280"/>
      <c r="C454" s="280"/>
      <c r="D454" s="280"/>
      <c r="E454" s="281"/>
      <c r="F454" s="281"/>
      <c r="G454" s="280"/>
      <c r="H454" s="282"/>
      <c r="I454" s="283"/>
      <c r="J454" s="280"/>
      <c r="K454" s="103"/>
      <c r="L454" s="146"/>
      <c r="M454" s="103"/>
      <c r="N454" s="103"/>
      <c r="O454" s="103">
        <f t="shared" si="1"/>
        <v>0</v>
      </c>
      <c r="P454" s="104">
        <f t="shared" si="2"/>
        <v>0</v>
      </c>
      <c r="Q454" s="147"/>
      <c r="R454" s="103"/>
      <c r="S454" s="103">
        <f t="shared" si="3"/>
        <v>0</v>
      </c>
      <c r="U454" s="107" t="str">
        <f t="shared" si="4"/>
        <v>0</v>
      </c>
    </row>
    <row r="455" ht="15.75" customHeight="1">
      <c r="A455" s="279"/>
      <c r="B455" s="280"/>
      <c r="C455" s="280"/>
      <c r="D455" s="280"/>
      <c r="E455" s="281"/>
      <c r="F455" s="281"/>
      <c r="G455" s="280"/>
      <c r="H455" s="282"/>
      <c r="I455" s="283"/>
      <c r="J455" s="280"/>
      <c r="K455" s="103"/>
      <c r="L455" s="146"/>
      <c r="M455" s="103"/>
      <c r="N455" s="103"/>
      <c r="O455" s="103">
        <f t="shared" si="1"/>
        <v>0</v>
      </c>
      <c r="P455" s="104">
        <f t="shared" si="2"/>
        <v>0</v>
      </c>
      <c r="Q455" s="147"/>
      <c r="R455" s="103"/>
      <c r="S455" s="103">
        <f t="shared" si="3"/>
        <v>0</v>
      </c>
      <c r="U455" s="107" t="str">
        <f t="shared" si="4"/>
        <v>0</v>
      </c>
    </row>
    <row r="456" ht="15.75" customHeight="1">
      <c r="A456" s="279"/>
      <c r="B456" s="280"/>
      <c r="C456" s="280"/>
      <c r="D456" s="280"/>
      <c r="E456" s="281"/>
      <c r="F456" s="281"/>
      <c r="G456" s="280"/>
      <c r="H456" s="282"/>
      <c r="I456" s="283"/>
      <c r="J456" s="280"/>
      <c r="K456" s="103"/>
      <c r="L456" s="146"/>
      <c r="M456" s="103"/>
      <c r="N456" s="103"/>
      <c r="O456" s="103">
        <f t="shared" si="1"/>
        <v>0</v>
      </c>
      <c r="P456" s="104">
        <f t="shared" si="2"/>
        <v>0</v>
      </c>
      <c r="Q456" s="147"/>
      <c r="R456" s="103"/>
      <c r="S456" s="103">
        <f t="shared" si="3"/>
        <v>0</v>
      </c>
      <c r="U456" s="107" t="str">
        <f t="shared" si="4"/>
        <v>0</v>
      </c>
    </row>
    <row r="457" ht="15.75" customHeight="1">
      <c r="A457" s="279"/>
      <c r="B457" s="280"/>
      <c r="C457" s="280"/>
      <c r="D457" s="280"/>
      <c r="E457" s="281"/>
      <c r="F457" s="281"/>
      <c r="G457" s="280"/>
      <c r="H457" s="282"/>
      <c r="I457" s="283"/>
      <c r="J457" s="280"/>
      <c r="K457" s="103"/>
      <c r="L457" s="146"/>
      <c r="M457" s="103"/>
      <c r="N457" s="103"/>
      <c r="O457" s="103">
        <f t="shared" si="1"/>
        <v>0</v>
      </c>
      <c r="P457" s="104">
        <f t="shared" si="2"/>
        <v>0</v>
      </c>
      <c r="Q457" s="147"/>
      <c r="R457" s="103"/>
      <c r="S457" s="103">
        <f t="shared" si="3"/>
        <v>0</v>
      </c>
      <c r="U457" s="107" t="str">
        <f t="shared" si="4"/>
        <v>0</v>
      </c>
    </row>
    <row r="458" ht="15.75" customHeight="1">
      <c r="A458" s="279"/>
      <c r="B458" s="280"/>
      <c r="C458" s="280"/>
      <c r="D458" s="280"/>
      <c r="E458" s="281"/>
      <c r="F458" s="281"/>
      <c r="G458" s="280"/>
      <c r="H458" s="282"/>
      <c r="I458" s="283"/>
      <c r="J458" s="280"/>
      <c r="K458" s="103"/>
      <c r="L458" s="146"/>
      <c r="M458" s="103"/>
      <c r="N458" s="103"/>
      <c r="O458" s="103">
        <f t="shared" si="1"/>
        <v>0</v>
      </c>
      <c r="P458" s="104">
        <f t="shared" si="2"/>
        <v>0</v>
      </c>
      <c r="Q458" s="147"/>
      <c r="R458" s="103"/>
      <c r="S458" s="103">
        <f t="shared" si="3"/>
        <v>0</v>
      </c>
      <c r="U458" s="107" t="str">
        <f t="shared" si="4"/>
        <v>0</v>
      </c>
    </row>
    <row r="459" ht="15.75" customHeight="1">
      <c r="A459" s="279"/>
      <c r="B459" s="280"/>
      <c r="C459" s="280"/>
      <c r="D459" s="280"/>
      <c r="E459" s="281"/>
      <c r="F459" s="281"/>
      <c r="G459" s="280"/>
      <c r="H459" s="282"/>
      <c r="I459" s="283"/>
      <c r="J459" s="280"/>
      <c r="K459" s="103"/>
      <c r="L459" s="146"/>
      <c r="M459" s="103"/>
      <c r="N459" s="103"/>
      <c r="O459" s="103">
        <f t="shared" si="1"/>
        <v>0</v>
      </c>
      <c r="P459" s="104">
        <f t="shared" si="2"/>
        <v>0</v>
      </c>
      <c r="Q459" s="147"/>
      <c r="R459" s="103"/>
      <c r="S459" s="103">
        <f t="shared" si="3"/>
        <v>0</v>
      </c>
      <c r="U459" s="107" t="str">
        <f t="shared" si="4"/>
        <v>0</v>
      </c>
    </row>
    <row r="460" ht="15.75" customHeight="1">
      <c r="A460" s="279"/>
      <c r="B460" s="280"/>
      <c r="C460" s="280"/>
      <c r="D460" s="280"/>
      <c r="E460" s="281"/>
      <c r="F460" s="281"/>
      <c r="G460" s="280"/>
      <c r="H460" s="282"/>
      <c r="I460" s="283"/>
      <c r="J460" s="280"/>
      <c r="K460" s="103"/>
      <c r="L460" s="146"/>
      <c r="M460" s="103"/>
      <c r="N460" s="103"/>
      <c r="O460" s="103">
        <f t="shared" si="1"/>
        <v>0</v>
      </c>
      <c r="P460" s="104">
        <f t="shared" si="2"/>
        <v>0</v>
      </c>
      <c r="Q460" s="147"/>
      <c r="R460" s="103"/>
      <c r="S460" s="103">
        <f t="shared" si="3"/>
        <v>0</v>
      </c>
      <c r="U460" s="107" t="str">
        <f t="shared" si="4"/>
        <v>0</v>
      </c>
    </row>
    <row r="461" ht="15.75" customHeight="1">
      <c r="A461" s="279"/>
      <c r="B461" s="280"/>
      <c r="C461" s="280"/>
      <c r="D461" s="280"/>
      <c r="E461" s="281"/>
      <c r="F461" s="281"/>
      <c r="G461" s="280"/>
      <c r="H461" s="282"/>
      <c r="I461" s="283"/>
      <c r="J461" s="280"/>
      <c r="K461" s="103"/>
      <c r="L461" s="146"/>
      <c r="M461" s="103"/>
      <c r="N461" s="103"/>
      <c r="O461" s="103">
        <f t="shared" si="1"/>
        <v>0</v>
      </c>
      <c r="P461" s="104">
        <f t="shared" si="2"/>
        <v>0</v>
      </c>
      <c r="Q461" s="147"/>
      <c r="R461" s="103"/>
      <c r="S461" s="103">
        <f t="shared" si="3"/>
        <v>0</v>
      </c>
      <c r="U461" s="107" t="str">
        <f t="shared" si="4"/>
        <v>0</v>
      </c>
    </row>
    <row r="462" ht="15.75" customHeight="1">
      <c r="A462" s="279"/>
      <c r="B462" s="280"/>
      <c r="C462" s="280"/>
      <c r="D462" s="280"/>
      <c r="E462" s="281"/>
      <c r="F462" s="281"/>
      <c r="G462" s="280"/>
      <c r="H462" s="282"/>
      <c r="I462" s="283"/>
      <c r="J462" s="280"/>
      <c r="K462" s="103"/>
      <c r="L462" s="146"/>
      <c r="M462" s="103"/>
      <c r="N462" s="103"/>
      <c r="O462" s="103">
        <f t="shared" si="1"/>
        <v>0</v>
      </c>
      <c r="P462" s="104">
        <f t="shared" si="2"/>
        <v>0</v>
      </c>
      <c r="Q462" s="147"/>
      <c r="R462" s="103"/>
      <c r="S462" s="103">
        <f t="shared" si="3"/>
        <v>0</v>
      </c>
      <c r="U462" s="107" t="str">
        <f t="shared" si="4"/>
        <v>0</v>
      </c>
    </row>
    <row r="463" ht="15.75" customHeight="1">
      <c r="A463" s="279"/>
      <c r="B463" s="280"/>
      <c r="C463" s="280"/>
      <c r="D463" s="280"/>
      <c r="E463" s="281"/>
      <c r="F463" s="281"/>
      <c r="G463" s="280"/>
      <c r="H463" s="282"/>
      <c r="I463" s="283"/>
      <c r="J463" s="280"/>
      <c r="K463" s="103"/>
      <c r="L463" s="146"/>
      <c r="M463" s="103"/>
      <c r="N463" s="103"/>
      <c r="O463" s="103">
        <f t="shared" si="1"/>
        <v>0</v>
      </c>
      <c r="P463" s="104">
        <f t="shared" si="2"/>
        <v>0</v>
      </c>
      <c r="Q463" s="147"/>
      <c r="R463" s="103"/>
      <c r="S463" s="103">
        <f t="shared" si="3"/>
        <v>0</v>
      </c>
      <c r="U463" s="107" t="str">
        <f t="shared" si="4"/>
        <v>0</v>
      </c>
    </row>
    <row r="464" ht="15.75" customHeight="1">
      <c r="A464" s="279"/>
      <c r="B464" s="280"/>
      <c r="C464" s="280"/>
      <c r="D464" s="280"/>
      <c r="E464" s="281"/>
      <c r="F464" s="281"/>
      <c r="G464" s="280"/>
      <c r="H464" s="282"/>
      <c r="I464" s="283"/>
      <c r="J464" s="280"/>
      <c r="K464" s="103"/>
      <c r="L464" s="146"/>
      <c r="M464" s="103"/>
      <c r="N464" s="103"/>
      <c r="O464" s="103">
        <f t="shared" si="1"/>
        <v>0</v>
      </c>
      <c r="P464" s="104">
        <f t="shared" si="2"/>
        <v>0</v>
      </c>
      <c r="Q464" s="147"/>
      <c r="R464" s="103"/>
      <c r="S464" s="103">
        <f t="shared" si="3"/>
        <v>0</v>
      </c>
      <c r="U464" s="107" t="str">
        <f t="shared" si="4"/>
        <v>0</v>
      </c>
    </row>
    <row r="465" ht="15.75" customHeight="1">
      <c r="A465" s="279"/>
      <c r="B465" s="280"/>
      <c r="C465" s="280"/>
      <c r="D465" s="280"/>
      <c r="E465" s="281"/>
      <c r="F465" s="281"/>
      <c r="G465" s="280"/>
      <c r="H465" s="282"/>
      <c r="I465" s="283"/>
      <c r="J465" s="280"/>
      <c r="K465" s="103"/>
      <c r="L465" s="146"/>
      <c r="M465" s="103"/>
      <c r="N465" s="103"/>
      <c r="O465" s="103">
        <f t="shared" si="1"/>
        <v>0</v>
      </c>
      <c r="P465" s="104">
        <f t="shared" si="2"/>
        <v>0</v>
      </c>
      <c r="Q465" s="147"/>
      <c r="R465" s="103"/>
      <c r="S465" s="103">
        <f t="shared" si="3"/>
        <v>0</v>
      </c>
      <c r="U465" s="107" t="str">
        <f t="shared" si="4"/>
        <v>0</v>
      </c>
    </row>
    <row r="466" ht="15.75" customHeight="1">
      <c r="A466" s="279"/>
      <c r="B466" s="280"/>
      <c r="C466" s="280"/>
      <c r="D466" s="280"/>
      <c r="E466" s="281"/>
      <c r="F466" s="281"/>
      <c r="G466" s="280"/>
      <c r="H466" s="282"/>
      <c r="I466" s="283"/>
      <c r="J466" s="280"/>
      <c r="K466" s="103"/>
      <c r="L466" s="146"/>
      <c r="M466" s="103"/>
      <c r="N466" s="103"/>
      <c r="O466" s="103">
        <f t="shared" si="1"/>
        <v>0</v>
      </c>
      <c r="P466" s="104">
        <f t="shared" si="2"/>
        <v>0</v>
      </c>
      <c r="Q466" s="147"/>
      <c r="R466" s="103"/>
      <c r="S466" s="103">
        <f t="shared" si="3"/>
        <v>0</v>
      </c>
      <c r="U466" s="107" t="str">
        <f t="shared" si="4"/>
        <v>0</v>
      </c>
    </row>
    <row r="467" ht="15.75" customHeight="1">
      <c r="A467" s="279"/>
      <c r="B467" s="280"/>
      <c r="C467" s="280"/>
      <c r="D467" s="280"/>
      <c r="E467" s="281"/>
      <c r="F467" s="281"/>
      <c r="G467" s="280"/>
      <c r="H467" s="282"/>
      <c r="I467" s="283"/>
      <c r="J467" s="280"/>
      <c r="K467" s="103"/>
      <c r="L467" s="146"/>
      <c r="M467" s="103"/>
      <c r="N467" s="103"/>
      <c r="O467" s="103">
        <f t="shared" si="1"/>
        <v>0</v>
      </c>
      <c r="P467" s="104">
        <f t="shared" si="2"/>
        <v>0</v>
      </c>
      <c r="Q467" s="147"/>
      <c r="R467" s="103"/>
      <c r="S467" s="103">
        <f t="shared" si="3"/>
        <v>0</v>
      </c>
      <c r="U467" s="107" t="str">
        <f t="shared" si="4"/>
        <v>0</v>
      </c>
    </row>
    <row r="468" ht="15.75" customHeight="1">
      <c r="A468" s="279"/>
      <c r="B468" s="280"/>
      <c r="C468" s="280"/>
      <c r="D468" s="280"/>
      <c r="E468" s="281"/>
      <c r="F468" s="281"/>
      <c r="G468" s="280"/>
      <c r="H468" s="282"/>
      <c r="I468" s="283"/>
      <c r="J468" s="280"/>
      <c r="K468" s="103"/>
      <c r="L468" s="146"/>
      <c r="M468" s="103"/>
      <c r="N468" s="103"/>
      <c r="O468" s="103">
        <f t="shared" si="1"/>
        <v>0</v>
      </c>
      <c r="P468" s="104">
        <f t="shared" si="2"/>
        <v>0</v>
      </c>
      <c r="Q468" s="147"/>
      <c r="R468" s="103"/>
      <c r="S468" s="103">
        <f t="shared" si="3"/>
        <v>0</v>
      </c>
      <c r="U468" s="107" t="str">
        <f t="shared" si="4"/>
        <v>0</v>
      </c>
    </row>
    <row r="469" ht="15.75" customHeight="1">
      <c r="A469" s="279"/>
      <c r="B469" s="280"/>
      <c r="C469" s="280"/>
      <c r="D469" s="280"/>
      <c r="E469" s="281"/>
      <c r="F469" s="281"/>
      <c r="G469" s="280"/>
      <c r="H469" s="282"/>
      <c r="I469" s="283"/>
      <c r="J469" s="280"/>
      <c r="K469" s="103"/>
      <c r="L469" s="146"/>
      <c r="M469" s="103"/>
      <c r="N469" s="103"/>
      <c r="O469" s="103">
        <f t="shared" si="1"/>
        <v>0</v>
      </c>
      <c r="P469" s="104">
        <f t="shared" si="2"/>
        <v>0</v>
      </c>
      <c r="Q469" s="147"/>
      <c r="R469" s="103"/>
      <c r="S469" s="103">
        <f t="shared" si="3"/>
        <v>0</v>
      </c>
      <c r="U469" s="107" t="str">
        <f t="shared" si="4"/>
        <v>0</v>
      </c>
    </row>
    <row r="470" ht="15.75" customHeight="1">
      <c r="A470" s="279"/>
      <c r="B470" s="280"/>
      <c r="C470" s="280"/>
      <c r="D470" s="280"/>
      <c r="E470" s="281"/>
      <c r="F470" s="281"/>
      <c r="G470" s="280"/>
      <c r="H470" s="282"/>
      <c r="I470" s="283"/>
      <c r="J470" s="280"/>
      <c r="K470" s="103"/>
      <c r="L470" s="146"/>
      <c r="M470" s="103"/>
      <c r="N470" s="103"/>
      <c r="O470" s="103">
        <f t="shared" si="1"/>
        <v>0</v>
      </c>
      <c r="P470" s="104">
        <f t="shared" si="2"/>
        <v>0</v>
      </c>
      <c r="Q470" s="147"/>
      <c r="R470" s="103"/>
      <c r="S470" s="103">
        <f t="shared" si="3"/>
        <v>0</v>
      </c>
      <c r="U470" s="107" t="str">
        <f t="shared" si="4"/>
        <v>0</v>
      </c>
    </row>
    <row r="471" ht="15.75" customHeight="1">
      <c r="A471" s="279"/>
      <c r="B471" s="280"/>
      <c r="C471" s="280"/>
      <c r="D471" s="280"/>
      <c r="E471" s="281"/>
      <c r="F471" s="281"/>
      <c r="G471" s="280"/>
      <c r="H471" s="282"/>
      <c r="I471" s="283"/>
      <c r="J471" s="280"/>
      <c r="K471" s="103"/>
      <c r="L471" s="146"/>
      <c r="M471" s="103"/>
      <c r="N471" s="103"/>
      <c r="O471" s="103">
        <f t="shared" si="1"/>
        <v>0</v>
      </c>
      <c r="P471" s="104">
        <f t="shared" si="2"/>
        <v>0</v>
      </c>
      <c r="Q471" s="147"/>
      <c r="R471" s="103"/>
      <c r="S471" s="103">
        <f t="shared" si="3"/>
        <v>0</v>
      </c>
      <c r="U471" s="107" t="str">
        <f t="shared" si="4"/>
        <v>0</v>
      </c>
    </row>
    <row r="472" ht="15.75" customHeight="1">
      <c r="A472" s="279"/>
      <c r="B472" s="280"/>
      <c r="C472" s="280"/>
      <c r="D472" s="280"/>
      <c r="E472" s="281"/>
      <c r="F472" s="281"/>
      <c r="G472" s="280"/>
      <c r="H472" s="282"/>
      <c r="I472" s="283"/>
      <c r="J472" s="280"/>
      <c r="K472" s="103"/>
      <c r="L472" s="146"/>
      <c r="M472" s="103"/>
      <c r="N472" s="103"/>
      <c r="O472" s="103">
        <f t="shared" si="1"/>
        <v>0</v>
      </c>
      <c r="P472" s="104">
        <f t="shared" si="2"/>
        <v>0</v>
      </c>
      <c r="Q472" s="147"/>
      <c r="R472" s="103"/>
      <c r="S472" s="103">
        <f t="shared" si="3"/>
        <v>0</v>
      </c>
      <c r="U472" s="107" t="str">
        <f t="shared" si="4"/>
        <v>0</v>
      </c>
    </row>
    <row r="473" ht="15.75" customHeight="1">
      <c r="A473" s="279"/>
      <c r="B473" s="280"/>
      <c r="C473" s="280"/>
      <c r="D473" s="280"/>
      <c r="E473" s="281"/>
      <c r="F473" s="281"/>
      <c r="G473" s="280"/>
      <c r="H473" s="282"/>
      <c r="I473" s="283"/>
      <c r="J473" s="280"/>
      <c r="K473" s="103"/>
      <c r="L473" s="146"/>
      <c r="M473" s="103"/>
      <c r="N473" s="103"/>
      <c r="O473" s="103">
        <f t="shared" si="1"/>
        <v>0</v>
      </c>
      <c r="P473" s="104">
        <f t="shared" si="2"/>
        <v>0</v>
      </c>
      <c r="Q473" s="147"/>
      <c r="R473" s="103"/>
      <c r="S473" s="103">
        <f t="shared" si="3"/>
        <v>0</v>
      </c>
      <c r="U473" s="107" t="str">
        <f t="shared" si="4"/>
        <v>0</v>
      </c>
    </row>
    <row r="474" ht="15.75" customHeight="1">
      <c r="A474" s="279"/>
      <c r="B474" s="280"/>
      <c r="C474" s="280"/>
      <c r="D474" s="280"/>
      <c r="E474" s="281"/>
      <c r="F474" s="281"/>
      <c r="G474" s="280"/>
      <c r="H474" s="282"/>
      <c r="I474" s="283"/>
      <c r="J474" s="280"/>
      <c r="K474" s="103"/>
      <c r="L474" s="146"/>
      <c r="M474" s="103"/>
      <c r="N474" s="103"/>
      <c r="O474" s="103">
        <f t="shared" si="1"/>
        <v>0</v>
      </c>
      <c r="P474" s="104">
        <f t="shared" si="2"/>
        <v>0</v>
      </c>
      <c r="Q474" s="147"/>
      <c r="R474" s="103"/>
      <c r="S474" s="103">
        <f t="shared" si="3"/>
        <v>0</v>
      </c>
      <c r="U474" s="107" t="str">
        <f t="shared" si="4"/>
        <v>0</v>
      </c>
    </row>
    <row r="475" ht="15.75" customHeight="1">
      <c r="A475" s="279"/>
      <c r="B475" s="280"/>
      <c r="C475" s="280"/>
      <c r="D475" s="280"/>
      <c r="E475" s="281"/>
      <c r="F475" s="281"/>
      <c r="G475" s="280"/>
      <c r="H475" s="282"/>
      <c r="I475" s="283"/>
      <c r="J475" s="280"/>
      <c r="K475" s="103"/>
      <c r="L475" s="146"/>
      <c r="M475" s="103"/>
      <c r="N475" s="103"/>
      <c r="O475" s="103">
        <f t="shared" si="1"/>
        <v>0</v>
      </c>
      <c r="P475" s="104">
        <f t="shared" si="2"/>
        <v>0</v>
      </c>
      <c r="Q475" s="147"/>
      <c r="R475" s="103"/>
      <c r="S475" s="103">
        <f t="shared" si="3"/>
        <v>0</v>
      </c>
      <c r="U475" s="107" t="str">
        <f t="shared" si="4"/>
        <v>0</v>
      </c>
    </row>
    <row r="476" ht="15.75" customHeight="1">
      <c r="A476" s="279"/>
      <c r="B476" s="280"/>
      <c r="C476" s="280"/>
      <c r="D476" s="280"/>
      <c r="E476" s="281"/>
      <c r="F476" s="281"/>
      <c r="G476" s="280"/>
      <c r="H476" s="282"/>
      <c r="I476" s="283"/>
      <c r="J476" s="280"/>
      <c r="K476" s="103"/>
      <c r="L476" s="146"/>
      <c r="M476" s="103"/>
      <c r="N476" s="103"/>
      <c r="O476" s="103">
        <f t="shared" si="1"/>
        <v>0</v>
      </c>
      <c r="P476" s="104">
        <f t="shared" si="2"/>
        <v>0</v>
      </c>
      <c r="Q476" s="147"/>
      <c r="R476" s="103"/>
      <c r="S476" s="103">
        <f t="shared" si="3"/>
        <v>0</v>
      </c>
      <c r="U476" s="107" t="str">
        <f t="shared" si="4"/>
        <v>0</v>
      </c>
    </row>
    <row r="477" ht="15.75" customHeight="1">
      <c r="A477" s="279"/>
      <c r="B477" s="280"/>
      <c r="C477" s="280"/>
      <c r="D477" s="280"/>
      <c r="E477" s="281"/>
      <c r="F477" s="281"/>
      <c r="G477" s="280"/>
      <c r="H477" s="282"/>
      <c r="I477" s="283"/>
      <c r="J477" s="280"/>
      <c r="K477" s="103"/>
      <c r="L477" s="146"/>
      <c r="M477" s="103"/>
      <c r="N477" s="103"/>
      <c r="O477" s="103">
        <f t="shared" si="1"/>
        <v>0</v>
      </c>
      <c r="P477" s="104">
        <f t="shared" si="2"/>
        <v>0</v>
      </c>
      <c r="Q477" s="147"/>
      <c r="R477" s="103"/>
      <c r="S477" s="103">
        <f t="shared" si="3"/>
        <v>0</v>
      </c>
      <c r="U477" s="107" t="str">
        <f t="shared" si="4"/>
        <v>0</v>
      </c>
    </row>
    <row r="478" ht="15.75" customHeight="1">
      <c r="A478" s="279"/>
      <c r="B478" s="280"/>
      <c r="C478" s="280"/>
      <c r="D478" s="280"/>
      <c r="E478" s="281"/>
      <c r="F478" s="281"/>
      <c r="G478" s="280"/>
      <c r="H478" s="282"/>
      <c r="I478" s="283"/>
      <c r="J478" s="280"/>
      <c r="K478" s="103"/>
      <c r="L478" s="146"/>
      <c r="M478" s="103"/>
      <c r="N478" s="103"/>
      <c r="O478" s="103">
        <f t="shared" si="1"/>
        <v>0</v>
      </c>
      <c r="P478" s="104">
        <f t="shared" si="2"/>
        <v>0</v>
      </c>
      <c r="Q478" s="147"/>
      <c r="R478" s="103"/>
      <c r="S478" s="103">
        <f t="shared" si="3"/>
        <v>0</v>
      </c>
      <c r="U478" s="107" t="str">
        <f t="shared" si="4"/>
        <v>0</v>
      </c>
    </row>
    <row r="479" ht="15.75" customHeight="1">
      <c r="A479" s="279"/>
      <c r="B479" s="280"/>
      <c r="C479" s="280"/>
      <c r="D479" s="280"/>
      <c r="E479" s="281"/>
      <c r="F479" s="281"/>
      <c r="G479" s="280"/>
      <c r="H479" s="282"/>
      <c r="I479" s="283"/>
      <c r="J479" s="280"/>
      <c r="K479" s="103"/>
      <c r="L479" s="146"/>
      <c r="M479" s="103"/>
      <c r="N479" s="103"/>
      <c r="O479" s="103">
        <f t="shared" si="1"/>
        <v>0</v>
      </c>
      <c r="P479" s="104">
        <f t="shared" si="2"/>
        <v>0</v>
      </c>
      <c r="Q479" s="147"/>
      <c r="R479" s="103"/>
      <c r="S479" s="103">
        <f t="shared" si="3"/>
        <v>0</v>
      </c>
      <c r="U479" s="107" t="str">
        <f t="shared" si="4"/>
        <v>0</v>
      </c>
    </row>
    <row r="480" ht="15.75" customHeight="1">
      <c r="A480" s="279"/>
      <c r="B480" s="280"/>
      <c r="C480" s="280"/>
      <c r="D480" s="280"/>
      <c r="E480" s="281"/>
      <c r="F480" s="281"/>
      <c r="G480" s="280"/>
      <c r="H480" s="282"/>
      <c r="I480" s="283"/>
      <c r="J480" s="280"/>
      <c r="K480" s="103"/>
      <c r="L480" s="146"/>
      <c r="M480" s="103"/>
      <c r="N480" s="103"/>
      <c r="O480" s="103">
        <f t="shared" si="1"/>
        <v>0</v>
      </c>
      <c r="P480" s="104">
        <f t="shared" si="2"/>
        <v>0</v>
      </c>
      <c r="Q480" s="147"/>
      <c r="R480" s="103"/>
      <c r="S480" s="103">
        <f t="shared" si="3"/>
        <v>0</v>
      </c>
      <c r="U480" s="107" t="str">
        <f t="shared" si="4"/>
        <v>0</v>
      </c>
    </row>
    <row r="481" ht="15.75" customHeight="1">
      <c r="A481" s="279"/>
      <c r="B481" s="280"/>
      <c r="C481" s="280"/>
      <c r="D481" s="280"/>
      <c r="E481" s="281"/>
      <c r="F481" s="281"/>
      <c r="G481" s="280"/>
      <c r="H481" s="282"/>
      <c r="I481" s="283"/>
      <c r="J481" s="280"/>
      <c r="K481" s="103"/>
      <c r="L481" s="146"/>
      <c r="M481" s="103"/>
      <c r="N481" s="103"/>
      <c r="O481" s="103">
        <f t="shared" si="1"/>
        <v>0</v>
      </c>
      <c r="P481" s="104">
        <f t="shared" si="2"/>
        <v>0</v>
      </c>
      <c r="Q481" s="147"/>
      <c r="R481" s="103"/>
      <c r="S481" s="103">
        <f t="shared" si="3"/>
        <v>0</v>
      </c>
      <c r="U481" s="107" t="str">
        <f t="shared" si="4"/>
        <v>0</v>
      </c>
    </row>
    <row r="482" ht="15.75" customHeight="1">
      <c r="A482" s="279"/>
      <c r="B482" s="280"/>
      <c r="C482" s="280"/>
      <c r="D482" s="280"/>
      <c r="E482" s="281"/>
      <c r="F482" s="281"/>
      <c r="G482" s="280"/>
      <c r="H482" s="282"/>
      <c r="I482" s="283"/>
      <c r="J482" s="280"/>
      <c r="K482" s="103"/>
      <c r="L482" s="146"/>
      <c r="M482" s="103"/>
      <c r="N482" s="103"/>
      <c r="O482" s="103">
        <f t="shared" si="1"/>
        <v>0</v>
      </c>
      <c r="P482" s="104">
        <f t="shared" si="2"/>
        <v>0</v>
      </c>
      <c r="Q482" s="147"/>
      <c r="R482" s="103"/>
      <c r="S482" s="103">
        <f t="shared" si="3"/>
        <v>0</v>
      </c>
      <c r="U482" s="107" t="str">
        <f t="shared" si="4"/>
        <v>0</v>
      </c>
    </row>
    <row r="483" ht="15.75" customHeight="1">
      <c r="A483" s="279"/>
      <c r="B483" s="280"/>
      <c r="C483" s="280"/>
      <c r="D483" s="280"/>
      <c r="E483" s="281"/>
      <c r="F483" s="281"/>
      <c r="G483" s="280"/>
      <c r="H483" s="282"/>
      <c r="I483" s="283"/>
      <c r="J483" s="280"/>
      <c r="K483" s="103"/>
      <c r="L483" s="146"/>
      <c r="M483" s="103"/>
      <c r="N483" s="103"/>
      <c r="O483" s="103">
        <f t="shared" si="1"/>
        <v>0</v>
      </c>
      <c r="P483" s="104">
        <f t="shared" si="2"/>
        <v>0</v>
      </c>
      <c r="Q483" s="147"/>
      <c r="R483" s="103"/>
      <c r="S483" s="103">
        <f t="shared" si="3"/>
        <v>0</v>
      </c>
      <c r="U483" s="107" t="str">
        <f t="shared" si="4"/>
        <v>0</v>
      </c>
    </row>
    <row r="484" ht="15.75" customHeight="1">
      <c r="A484" s="279"/>
      <c r="B484" s="280"/>
      <c r="C484" s="280"/>
      <c r="D484" s="280"/>
      <c r="E484" s="281"/>
      <c r="F484" s="281"/>
      <c r="G484" s="280"/>
      <c r="H484" s="282"/>
      <c r="I484" s="283"/>
      <c r="J484" s="280"/>
      <c r="K484" s="103"/>
      <c r="L484" s="146"/>
      <c r="M484" s="103"/>
      <c r="N484" s="103"/>
      <c r="O484" s="103">
        <f t="shared" si="1"/>
        <v>0</v>
      </c>
      <c r="P484" s="104">
        <f t="shared" si="2"/>
        <v>0</v>
      </c>
      <c r="Q484" s="147"/>
      <c r="R484" s="103"/>
      <c r="S484" s="103">
        <f t="shared" si="3"/>
        <v>0</v>
      </c>
      <c r="U484" s="107" t="str">
        <f t="shared" si="4"/>
        <v>0</v>
      </c>
    </row>
    <row r="485" ht="15.75" customHeight="1">
      <c r="A485" s="279"/>
      <c r="B485" s="280"/>
      <c r="C485" s="280"/>
      <c r="D485" s="280"/>
      <c r="E485" s="281"/>
      <c r="F485" s="281"/>
      <c r="G485" s="280"/>
      <c r="H485" s="282"/>
      <c r="I485" s="283"/>
      <c r="J485" s="280"/>
      <c r="K485" s="103"/>
      <c r="L485" s="146"/>
      <c r="M485" s="103"/>
      <c r="N485" s="103"/>
      <c r="O485" s="103">
        <f t="shared" si="1"/>
        <v>0</v>
      </c>
      <c r="P485" s="104">
        <f t="shared" si="2"/>
        <v>0</v>
      </c>
      <c r="Q485" s="147"/>
      <c r="R485" s="103"/>
      <c r="S485" s="103">
        <f t="shared" si="3"/>
        <v>0</v>
      </c>
      <c r="U485" s="107" t="str">
        <f t="shared" si="4"/>
        <v>0</v>
      </c>
    </row>
    <row r="486" ht="15.75" customHeight="1">
      <c r="A486" s="279"/>
      <c r="B486" s="280"/>
      <c r="C486" s="280"/>
      <c r="D486" s="280"/>
      <c r="E486" s="281"/>
      <c r="F486" s="281"/>
      <c r="G486" s="280"/>
      <c r="H486" s="282"/>
      <c r="I486" s="283"/>
      <c r="J486" s="280"/>
      <c r="K486" s="103"/>
      <c r="L486" s="146"/>
      <c r="M486" s="103"/>
      <c r="N486" s="103"/>
      <c r="O486" s="103">
        <f t="shared" si="1"/>
        <v>0</v>
      </c>
      <c r="P486" s="104">
        <f t="shared" si="2"/>
        <v>0</v>
      </c>
      <c r="Q486" s="147"/>
      <c r="R486" s="103"/>
      <c r="S486" s="103">
        <f t="shared" si="3"/>
        <v>0</v>
      </c>
      <c r="U486" s="107" t="str">
        <f t="shared" si="4"/>
        <v>0</v>
      </c>
    </row>
    <row r="487" ht="15.75" customHeight="1">
      <c r="A487" s="279"/>
      <c r="B487" s="280"/>
      <c r="C487" s="280"/>
      <c r="D487" s="280"/>
      <c r="E487" s="281"/>
      <c r="F487" s="281"/>
      <c r="G487" s="280"/>
      <c r="H487" s="282"/>
      <c r="I487" s="283"/>
      <c r="J487" s="280"/>
      <c r="K487" s="103"/>
      <c r="L487" s="146"/>
      <c r="M487" s="103"/>
      <c r="N487" s="103"/>
      <c r="O487" s="103">
        <f t="shared" si="1"/>
        <v>0</v>
      </c>
      <c r="P487" s="104">
        <f t="shared" si="2"/>
        <v>0</v>
      </c>
      <c r="Q487" s="147"/>
      <c r="R487" s="103"/>
      <c r="S487" s="103">
        <f t="shared" si="3"/>
        <v>0</v>
      </c>
      <c r="U487" s="107" t="str">
        <f t="shared" si="4"/>
        <v>0</v>
      </c>
    </row>
    <row r="488" ht="15.75" customHeight="1">
      <c r="A488" s="279"/>
      <c r="B488" s="280"/>
      <c r="C488" s="280"/>
      <c r="D488" s="280"/>
      <c r="E488" s="281"/>
      <c r="F488" s="281"/>
      <c r="G488" s="280"/>
      <c r="H488" s="282"/>
      <c r="I488" s="283"/>
      <c r="J488" s="280"/>
      <c r="K488" s="103"/>
      <c r="L488" s="146"/>
      <c r="M488" s="103"/>
      <c r="N488" s="103"/>
      <c r="O488" s="103">
        <f t="shared" si="1"/>
        <v>0</v>
      </c>
      <c r="P488" s="104">
        <f t="shared" si="2"/>
        <v>0</v>
      </c>
      <c r="Q488" s="147"/>
      <c r="R488" s="103"/>
      <c r="S488" s="103">
        <f t="shared" si="3"/>
        <v>0</v>
      </c>
      <c r="U488" s="107" t="str">
        <f t="shared" si="4"/>
        <v>0</v>
      </c>
    </row>
    <row r="489" ht="15.75" customHeight="1">
      <c r="A489" s="279"/>
      <c r="B489" s="280"/>
      <c r="C489" s="280"/>
      <c r="D489" s="280"/>
      <c r="E489" s="281"/>
      <c r="F489" s="281"/>
      <c r="G489" s="280"/>
      <c r="H489" s="282"/>
      <c r="I489" s="283"/>
      <c r="J489" s="280"/>
      <c r="K489" s="103"/>
      <c r="L489" s="146"/>
      <c r="M489" s="103"/>
      <c r="N489" s="103"/>
      <c r="O489" s="103">
        <f t="shared" si="1"/>
        <v>0</v>
      </c>
      <c r="P489" s="104">
        <f t="shared" si="2"/>
        <v>0</v>
      </c>
      <c r="Q489" s="147"/>
      <c r="R489" s="103"/>
      <c r="S489" s="103">
        <f t="shared" si="3"/>
        <v>0</v>
      </c>
      <c r="U489" s="107" t="str">
        <f t="shared" si="4"/>
        <v>0</v>
      </c>
    </row>
    <row r="490" ht="15.75" customHeight="1">
      <c r="A490" s="279"/>
      <c r="B490" s="280"/>
      <c r="C490" s="280"/>
      <c r="D490" s="280"/>
      <c r="E490" s="281"/>
      <c r="F490" s="281"/>
      <c r="G490" s="280"/>
      <c r="H490" s="282"/>
      <c r="I490" s="283"/>
      <c r="J490" s="280"/>
      <c r="K490" s="103"/>
      <c r="L490" s="146"/>
      <c r="M490" s="103"/>
      <c r="N490" s="103"/>
      <c r="O490" s="103">
        <f t="shared" si="1"/>
        <v>0</v>
      </c>
      <c r="P490" s="104">
        <f t="shared" si="2"/>
        <v>0</v>
      </c>
      <c r="Q490" s="147"/>
      <c r="R490" s="103"/>
      <c r="S490" s="103">
        <f t="shared" si="3"/>
        <v>0</v>
      </c>
      <c r="U490" s="107" t="str">
        <f t="shared" si="4"/>
        <v>0</v>
      </c>
    </row>
    <row r="491" ht="15.75" customHeight="1">
      <c r="A491" s="279"/>
      <c r="B491" s="280"/>
      <c r="C491" s="280"/>
      <c r="D491" s="280"/>
      <c r="E491" s="281"/>
      <c r="F491" s="281"/>
      <c r="G491" s="280"/>
      <c r="H491" s="282"/>
      <c r="I491" s="283"/>
      <c r="J491" s="280"/>
      <c r="K491" s="103"/>
      <c r="L491" s="146"/>
      <c r="M491" s="103"/>
      <c r="N491" s="103"/>
      <c r="O491" s="103">
        <f t="shared" si="1"/>
        <v>0</v>
      </c>
      <c r="P491" s="104">
        <f t="shared" si="2"/>
        <v>0</v>
      </c>
      <c r="Q491" s="147"/>
      <c r="R491" s="103"/>
      <c r="S491" s="103">
        <f t="shared" si="3"/>
        <v>0</v>
      </c>
      <c r="U491" s="107" t="str">
        <f t="shared" si="4"/>
        <v>0</v>
      </c>
    </row>
    <row r="492" ht="15.75" customHeight="1">
      <c r="A492" s="279"/>
      <c r="B492" s="280"/>
      <c r="C492" s="280"/>
      <c r="D492" s="280"/>
      <c r="E492" s="281"/>
      <c r="F492" s="281"/>
      <c r="G492" s="280"/>
      <c r="H492" s="282"/>
      <c r="I492" s="283"/>
      <c r="J492" s="280"/>
      <c r="K492" s="103"/>
      <c r="L492" s="146"/>
      <c r="M492" s="103"/>
      <c r="N492" s="103"/>
      <c r="O492" s="103">
        <f t="shared" si="1"/>
        <v>0</v>
      </c>
      <c r="P492" s="104">
        <f t="shared" si="2"/>
        <v>0</v>
      </c>
      <c r="Q492" s="147"/>
      <c r="R492" s="103"/>
      <c r="S492" s="103">
        <f t="shared" si="3"/>
        <v>0</v>
      </c>
      <c r="U492" s="107" t="str">
        <f t="shared" si="4"/>
        <v>0</v>
      </c>
    </row>
    <row r="493" ht="15.75" customHeight="1">
      <c r="A493" s="279"/>
      <c r="B493" s="280"/>
      <c r="C493" s="280"/>
      <c r="D493" s="280"/>
      <c r="E493" s="281"/>
      <c r="F493" s="281"/>
      <c r="G493" s="280"/>
      <c r="H493" s="282"/>
      <c r="I493" s="283"/>
      <c r="J493" s="280"/>
      <c r="K493" s="103"/>
      <c r="L493" s="146"/>
      <c r="M493" s="103"/>
      <c r="N493" s="103"/>
      <c r="O493" s="103">
        <f t="shared" si="1"/>
        <v>0</v>
      </c>
      <c r="P493" s="104">
        <f t="shared" si="2"/>
        <v>0</v>
      </c>
      <c r="Q493" s="147"/>
      <c r="R493" s="103"/>
      <c r="S493" s="103">
        <f t="shared" si="3"/>
        <v>0</v>
      </c>
      <c r="U493" s="107" t="str">
        <f t="shared" si="4"/>
        <v>0</v>
      </c>
    </row>
    <row r="494" ht="15.75" customHeight="1">
      <c r="A494" s="279"/>
      <c r="B494" s="280"/>
      <c r="C494" s="280"/>
      <c r="D494" s="280"/>
      <c r="E494" s="281"/>
      <c r="F494" s="281"/>
      <c r="G494" s="280"/>
      <c r="H494" s="282"/>
      <c r="I494" s="283"/>
      <c r="J494" s="280"/>
      <c r="K494" s="103"/>
      <c r="L494" s="146"/>
      <c r="M494" s="103"/>
      <c r="N494" s="103"/>
      <c r="O494" s="103">
        <f t="shared" si="1"/>
        <v>0</v>
      </c>
      <c r="P494" s="104">
        <f t="shared" si="2"/>
        <v>0</v>
      </c>
      <c r="Q494" s="147"/>
      <c r="R494" s="103"/>
      <c r="S494" s="103">
        <f t="shared" si="3"/>
        <v>0</v>
      </c>
      <c r="U494" s="107" t="str">
        <f t="shared" si="4"/>
        <v>0</v>
      </c>
    </row>
    <row r="495" ht="15.75" customHeight="1">
      <c r="A495" s="279"/>
      <c r="B495" s="280"/>
      <c r="C495" s="280"/>
      <c r="D495" s="280"/>
      <c r="E495" s="281"/>
      <c r="F495" s="281"/>
      <c r="G495" s="280"/>
      <c r="H495" s="282"/>
      <c r="I495" s="283"/>
      <c r="J495" s="280"/>
      <c r="K495" s="103"/>
      <c r="L495" s="146"/>
      <c r="M495" s="103"/>
      <c r="N495" s="103"/>
      <c r="O495" s="103">
        <f t="shared" si="1"/>
        <v>0</v>
      </c>
      <c r="P495" s="104">
        <f t="shared" si="2"/>
        <v>0</v>
      </c>
      <c r="Q495" s="147"/>
      <c r="R495" s="103"/>
      <c r="S495" s="103">
        <f t="shared" si="3"/>
        <v>0</v>
      </c>
      <c r="U495" s="107" t="str">
        <f t="shared" si="4"/>
        <v>0</v>
      </c>
    </row>
    <row r="496" ht="15.75" customHeight="1">
      <c r="A496" s="279"/>
      <c r="B496" s="280"/>
      <c r="C496" s="280"/>
      <c r="D496" s="280"/>
      <c r="E496" s="281"/>
      <c r="F496" s="281"/>
      <c r="G496" s="280"/>
      <c r="H496" s="282"/>
      <c r="I496" s="283"/>
      <c r="J496" s="280"/>
      <c r="K496" s="103"/>
      <c r="L496" s="146"/>
      <c r="M496" s="103"/>
      <c r="N496" s="103"/>
      <c r="O496" s="103">
        <f t="shared" si="1"/>
        <v>0</v>
      </c>
      <c r="P496" s="104">
        <f t="shared" si="2"/>
        <v>0</v>
      </c>
      <c r="Q496" s="147"/>
      <c r="R496" s="103"/>
      <c r="S496" s="103">
        <f t="shared" si="3"/>
        <v>0</v>
      </c>
      <c r="U496" s="107" t="str">
        <f t="shared" si="4"/>
        <v>0</v>
      </c>
    </row>
    <row r="497" ht="15.75" customHeight="1">
      <c r="A497" s="279"/>
      <c r="B497" s="280"/>
      <c r="C497" s="280"/>
      <c r="D497" s="280"/>
      <c r="E497" s="281"/>
      <c r="F497" s="281"/>
      <c r="G497" s="280"/>
      <c r="H497" s="282"/>
      <c r="I497" s="283"/>
      <c r="J497" s="280"/>
      <c r="K497" s="103"/>
      <c r="L497" s="146"/>
      <c r="M497" s="103"/>
      <c r="N497" s="103"/>
      <c r="O497" s="103">
        <f t="shared" si="1"/>
        <v>0</v>
      </c>
      <c r="P497" s="104">
        <f t="shared" si="2"/>
        <v>0</v>
      </c>
      <c r="Q497" s="147"/>
      <c r="R497" s="103"/>
      <c r="S497" s="103">
        <f t="shared" si="3"/>
        <v>0</v>
      </c>
      <c r="U497" s="107" t="str">
        <f t="shared" si="4"/>
        <v>0</v>
      </c>
    </row>
    <row r="498" ht="15.75" customHeight="1">
      <c r="A498" s="279"/>
      <c r="B498" s="280"/>
      <c r="C498" s="280"/>
      <c r="D498" s="280"/>
      <c r="E498" s="281"/>
      <c r="F498" s="281"/>
      <c r="G498" s="280"/>
      <c r="H498" s="282"/>
      <c r="I498" s="283"/>
      <c r="J498" s="280"/>
      <c r="K498" s="103"/>
      <c r="L498" s="146"/>
      <c r="M498" s="103"/>
      <c r="N498" s="103"/>
      <c r="O498" s="103">
        <f t="shared" si="1"/>
        <v>0</v>
      </c>
      <c r="P498" s="104">
        <f t="shared" si="2"/>
        <v>0</v>
      </c>
      <c r="Q498" s="147"/>
      <c r="R498" s="103"/>
      <c r="S498" s="103">
        <f t="shared" si="3"/>
        <v>0</v>
      </c>
      <c r="U498" s="107" t="str">
        <f t="shared" si="4"/>
        <v>0</v>
      </c>
    </row>
    <row r="499" ht="15.75" customHeight="1">
      <c r="A499" s="279"/>
      <c r="B499" s="280"/>
      <c r="C499" s="280"/>
      <c r="D499" s="280"/>
      <c r="E499" s="281"/>
      <c r="F499" s="281"/>
      <c r="G499" s="280"/>
      <c r="H499" s="282"/>
      <c r="I499" s="283"/>
      <c r="J499" s="280"/>
      <c r="K499" s="103"/>
      <c r="L499" s="146"/>
      <c r="M499" s="103"/>
      <c r="N499" s="103"/>
      <c r="O499" s="103">
        <f t="shared" si="1"/>
        <v>0</v>
      </c>
      <c r="P499" s="104">
        <f t="shared" si="2"/>
        <v>0</v>
      </c>
      <c r="Q499" s="147"/>
      <c r="R499" s="103"/>
      <c r="S499" s="103">
        <f t="shared" si="3"/>
        <v>0</v>
      </c>
      <c r="U499" s="107" t="str">
        <f t="shared" si="4"/>
        <v>0</v>
      </c>
    </row>
    <row r="500" ht="15.75" customHeight="1">
      <c r="A500" s="279"/>
      <c r="B500" s="280"/>
      <c r="C500" s="280"/>
      <c r="D500" s="280"/>
      <c r="E500" s="281"/>
      <c r="F500" s="281"/>
      <c r="G500" s="280"/>
      <c r="H500" s="282"/>
      <c r="I500" s="283"/>
      <c r="J500" s="280"/>
      <c r="K500" s="103"/>
      <c r="L500" s="146"/>
      <c r="M500" s="103"/>
      <c r="N500" s="103"/>
      <c r="O500" s="103">
        <f t="shared" si="1"/>
        <v>0</v>
      </c>
      <c r="P500" s="104">
        <f t="shared" si="2"/>
        <v>0</v>
      </c>
      <c r="Q500" s="147"/>
      <c r="R500" s="103"/>
      <c r="S500" s="103">
        <f t="shared" si="3"/>
        <v>0</v>
      </c>
      <c r="U500" s="107" t="str">
        <f t="shared" si="4"/>
        <v>0</v>
      </c>
    </row>
    <row r="501" ht="15.75" customHeight="1">
      <c r="A501" s="279"/>
      <c r="B501" s="280"/>
      <c r="C501" s="280"/>
      <c r="D501" s="280"/>
      <c r="E501" s="281"/>
      <c r="F501" s="281"/>
      <c r="G501" s="280"/>
      <c r="H501" s="282"/>
      <c r="I501" s="283"/>
      <c r="J501" s="280"/>
      <c r="K501" s="103"/>
      <c r="L501" s="146"/>
      <c r="M501" s="103"/>
      <c r="N501" s="103"/>
      <c r="O501" s="103">
        <f t="shared" si="1"/>
        <v>0</v>
      </c>
      <c r="P501" s="104">
        <f t="shared" si="2"/>
        <v>0</v>
      </c>
      <c r="Q501" s="147"/>
      <c r="R501" s="103"/>
      <c r="S501" s="103">
        <f t="shared" si="3"/>
        <v>0</v>
      </c>
      <c r="U501" s="107" t="str">
        <f t="shared" si="4"/>
        <v>0</v>
      </c>
    </row>
    <row r="502" ht="15.75" customHeight="1">
      <c r="A502" s="279"/>
      <c r="B502" s="280"/>
      <c r="C502" s="280"/>
      <c r="D502" s="280"/>
      <c r="E502" s="281"/>
      <c r="F502" s="281"/>
      <c r="G502" s="280"/>
      <c r="H502" s="282"/>
      <c r="I502" s="283"/>
      <c r="J502" s="280"/>
      <c r="K502" s="103"/>
      <c r="L502" s="146"/>
      <c r="M502" s="103"/>
      <c r="N502" s="103"/>
      <c r="O502" s="103">
        <f t="shared" si="1"/>
        <v>0</v>
      </c>
      <c r="P502" s="104">
        <f t="shared" si="2"/>
        <v>0</v>
      </c>
      <c r="Q502" s="147"/>
      <c r="R502" s="103"/>
      <c r="S502" s="103">
        <f t="shared" si="3"/>
        <v>0</v>
      </c>
      <c r="U502" s="107" t="str">
        <f t="shared" si="4"/>
        <v>0</v>
      </c>
    </row>
    <row r="503" ht="15.75" customHeight="1">
      <c r="A503" s="279"/>
      <c r="B503" s="280"/>
      <c r="C503" s="280"/>
      <c r="D503" s="280"/>
      <c r="E503" s="281"/>
      <c r="F503" s="281"/>
      <c r="G503" s="280"/>
      <c r="H503" s="282"/>
      <c r="I503" s="283"/>
      <c r="J503" s="280"/>
      <c r="K503" s="103"/>
      <c r="L503" s="146"/>
      <c r="M503" s="103"/>
      <c r="N503" s="103"/>
      <c r="O503" s="103">
        <f t="shared" si="1"/>
        <v>0</v>
      </c>
      <c r="P503" s="104">
        <f t="shared" si="2"/>
        <v>0</v>
      </c>
      <c r="Q503" s="147"/>
      <c r="R503" s="103"/>
      <c r="S503" s="103">
        <f t="shared" si="3"/>
        <v>0</v>
      </c>
      <c r="U503" s="107" t="str">
        <f t="shared" si="4"/>
        <v>0</v>
      </c>
    </row>
    <row r="504" ht="15.75" customHeight="1">
      <c r="A504" s="279"/>
      <c r="B504" s="280"/>
      <c r="C504" s="280"/>
      <c r="D504" s="280"/>
      <c r="E504" s="281"/>
      <c r="F504" s="281"/>
      <c r="G504" s="280"/>
      <c r="H504" s="282"/>
      <c r="I504" s="283"/>
      <c r="J504" s="280"/>
      <c r="K504" s="103"/>
      <c r="L504" s="146"/>
      <c r="M504" s="103"/>
      <c r="N504" s="103"/>
      <c r="O504" s="103">
        <f t="shared" si="1"/>
        <v>0</v>
      </c>
      <c r="P504" s="104">
        <f t="shared" si="2"/>
        <v>0</v>
      </c>
      <c r="Q504" s="147"/>
      <c r="R504" s="103"/>
      <c r="S504" s="103">
        <f t="shared" si="3"/>
        <v>0</v>
      </c>
      <c r="U504" s="107" t="str">
        <f t="shared" si="4"/>
        <v>0</v>
      </c>
    </row>
    <row r="505" ht="15.75" customHeight="1">
      <c r="A505" s="279"/>
      <c r="B505" s="280"/>
      <c r="C505" s="280"/>
      <c r="D505" s="280"/>
      <c r="E505" s="281"/>
      <c r="F505" s="281"/>
      <c r="G505" s="280"/>
      <c r="H505" s="282"/>
      <c r="I505" s="283"/>
      <c r="J505" s="280"/>
      <c r="K505" s="103"/>
      <c r="L505" s="146"/>
      <c r="M505" s="103"/>
      <c r="N505" s="103"/>
      <c r="O505" s="103">
        <f t="shared" si="1"/>
        <v>0</v>
      </c>
      <c r="P505" s="104">
        <f t="shared" si="2"/>
        <v>0</v>
      </c>
      <c r="Q505" s="147"/>
      <c r="R505" s="103"/>
      <c r="S505" s="103">
        <f t="shared" si="3"/>
        <v>0</v>
      </c>
      <c r="U505" s="107" t="str">
        <f t="shared" si="4"/>
        <v>0</v>
      </c>
    </row>
    <row r="506" ht="15.75" customHeight="1">
      <c r="A506" s="279"/>
      <c r="B506" s="280"/>
      <c r="C506" s="280"/>
      <c r="D506" s="280"/>
      <c r="E506" s="281"/>
      <c r="F506" s="281"/>
      <c r="G506" s="280"/>
      <c r="H506" s="282"/>
      <c r="I506" s="283"/>
      <c r="J506" s="280"/>
      <c r="K506" s="103"/>
      <c r="L506" s="146"/>
      <c r="M506" s="103"/>
      <c r="N506" s="103"/>
      <c r="O506" s="103">
        <f t="shared" si="1"/>
        <v>0</v>
      </c>
      <c r="P506" s="104">
        <f t="shared" si="2"/>
        <v>0</v>
      </c>
      <c r="Q506" s="147"/>
      <c r="R506" s="103"/>
      <c r="S506" s="103">
        <f t="shared" si="3"/>
        <v>0</v>
      </c>
      <c r="U506" s="107" t="str">
        <f t="shared" si="4"/>
        <v>0</v>
      </c>
    </row>
    <row r="507" ht="15.75" customHeight="1">
      <c r="A507" s="279"/>
      <c r="B507" s="280"/>
      <c r="C507" s="280"/>
      <c r="D507" s="280"/>
      <c r="E507" s="281"/>
      <c r="F507" s="281"/>
      <c r="G507" s="280"/>
      <c r="H507" s="282"/>
      <c r="I507" s="283"/>
      <c r="J507" s="280"/>
      <c r="K507" s="103"/>
      <c r="L507" s="146"/>
      <c r="M507" s="103"/>
      <c r="N507" s="103"/>
      <c r="O507" s="103">
        <f t="shared" si="1"/>
        <v>0</v>
      </c>
      <c r="P507" s="104">
        <f t="shared" si="2"/>
        <v>0</v>
      </c>
      <c r="Q507" s="147"/>
      <c r="R507" s="103"/>
      <c r="S507" s="103">
        <f t="shared" si="3"/>
        <v>0</v>
      </c>
      <c r="U507" s="107" t="str">
        <f t="shared" si="4"/>
        <v>0</v>
      </c>
    </row>
    <row r="508" ht="15.75" customHeight="1">
      <c r="A508" s="279"/>
      <c r="B508" s="280"/>
      <c r="C508" s="280"/>
      <c r="D508" s="280"/>
      <c r="E508" s="281"/>
      <c r="F508" s="281"/>
      <c r="G508" s="280"/>
      <c r="H508" s="282"/>
      <c r="I508" s="283"/>
      <c r="J508" s="280"/>
      <c r="K508" s="103"/>
      <c r="L508" s="146"/>
      <c r="M508" s="103"/>
      <c r="N508" s="103"/>
      <c r="O508" s="103">
        <f t="shared" si="1"/>
        <v>0</v>
      </c>
      <c r="P508" s="104">
        <f t="shared" si="2"/>
        <v>0</v>
      </c>
      <c r="Q508" s="147"/>
      <c r="R508" s="103"/>
      <c r="S508" s="103">
        <f t="shared" si="3"/>
        <v>0</v>
      </c>
      <c r="U508" s="107" t="str">
        <f t="shared" si="4"/>
        <v>0</v>
      </c>
    </row>
    <row r="509" ht="15.75" customHeight="1">
      <c r="A509" s="279"/>
      <c r="B509" s="280"/>
      <c r="C509" s="280"/>
      <c r="D509" s="280"/>
      <c r="E509" s="281"/>
      <c r="F509" s="281"/>
      <c r="G509" s="280"/>
      <c r="H509" s="282"/>
      <c r="I509" s="283"/>
      <c r="J509" s="280"/>
      <c r="K509" s="103"/>
      <c r="L509" s="146"/>
      <c r="M509" s="103"/>
      <c r="N509" s="103"/>
      <c r="O509" s="103">
        <f t="shared" si="1"/>
        <v>0</v>
      </c>
      <c r="P509" s="104">
        <f t="shared" si="2"/>
        <v>0</v>
      </c>
      <c r="Q509" s="147"/>
      <c r="R509" s="103"/>
      <c r="S509" s="103">
        <f t="shared" si="3"/>
        <v>0</v>
      </c>
      <c r="U509" s="107" t="str">
        <f t="shared" si="4"/>
        <v>0</v>
      </c>
    </row>
    <row r="510" ht="15.75" customHeight="1">
      <c r="A510" s="279"/>
      <c r="B510" s="280"/>
      <c r="C510" s="280"/>
      <c r="D510" s="280"/>
      <c r="E510" s="281"/>
      <c r="F510" s="281"/>
      <c r="G510" s="280"/>
      <c r="H510" s="282"/>
      <c r="I510" s="283"/>
      <c r="J510" s="280"/>
      <c r="K510" s="103"/>
      <c r="L510" s="146"/>
      <c r="M510" s="103"/>
      <c r="N510" s="103"/>
      <c r="O510" s="103">
        <f t="shared" si="1"/>
        <v>0</v>
      </c>
      <c r="P510" s="104">
        <f t="shared" si="2"/>
        <v>0</v>
      </c>
      <c r="Q510" s="147"/>
      <c r="R510" s="103"/>
      <c r="S510" s="103">
        <f t="shared" si="3"/>
        <v>0</v>
      </c>
      <c r="U510" s="107" t="str">
        <f t="shared" si="4"/>
        <v>0</v>
      </c>
    </row>
    <row r="511" ht="15.75" customHeight="1">
      <c r="A511" s="279"/>
      <c r="B511" s="280"/>
      <c r="C511" s="280"/>
      <c r="D511" s="280"/>
      <c r="E511" s="281"/>
      <c r="F511" s="281"/>
      <c r="G511" s="280"/>
      <c r="H511" s="282"/>
      <c r="I511" s="283"/>
      <c r="J511" s="280"/>
      <c r="K511" s="103"/>
      <c r="L511" s="146"/>
      <c r="M511" s="103"/>
      <c r="N511" s="103"/>
      <c r="O511" s="103">
        <f t="shared" si="1"/>
        <v>0</v>
      </c>
      <c r="P511" s="104">
        <f t="shared" si="2"/>
        <v>0</v>
      </c>
      <c r="Q511" s="147"/>
      <c r="R511" s="103"/>
      <c r="S511" s="103">
        <f t="shared" si="3"/>
        <v>0</v>
      </c>
      <c r="U511" s="107" t="str">
        <f t="shared" si="4"/>
        <v>0</v>
      </c>
    </row>
    <row r="512" ht="15.75" customHeight="1">
      <c r="A512" s="279"/>
      <c r="B512" s="280"/>
      <c r="C512" s="280"/>
      <c r="D512" s="280"/>
      <c r="E512" s="281"/>
      <c r="F512" s="281"/>
      <c r="G512" s="280"/>
      <c r="H512" s="282"/>
      <c r="I512" s="283"/>
      <c r="J512" s="280"/>
      <c r="K512" s="103"/>
      <c r="L512" s="146"/>
      <c r="M512" s="103"/>
      <c r="N512" s="103"/>
      <c r="O512" s="103">
        <f t="shared" si="1"/>
        <v>0</v>
      </c>
      <c r="P512" s="104">
        <f t="shared" si="2"/>
        <v>0</v>
      </c>
      <c r="Q512" s="147"/>
      <c r="R512" s="103"/>
      <c r="S512" s="103">
        <f t="shared" si="3"/>
        <v>0</v>
      </c>
      <c r="U512" s="107" t="str">
        <f t="shared" si="4"/>
        <v>0</v>
      </c>
    </row>
    <row r="513" ht="15.75" customHeight="1">
      <c r="A513" s="279"/>
      <c r="B513" s="280"/>
      <c r="C513" s="280"/>
      <c r="D513" s="280"/>
      <c r="E513" s="281"/>
      <c r="F513" s="281"/>
      <c r="G513" s="280"/>
      <c r="H513" s="282"/>
      <c r="I513" s="283"/>
      <c r="J513" s="280"/>
      <c r="K513" s="103"/>
      <c r="L513" s="146"/>
      <c r="M513" s="103"/>
      <c r="N513" s="103"/>
      <c r="O513" s="103">
        <f t="shared" si="1"/>
        <v>0</v>
      </c>
      <c r="P513" s="104">
        <f t="shared" si="2"/>
        <v>0</v>
      </c>
      <c r="Q513" s="147"/>
      <c r="R513" s="103"/>
      <c r="S513" s="103">
        <f t="shared" si="3"/>
        <v>0</v>
      </c>
      <c r="U513" s="107" t="str">
        <f t="shared" si="4"/>
        <v>0</v>
      </c>
    </row>
    <row r="514" ht="15.75" customHeight="1">
      <c r="A514" s="279"/>
      <c r="B514" s="280"/>
      <c r="C514" s="280"/>
      <c r="D514" s="280"/>
      <c r="E514" s="281"/>
      <c r="F514" s="281"/>
      <c r="G514" s="280"/>
      <c r="H514" s="282"/>
      <c r="I514" s="283"/>
      <c r="J514" s="280"/>
      <c r="K514" s="103"/>
      <c r="L514" s="146"/>
      <c r="M514" s="103"/>
      <c r="N514" s="103"/>
      <c r="O514" s="103">
        <f t="shared" si="1"/>
        <v>0</v>
      </c>
      <c r="P514" s="104">
        <f t="shared" si="2"/>
        <v>0</v>
      </c>
      <c r="Q514" s="147"/>
      <c r="R514" s="103"/>
      <c r="S514" s="103">
        <f t="shared" si="3"/>
        <v>0</v>
      </c>
      <c r="U514" s="107" t="str">
        <f t="shared" si="4"/>
        <v>0</v>
      </c>
    </row>
    <row r="515" ht="15.75" customHeight="1">
      <c r="A515" s="279"/>
      <c r="B515" s="280"/>
      <c r="C515" s="280"/>
      <c r="D515" s="280"/>
      <c r="E515" s="281"/>
      <c r="F515" s="281"/>
      <c r="G515" s="280"/>
      <c r="H515" s="282"/>
      <c r="I515" s="283"/>
      <c r="J515" s="280"/>
      <c r="K515" s="103"/>
      <c r="L515" s="146"/>
      <c r="M515" s="103"/>
      <c r="N515" s="103"/>
      <c r="O515" s="103">
        <f t="shared" si="1"/>
        <v>0</v>
      </c>
      <c r="P515" s="104">
        <f t="shared" si="2"/>
        <v>0</v>
      </c>
      <c r="Q515" s="147"/>
      <c r="R515" s="103"/>
      <c r="S515" s="103">
        <f t="shared" si="3"/>
        <v>0</v>
      </c>
      <c r="U515" s="107" t="str">
        <f t="shared" si="4"/>
        <v>0</v>
      </c>
    </row>
    <row r="516" ht="15.75" customHeight="1">
      <c r="A516" s="279"/>
      <c r="B516" s="280"/>
      <c r="C516" s="280"/>
      <c r="D516" s="280"/>
      <c r="E516" s="281"/>
      <c r="F516" s="281"/>
      <c r="G516" s="280"/>
      <c r="H516" s="282"/>
      <c r="I516" s="283"/>
      <c r="J516" s="280"/>
      <c r="K516" s="103"/>
      <c r="L516" s="146"/>
      <c r="M516" s="103"/>
      <c r="N516" s="103"/>
      <c r="O516" s="103">
        <f t="shared" si="1"/>
        <v>0</v>
      </c>
      <c r="P516" s="104">
        <f t="shared" si="2"/>
        <v>0</v>
      </c>
      <c r="Q516" s="147"/>
      <c r="R516" s="103"/>
      <c r="S516" s="103">
        <f t="shared" si="3"/>
        <v>0</v>
      </c>
      <c r="U516" s="107" t="str">
        <f t="shared" si="4"/>
        <v>0</v>
      </c>
    </row>
    <row r="517" ht="15.75" customHeight="1">
      <c r="A517" s="279"/>
      <c r="B517" s="280"/>
      <c r="C517" s="280"/>
      <c r="D517" s="280"/>
      <c r="E517" s="281"/>
      <c r="F517" s="281"/>
      <c r="G517" s="280"/>
      <c r="H517" s="282"/>
      <c r="I517" s="283"/>
      <c r="J517" s="280"/>
      <c r="K517" s="103"/>
      <c r="L517" s="146"/>
      <c r="M517" s="103"/>
      <c r="N517" s="103"/>
      <c r="O517" s="103">
        <f t="shared" si="1"/>
        <v>0</v>
      </c>
      <c r="P517" s="104">
        <f t="shared" si="2"/>
        <v>0</v>
      </c>
      <c r="Q517" s="147"/>
      <c r="R517" s="103"/>
      <c r="S517" s="103">
        <f t="shared" si="3"/>
        <v>0</v>
      </c>
      <c r="U517" s="107" t="str">
        <f t="shared" si="4"/>
        <v>0</v>
      </c>
    </row>
    <row r="518" ht="15.75" customHeight="1">
      <c r="A518" s="279"/>
      <c r="B518" s="280"/>
      <c r="C518" s="280"/>
      <c r="D518" s="280"/>
      <c r="E518" s="281"/>
      <c r="F518" s="281"/>
      <c r="G518" s="280"/>
      <c r="H518" s="282"/>
      <c r="I518" s="283"/>
      <c r="J518" s="280"/>
      <c r="K518" s="103"/>
      <c r="L518" s="146"/>
      <c r="M518" s="103"/>
      <c r="N518" s="103"/>
      <c r="O518" s="103">
        <f t="shared" si="1"/>
        <v>0</v>
      </c>
      <c r="P518" s="104">
        <f t="shared" si="2"/>
        <v>0</v>
      </c>
      <c r="Q518" s="147"/>
      <c r="R518" s="103"/>
      <c r="S518" s="103">
        <f t="shared" si="3"/>
        <v>0</v>
      </c>
      <c r="U518" s="107" t="str">
        <f t="shared" si="4"/>
        <v>0</v>
      </c>
    </row>
    <row r="519" ht="15.75" customHeight="1">
      <c r="A519" s="279"/>
      <c r="B519" s="280"/>
      <c r="C519" s="280"/>
      <c r="D519" s="280"/>
      <c r="E519" s="281"/>
      <c r="F519" s="281"/>
      <c r="G519" s="280"/>
      <c r="H519" s="282"/>
      <c r="I519" s="283"/>
      <c r="J519" s="280"/>
      <c r="K519" s="103"/>
      <c r="L519" s="146"/>
      <c r="M519" s="103"/>
      <c r="N519" s="103"/>
      <c r="O519" s="103">
        <f t="shared" si="1"/>
        <v>0</v>
      </c>
      <c r="P519" s="104">
        <f t="shared" si="2"/>
        <v>0</v>
      </c>
      <c r="Q519" s="147"/>
      <c r="R519" s="103"/>
      <c r="S519" s="103">
        <f t="shared" si="3"/>
        <v>0</v>
      </c>
      <c r="U519" s="107" t="str">
        <f t="shared" si="4"/>
        <v>0</v>
      </c>
    </row>
    <row r="520" ht="15.75" customHeight="1">
      <c r="A520" s="279"/>
      <c r="B520" s="280"/>
      <c r="C520" s="280"/>
      <c r="D520" s="280"/>
      <c r="E520" s="281"/>
      <c r="F520" s="281"/>
      <c r="G520" s="280"/>
      <c r="H520" s="282"/>
      <c r="I520" s="283"/>
      <c r="J520" s="280"/>
      <c r="K520" s="103"/>
      <c r="L520" s="146"/>
      <c r="M520" s="103"/>
      <c r="N520" s="103"/>
      <c r="O520" s="103">
        <f t="shared" si="1"/>
        <v>0</v>
      </c>
      <c r="P520" s="104">
        <f t="shared" si="2"/>
        <v>0</v>
      </c>
      <c r="Q520" s="147"/>
      <c r="R520" s="103"/>
      <c r="S520" s="103">
        <f t="shared" si="3"/>
        <v>0</v>
      </c>
      <c r="U520" s="107" t="str">
        <f t="shared" si="4"/>
        <v>0</v>
      </c>
    </row>
    <row r="521" ht="15.75" customHeight="1">
      <c r="A521" s="279"/>
      <c r="B521" s="280"/>
      <c r="C521" s="280"/>
      <c r="D521" s="280"/>
      <c r="E521" s="281"/>
      <c r="F521" s="281"/>
      <c r="G521" s="280"/>
      <c r="H521" s="282"/>
      <c r="I521" s="283"/>
      <c r="J521" s="280"/>
      <c r="K521" s="103"/>
      <c r="L521" s="146"/>
      <c r="M521" s="103"/>
      <c r="N521" s="103"/>
      <c r="O521" s="103">
        <f t="shared" si="1"/>
        <v>0</v>
      </c>
      <c r="P521" s="104">
        <f t="shared" si="2"/>
        <v>0</v>
      </c>
      <c r="Q521" s="147"/>
      <c r="R521" s="103"/>
      <c r="S521" s="103">
        <f t="shared" si="3"/>
        <v>0</v>
      </c>
      <c r="U521" s="107" t="str">
        <f t="shared" si="4"/>
        <v>0</v>
      </c>
    </row>
    <row r="522" ht="15.75" customHeight="1">
      <c r="A522" s="279"/>
      <c r="B522" s="280"/>
      <c r="C522" s="280"/>
      <c r="D522" s="280"/>
      <c r="E522" s="281"/>
      <c r="F522" s="281"/>
      <c r="G522" s="280"/>
      <c r="H522" s="282"/>
      <c r="I522" s="283"/>
      <c r="J522" s="280"/>
      <c r="K522" s="103"/>
      <c r="L522" s="146"/>
      <c r="M522" s="103"/>
      <c r="N522" s="103"/>
      <c r="O522" s="103">
        <f t="shared" si="1"/>
        <v>0</v>
      </c>
      <c r="P522" s="104">
        <f t="shared" si="2"/>
        <v>0</v>
      </c>
      <c r="Q522" s="147"/>
      <c r="R522" s="103"/>
      <c r="S522" s="103">
        <f t="shared" si="3"/>
        <v>0</v>
      </c>
      <c r="U522" s="107" t="str">
        <f t="shared" si="4"/>
        <v>0</v>
      </c>
    </row>
    <row r="523" ht="15.75" customHeight="1">
      <c r="A523" s="279"/>
      <c r="B523" s="280"/>
      <c r="C523" s="280"/>
      <c r="D523" s="280"/>
      <c r="E523" s="281"/>
      <c r="F523" s="281"/>
      <c r="G523" s="280"/>
      <c r="H523" s="282"/>
      <c r="I523" s="283"/>
      <c r="J523" s="280"/>
      <c r="K523" s="103"/>
      <c r="L523" s="146"/>
      <c r="M523" s="103"/>
      <c r="N523" s="103"/>
      <c r="O523" s="103">
        <f t="shared" si="1"/>
        <v>0</v>
      </c>
      <c r="P523" s="104">
        <f t="shared" si="2"/>
        <v>0</v>
      </c>
      <c r="Q523" s="147"/>
      <c r="R523" s="103"/>
      <c r="S523" s="103">
        <f t="shared" si="3"/>
        <v>0</v>
      </c>
      <c r="U523" s="107" t="str">
        <f t="shared" si="4"/>
        <v>0</v>
      </c>
    </row>
    <row r="524" ht="15.75" customHeight="1">
      <c r="A524" s="279"/>
      <c r="B524" s="280"/>
      <c r="C524" s="280"/>
      <c r="D524" s="280"/>
      <c r="E524" s="281"/>
      <c r="F524" s="281"/>
      <c r="G524" s="280"/>
      <c r="H524" s="282"/>
      <c r="I524" s="283"/>
      <c r="J524" s="280"/>
      <c r="K524" s="103"/>
      <c r="L524" s="146"/>
      <c r="M524" s="103"/>
      <c r="N524" s="103"/>
      <c r="O524" s="103">
        <f t="shared" si="1"/>
        <v>0</v>
      </c>
      <c r="P524" s="104">
        <f t="shared" si="2"/>
        <v>0</v>
      </c>
      <c r="Q524" s="147"/>
      <c r="R524" s="103"/>
      <c r="S524" s="103">
        <f t="shared" si="3"/>
        <v>0</v>
      </c>
      <c r="U524" s="107" t="str">
        <f t="shared" si="4"/>
        <v>0</v>
      </c>
    </row>
    <row r="525" ht="15.75" customHeight="1">
      <c r="A525" s="279"/>
      <c r="B525" s="280"/>
      <c r="C525" s="280"/>
      <c r="D525" s="280"/>
      <c r="E525" s="281"/>
      <c r="F525" s="281"/>
      <c r="G525" s="280"/>
      <c r="H525" s="282"/>
      <c r="I525" s="283"/>
      <c r="J525" s="280"/>
      <c r="K525" s="103"/>
      <c r="L525" s="146"/>
      <c r="M525" s="103"/>
      <c r="N525" s="103"/>
      <c r="O525" s="103">
        <f t="shared" si="1"/>
        <v>0</v>
      </c>
      <c r="P525" s="104">
        <f t="shared" si="2"/>
        <v>0</v>
      </c>
      <c r="Q525" s="147"/>
      <c r="R525" s="103"/>
      <c r="S525" s="103">
        <f t="shared" si="3"/>
        <v>0</v>
      </c>
      <c r="U525" s="107" t="str">
        <f t="shared" si="4"/>
        <v>0</v>
      </c>
    </row>
    <row r="526" ht="15.75" customHeight="1">
      <c r="A526" s="279"/>
      <c r="B526" s="280"/>
      <c r="C526" s="280"/>
      <c r="D526" s="280"/>
      <c r="E526" s="281"/>
      <c r="F526" s="281"/>
      <c r="G526" s="280"/>
      <c r="H526" s="282"/>
      <c r="I526" s="283"/>
      <c r="J526" s="280"/>
      <c r="K526" s="103"/>
      <c r="L526" s="146"/>
      <c r="M526" s="103"/>
      <c r="N526" s="103"/>
      <c r="O526" s="103">
        <f t="shared" si="1"/>
        <v>0</v>
      </c>
      <c r="P526" s="104">
        <f t="shared" si="2"/>
        <v>0</v>
      </c>
      <c r="Q526" s="147"/>
      <c r="R526" s="103"/>
      <c r="S526" s="103">
        <f t="shared" si="3"/>
        <v>0</v>
      </c>
      <c r="U526" s="107" t="str">
        <f t="shared" si="4"/>
        <v>0</v>
      </c>
    </row>
    <row r="527" ht="15.75" customHeight="1">
      <c r="A527" s="279"/>
      <c r="B527" s="280"/>
      <c r="C527" s="280"/>
      <c r="D527" s="280"/>
      <c r="E527" s="281"/>
      <c r="F527" s="281"/>
      <c r="G527" s="280"/>
      <c r="H527" s="282"/>
      <c r="I527" s="283"/>
      <c r="J527" s="280"/>
      <c r="K527" s="103"/>
      <c r="L527" s="146"/>
      <c r="M527" s="103"/>
      <c r="N527" s="103"/>
      <c r="O527" s="103">
        <f t="shared" si="1"/>
        <v>0</v>
      </c>
      <c r="P527" s="104">
        <f t="shared" si="2"/>
        <v>0</v>
      </c>
      <c r="Q527" s="147"/>
      <c r="R527" s="103"/>
      <c r="S527" s="103">
        <f t="shared" si="3"/>
        <v>0</v>
      </c>
      <c r="U527" s="107" t="str">
        <f t="shared" si="4"/>
        <v>0</v>
      </c>
    </row>
    <row r="528" ht="15.75" customHeight="1">
      <c r="A528" s="279"/>
      <c r="B528" s="280"/>
      <c r="C528" s="280"/>
      <c r="D528" s="280"/>
      <c r="E528" s="281"/>
      <c r="F528" s="281"/>
      <c r="G528" s="280"/>
      <c r="H528" s="282"/>
      <c r="I528" s="283"/>
      <c r="J528" s="280"/>
      <c r="K528" s="103"/>
      <c r="L528" s="146"/>
      <c r="M528" s="103"/>
      <c r="N528" s="103"/>
      <c r="O528" s="103">
        <f t="shared" si="1"/>
        <v>0</v>
      </c>
      <c r="P528" s="104">
        <f t="shared" si="2"/>
        <v>0</v>
      </c>
      <c r="Q528" s="147"/>
      <c r="R528" s="103"/>
      <c r="S528" s="103">
        <f t="shared" si="3"/>
        <v>0</v>
      </c>
      <c r="U528" s="107" t="str">
        <f t="shared" si="4"/>
        <v>0</v>
      </c>
    </row>
    <row r="529" ht="15.75" customHeight="1">
      <c r="A529" s="279"/>
      <c r="B529" s="280"/>
      <c r="C529" s="280"/>
      <c r="D529" s="280"/>
      <c r="E529" s="281"/>
      <c r="F529" s="281"/>
      <c r="G529" s="280"/>
      <c r="H529" s="282"/>
      <c r="I529" s="283"/>
      <c r="J529" s="280"/>
      <c r="K529" s="103"/>
      <c r="L529" s="146"/>
      <c r="M529" s="103"/>
      <c r="N529" s="103"/>
      <c r="O529" s="103">
        <f t="shared" si="1"/>
        <v>0</v>
      </c>
      <c r="P529" s="104">
        <f t="shared" si="2"/>
        <v>0</v>
      </c>
      <c r="Q529" s="147"/>
      <c r="R529" s="103"/>
      <c r="S529" s="103">
        <f t="shared" si="3"/>
        <v>0</v>
      </c>
      <c r="U529" s="107" t="str">
        <f t="shared" si="4"/>
        <v>0</v>
      </c>
    </row>
    <row r="530" ht="15.75" customHeight="1">
      <c r="A530" s="279"/>
      <c r="B530" s="280"/>
      <c r="C530" s="280"/>
      <c r="D530" s="280"/>
      <c r="E530" s="281"/>
      <c r="F530" s="281"/>
      <c r="G530" s="280"/>
      <c r="H530" s="282"/>
      <c r="I530" s="283"/>
      <c r="J530" s="280"/>
      <c r="K530" s="103"/>
      <c r="L530" s="146"/>
      <c r="M530" s="103"/>
      <c r="N530" s="103"/>
      <c r="O530" s="103">
        <f t="shared" si="1"/>
        <v>0</v>
      </c>
      <c r="P530" s="104">
        <f t="shared" si="2"/>
        <v>0</v>
      </c>
      <c r="Q530" s="147"/>
      <c r="R530" s="103"/>
      <c r="S530" s="103">
        <f t="shared" si="3"/>
        <v>0</v>
      </c>
      <c r="U530" s="107" t="str">
        <f t="shared" si="4"/>
        <v>0</v>
      </c>
    </row>
    <row r="531" ht="15.75" customHeight="1">
      <c r="A531" s="279"/>
      <c r="B531" s="280"/>
      <c r="C531" s="280"/>
      <c r="D531" s="280"/>
      <c r="E531" s="281"/>
      <c r="F531" s="281"/>
      <c r="G531" s="280"/>
      <c r="H531" s="282"/>
      <c r="I531" s="283"/>
      <c r="J531" s="280"/>
      <c r="K531" s="103"/>
      <c r="L531" s="146"/>
      <c r="M531" s="103"/>
      <c r="N531" s="103"/>
      <c r="O531" s="103">
        <f t="shared" si="1"/>
        <v>0</v>
      </c>
      <c r="P531" s="104">
        <f t="shared" si="2"/>
        <v>0</v>
      </c>
      <c r="Q531" s="147"/>
      <c r="R531" s="103"/>
      <c r="S531" s="103">
        <f t="shared" si="3"/>
        <v>0</v>
      </c>
      <c r="U531" s="107" t="str">
        <f t="shared" si="4"/>
        <v>0</v>
      </c>
    </row>
    <row r="532" ht="15.75" customHeight="1">
      <c r="A532" s="279"/>
      <c r="B532" s="280"/>
      <c r="C532" s="280"/>
      <c r="D532" s="280"/>
      <c r="E532" s="281"/>
      <c r="F532" s="281"/>
      <c r="G532" s="280"/>
      <c r="H532" s="282"/>
      <c r="I532" s="283"/>
      <c r="J532" s="280"/>
      <c r="K532" s="103"/>
      <c r="L532" s="146"/>
      <c r="M532" s="103"/>
      <c r="N532" s="103"/>
      <c r="O532" s="103">
        <f t="shared" si="1"/>
        <v>0</v>
      </c>
      <c r="P532" s="104">
        <f t="shared" si="2"/>
        <v>0</v>
      </c>
      <c r="Q532" s="147"/>
      <c r="R532" s="103"/>
      <c r="S532" s="103">
        <f t="shared" si="3"/>
        <v>0</v>
      </c>
      <c r="U532" s="107" t="str">
        <f t="shared" si="4"/>
        <v>0</v>
      </c>
    </row>
    <row r="533" ht="15.75" customHeight="1">
      <c r="A533" s="279"/>
      <c r="B533" s="280"/>
      <c r="C533" s="280"/>
      <c r="D533" s="280"/>
      <c r="E533" s="281"/>
      <c r="F533" s="281"/>
      <c r="G533" s="280"/>
      <c r="H533" s="282"/>
      <c r="I533" s="283"/>
      <c r="J533" s="280"/>
      <c r="K533" s="103"/>
      <c r="L533" s="146"/>
      <c r="M533" s="103"/>
      <c r="N533" s="103"/>
      <c r="O533" s="103">
        <f t="shared" si="1"/>
        <v>0</v>
      </c>
      <c r="P533" s="104">
        <f t="shared" si="2"/>
        <v>0</v>
      </c>
      <c r="Q533" s="147"/>
      <c r="R533" s="103"/>
      <c r="S533" s="103">
        <f t="shared" si="3"/>
        <v>0</v>
      </c>
      <c r="U533" s="107" t="str">
        <f t="shared" si="4"/>
        <v>0</v>
      </c>
    </row>
    <row r="534" ht="15.75" customHeight="1">
      <c r="A534" s="279"/>
      <c r="B534" s="280"/>
      <c r="C534" s="280"/>
      <c r="D534" s="280"/>
      <c r="E534" s="281"/>
      <c r="F534" s="281"/>
      <c r="G534" s="280"/>
      <c r="H534" s="282"/>
      <c r="I534" s="283"/>
      <c r="J534" s="280"/>
      <c r="K534" s="103"/>
      <c r="L534" s="146"/>
      <c r="M534" s="103"/>
      <c r="N534" s="103"/>
      <c r="O534" s="103">
        <f t="shared" si="1"/>
        <v>0</v>
      </c>
      <c r="P534" s="104">
        <f t="shared" si="2"/>
        <v>0</v>
      </c>
      <c r="Q534" s="147"/>
      <c r="R534" s="103"/>
      <c r="S534" s="103">
        <f t="shared" si="3"/>
        <v>0</v>
      </c>
      <c r="U534" s="107" t="str">
        <f t="shared" si="4"/>
        <v>0</v>
      </c>
    </row>
    <row r="535" ht="15.75" customHeight="1">
      <c r="A535" s="279"/>
      <c r="B535" s="280"/>
      <c r="C535" s="280"/>
      <c r="D535" s="280"/>
      <c r="E535" s="281"/>
      <c r="F535" s="281"/>
      <c r="G535" s="280"/>
      <c r="H535" s="282"/>
      <c r="I535" s="283"/>
      <c r="J535" s="280"/>
      <c r="K535" s="103"/>
      <c r="L535" s="146"/>
      <c r="M535" s="103"/>
      <c r="N535" s="103"/>
      <c r="O535" s="103">
        <f t="shared" si="1"/>
        <v>0</v>
      </c>
      <c r="P535" s="104">
        <f t="shared" si="2"/>
        <v>0</v>
      </c>
      <c r="Q535" s="147"/>
      <c r="R535" s="103"/>
      <c r="S535" s="103">
        <f t="shared" si="3"/>
        <v>0</v>
      </c>
      <c r="U535" s="107" t="str">
        <f t="shared" si="4"/>
        <v>0</v>
      </c>
    </row>
    <row r="536" ht="15.75" customHeight="1">
      <c r="A536" s="279"/>
      <c r="B536" s="280"/>
      <c r="C536" s="280"/>
      <c r="D536" s="280"/>
      <c r="E536" s="281"/>
      <c r="F536" s="281"/>
      <c r="G536" s="280"/>
      <c r="H536" s="282"/>
      <c r="I536" s="283"/>
      <c r="J536" s="280"/>
      <c r="K536" s="103"/>
      <c r="L536" s="146"/>
      <c r="M536" s="103"/>
      <c r="N536" s="103"/>
      <c r="O536" s="103">
        <f t="shared" si="1"/>
        <v>0</v>
      </c>
      <c r="P536" s="104">
        <f t="shared" si="2"/>
        <v>0</v>
      </c>
      <c r="Q536" s="147"/>
      <c r="R536" s="103"/>
      <c r="S536" s="103">
        <f t="shared" si="3"/>
        <v>0</v>
      </c>
      <c r="U536" s="107" t="str">
        <f t="shared" si="4"/>
        <v>0</v>
      </c>
    </row>
    <row r="537" ht="15.75" customHeight="1">
      <c r="A537" s="279"/>
      <c r="B537" s="280"/>
      <c r="C537" s="280"/>
      <c r="D537" s="280"/>
      <c r="E537" s="281"/>
      <c r="F537" s="281"/>
      <c r="G537" s="280"/>
      <c r="H537" s="282"/>
      <c r="I537" s="283"/>
      <c r="J537" s="280"/>
      <c r="K537" s="103"/>
      <c r="L537" s="146"/>
      <c r="M537" s="103"/>
      <c r="N537" s="103"/>
      <c r="O537" s="103">
        <f t="shared" si="1"/>
        <v>0</v>
      </c>
      <c r="P537" s="104">
        <f t="shared" si="2"/>
        <v>0</v>
      </c>
      <c r="Q537" s="147"/>
      <c r="R537" s="103"/>
      <c r="S537" s="103">
        <f t="shared" si="3"/>
        <v>0</v>
      </c>
      <c r="U537" s="107" t="str">
        <f t="shared" si="4"/>
        <v>0</v>
      </c>
    </row>
    <row r="538" ht="15.75" customHeight="1">
      <c r="A538" s="279"/>
      <c r="B538" s="280"/>
      <c r="C538" s="280"/>
      <c r="D538" s="280"/>
      <c r="E538" s="281"/>
      <c r="F538" s="281"/>
      <c r="G538" s="280"/>
      <c r="H538" s="282"/>
      <c r="I538" s="283"/>
      <c r="J538" s="280"/>
      <c r="K538" s="103"/>
      <c r="L538" s="146"/>
      <c r="M538" s="103"/>
      <c r="N538" s="103"/>
      <c r="O538" s="103">
        <f t="shared" si="1"/>
        <v>0</v>
      </c>
      <c r="P538" s="104">
        <f t="shared" si="2"/>
        <v>0</v>
      </c>
      <c r="Q538" s="147"/>
      <c r="R538" s="103"/>
      <c r="S538" s="103">
        <f t="shared" si="3"/>
        <v>0</v>
      </c>
      <c r="U538" s="107" t="str">
        <f t="shared" si="4"/>
        <v>0</v>
      </c>
    </row>
    <row r="539" ht="15.75" customHeight="1">
      <c r="A539" s="279"/>
      <c r="B539" s="280"/>
      <c r="C539" s="280"/>
      <c r="D539" s="280"/>
      <c r="E539" s="281"/>
      <c r="F539" s="281"/>
      <c r="G539" s="280"/>
      <c r="H539" s="282"/>
      <c r="I539" s="283"/>
      <c r="J539" s="280"/>
      <c r="K539" s="103"/>
      <c r="L539" s="146"/>
      <c r="M539" s="103"/>
      <c r="N539" s="103"/>
      <c r="O539" s="103">
        <f t="shared" si="1"/>
        <v>0</v>
      </c>
      <c r="P539" s="104">
        <f t="shared" si="2"/>
        <v>0</v>
      </c>
      <c r="Q539" s="147"/>
      <c r="R539" s="103"/>
      <c r="S539" s="103">
        <f t="shared" si="3"/>
        <v>0</v>
      </c>
      <c r="U539" s="107" t="str">
        <f t="shared" si="4"/>
        <v>0</v>
      </c>
    </row>
    <row r="540" ht="15.75" customHeight="1">
      <c r="A540" s="279"/>
      <c r="B540" s="280"/>
      <c r="C540" s="280"/>
      <c r="D540" s="280"/>
      <c r="E540" s="281"/>
      <c r="F540" s="281"/>
      <c r="G540" s="280"/>
      <c r="H540" s="282"/>
      <c r="I540" s="283"/>
      <c r="J540" s="280"/>
      <c r="K540" s="103"/>
      <c r="L540" s="146"/>
      <c r="M540" s="103"/>
      <c r="N540" s="103"/>
      <c r="O540" s="103">
        <f t="shared" si="1"/>
        <v>0</v>
      </c>
      <c r="P540" s="104">
        <f t="shared" si="2"/>
        <v>0</v>
      </c>
      <c r="Q540" s="147"/>
      <c r="R540" s="103"/>
      <c r="S540" s="103">
        <f t="shared" si="3"/>
        <v>0</v>
      </c>
      <c r="U540" s="107" t="str">
        <f t="shared" si="4"/>
        <v>0</v>
      </c>
    </row>
    <row r="541" ht="15.75" customHeight="1">
      <c r="A541" s="279"/>
      <c r="B541" s="280"/>
      <c r="C541" s="280"/>
      <c r="D541" s="280"/>
      <c r="E541" s="281"/>
      <c r="F541" s="281"/>
      <c r="G541" s="280"/>
      <c r="H541" s="282"/>
      <c r="I541" s="283"/>
      <c r="J541" s="280"/>
      <c r="K541" s="103"/>
      <c r="L541" s="146"/>
      <c r="M541" s="103"/>
      <c r="N541" s="103"/>
      <c r="O541" s="103">
        <f t="shared" si="1"/>
        <v>0</v>
      </c>
      <c r="P541" s="104">
        <f t="shared" si="2"/>
        <v>0</v>
      </c>
      <c r="Q541" s="147"/>
      <c r="R541" s="103"/>
      <c r="S541" s="103">
        <f t="shared" si="3"/>
        <v>0</v>
      </c>
      <c r="U541" s="107" t="str">
        <f t="shared" si="4"/>
        <v>0</v>
      </c>
    </row>
    <row r="542" ht="15.75" customHeight="1">
      <c r="A542" s="279"/>
      <c r="B542" s="280"/>
      <c r="C542" s="280"/>
      <c r="D542" s="280"/>
      <c r="E542" s="281"/>
      <c r="F542" s="281"/>
      <c r="G542" s="280"/>
      <c r="H542" s="282"/>
      <c r="I542" s="283"/>
      <c r="J542" s="280"/>
      <c r="K542" s="103"/>
      <c r="L542" s="146"/>
      <c r="M542" s="103"/>
      <c r="N542" s="103"/>
      <c r="O542" s="103">
        <f t="shared" si="1"/>
        <v>0</v>
      </c>
      <c r="P542" s="104">
        <f t="shared" si="2"/>
        <v>0</v>
      </c>
      <c r="Q542" s="147"/>
      <c r="R542" s="103"/>
      <c r="S542" s="103">
        <f t="shared" si="3"/>
        <v>0</v>
      </c>
      <c r="U542" s="107" t="str">
        <f t="shared" si="4"/>
        <v>0</v>
      </c>
    </row>
    <row r="543" ht="15.75" customHeight="1">
      <c r="A543" s="279"/>
      <c r="B543" s="280"/>
      <c r="C543" s="280"/>
      <c r="D543" s="280"/>
      <c r="E543" s="281"/>
      <c r="F543" s="281"/>
      <c r="G543" s="280"/>
      <c r="H543" s="282"/>
      <c r="I543" s="283"/>
      <c r="J543" s="280"/>
      <c r="K543" s="103"/>
      <c r="L543" s="146"/>
      <c r="M543" s="103"/>
      <c r="N543" s="103"/>
      <c r="O543" s="103">
        <f t="shared" si="1"/>
        <v>0</v>
      </c>
      <c r="P543" s="104">
        <f t="shared" si="2"/>
        <v>0</v>
      </c>
      <c r="Q543" s="147"/>
      <c r="R543" s="103"/>
      <c r="S543" s="103">
        <f t="shared" si="3"/>
        <v>0</v>
      </c>
      <c r="U543" s="107" t="str">
        <f t="shared" si="4"/>
        <v>0</v>
      </c>
    </row>
    <row r="544" ht="15.75" customHeight="1">
      <c r="A544" s="279"/>
      <c r="B544" s="280"/>
      <c r="C544" s="280"/>
      <c r="D544" s="280"/>
      <c r="E544" s="281"/>
      <c r="F544" s="281"/>
      <c r="G544" s="280"/>
      <c r="H544" s="282"/>
      <c r="I544" s="283"/>
      <c r="J544" s="280"/>
      <c r="K544" s="103"/>
      <c r="L544" s="146"/>
      <c r="M544" s="103"/>
      <c r="N544" s="103"/>
      <c r="O544" s="103">
        <f t="shared" si="1"/>
        <v>0</v>
      </c>
      <c r="P544" s="104">
        <f t="shared" si="2"/>
        <v>0</v>
      </c>
      <c r="Q544" s="147"/>
      <c r="R544" s="103"/>
      <c r="S544" s="103">
        <f t="shared" si="3"/>
        <v>0</v>
      </c>
      <c r="U544" s="107" t="str">
        <f t="shared" si="4"/>
        <v>0</v>
      </c>
    </row>
    <row r="545" ht="15.75" customHeight="1">
      <c r="A545" s="279"/>
      <c r="B545" s="280"/>
      <c r="C545" s="280"/>
      <c r="D545" s="280"/>
      <c r="E545" s="281"/>
      <c r="F545" s="281"/>
      <c r="G545" s="280"/>
      <c r="H545" s="282"/>
      <c r="I545" s="283"/>
      <c r="J545" s="280"/>
      <c r="K545" s="103"/>
      <c r="L545" s="146"/>
      <c r="M545" s="103"/>
      <c r="N545" s="103"/>
      <c r="O545" s="103">
        <f t="shared" si="1"/>
        <v>0</v>
      </c>
      <c r="P545" s="104">
        <f t="shared" si="2"/>
        <v>0</v>
      </c>
      <c r="Q545" s="147"/>
      <c r="R545" s="103"/>
      <c r="S545" s="103">
        <f t="shared" si="3"/>
        <v>0</v>
      </c>
      <c r="U545" s="107" t="str">
        <f t="shared" si="4"/>
        <v>0</v>
      </c>
    </row>
    <row r="546" ht="15.75" customHeight="1">
      <c r="A546" s="279"/>
      <c r="B546" s="280"/>
      <c r="C546" s="280"/>
      <c r="D546" s="280"/>
      <c r="E546" s="281"/>
      <c r="F546" s="281"/>
      <c r="G546" s="280"/>
      <c r="H546" s="282"/>
      <c r="I546" s="283"/>
      <c r="J546" s="280"/>
      <c r="K546" s="103"/>
      <c r="L546" s="146"/>
      <c r="M546" s="103"/>
      <c r="N546" s="103"/>
      <c r="O546" s="103">
        <f t="shared" si="1"/>
        <v>0</v>
      </c>
      <c r="P546" s="104">
        <f t="shared" si="2"/>
        <v>0</v>
      </c>
      <c r="Q546" s="147"/>
      <c r="R546" s="103"/>
      <c r="S546" s="103">
        <f t="shared" si="3"/>
        <v>0</v>
      </c>
      <c r="U546" s="107" t="str">
        <f t="shared" si="4"/>
        <v>0</v>
      </c>
    </row>
    <row r="547" ht="15.75" customHeight="1">
      <c r="A547" s="279"/>
      <c r="B547" s="280"/>
      <c r="C547" s="280"/>
      <c r="D547" s="280"/>
      <c r="E547" s="281"/>
      <c r="F547" s="281"/>
      <c r="G547" s="280"/>
      <c r="H547" s="282"/>
      <c r="I547" s="283"/>
      <c r="J547" s="280"/>
      <c r="K547" s="103"/>
      <c r="L547" s="146"/>
      <c r="M547" s="103"/>
      <c r="N547" s="103"/>
      <c r="O547" s="103">
        <f t="shared" si="1"/>
        <v>0</v>
      </c>
      <c r="P547" s="104">
        <f t="shared" si="2"/>
        <v>0</v>
      </c>
      <c r="Q547" s="147"/>
      <c r="R547" s="103"/>
      <c r="S547" s="103">
        <f t="shared" si="3"/>
        <v>0</v>
      </c>
      <c r="U547" s="107" t="str">
        <f t="shared" si="4"/>
        <v>0</v>
      </c>
    </row>
    <row r="548" ht="15.75" customHeight="1">
      <c r="A548" s="279"/>
      <c r="B548" s="280"/>
      <c r="C548" s="280"/>
      <c r="D548" s="280"/>
      <c r="E548" s="281"/>
      <c r="F548" s="281"/>
      <c r="G548" s="280"/>
      <c r="H548" s="282"/>
      <c r="I548" s="283"/>
      <c r="J548" s="280"/>
      <c r="K548" s="103"/>
      <c r="L548" s="146"/>
      <c r="M548" s="103"/>
      <c r="N548" s="103"/>
      <c r="O548" s="103">
        <f t="shared" si="1"/>
        <v>0</v>
      </c>
      <c r="P548" s="104">
        <f t="shared" si="2"/>
        <v>0</v>
      </c>
      <c r="Q548" s="147"/>
      <c r="R548" s="103"/>
      <c r="S548" s="103">
        <f t="shared" si="3"/>
        <v>0</v>
      </c>
      <c r="U548" s="107" t="str">
        <f t="shared" si="4"/>
        <v>0</v>
      </c>
    </row>
    <row r="549" ht="15.75" customHeight="1">
      <c r="A549" s="279"/>
      <c r="B549" s="280"/>
      <c r="C549" s="280"/>
      <c r="D549" s="280"/>
      <c r="E549" s="281"/>
      <c r="F549" s="281"/>
      <c r="G549" s="280"/>
      <c r="H549" s="282"/>
      <c r="I549" s="283"/>
      <c r="J549" s="280"/>
      <c r="K549" s="103"/>
      <c r="L549" s="146"/>
      <c r="M549" s="103"/>
      <c r="N549" s="103"/>
      <c r="O549" s="103">
        <f t="shared" si="1"/>
        <v>0</v>
      </c>
      <c r="P549" s="104">
        <f t="shared" si="2"/>
        <v>0</v>
      </c>
      <c r="Q549" s="147"/>
      <c r="R549" s="103"/>
      <c r="S549" s="103">
        <f t="shared" si="3"/>
        <v>0</v>
      </c>
      <c r="U549" s="107" t="str">
        <f t="shared" si="4"/>
        <v>0</v>
      </c>
    </row>
    <row r="550" ht="15.75" customHeight="1">
      <c r="A550" s="279"/>
      <c r="B550" s="280"/>
      <c r="C550" s="280"/>
      <c r="D550" s="280"/>
      <c r="E550" s="281"/>
      <c r="F550" s="281"/>
      <c r="G550" s="280"/>
      <c r="H550" s="282"/>
      <c r="I550" s="283"/>
      <c r="J550" s="280"/>
      <c r="K550" s="103"/>
      <c r="L550" s="146"/>
      <c r="M550" s="103"/>
      <c r="N550" s="103"/>
      <c r="O550" s="103">
        <f t="shared" si="1"/>
        <v>0</v>
      </c>
      <c r="P550" s="104">
        <f t="shared" si="2"/>
        <v>0</v>
      </c>
      <c r="Q550" s="147"/>
      <c r="R550" s="103"/>
      <c r="S550" s="103">
        <f t="shared" si="3"/>
        <v>0</v>
      </c>
      <c r="U550" s="107" t="str">
        <f t="shared" si="4"/>
        <v>0</v>
      </c>
    </row>
    <row r="551" ht="15.75" customHeight="1">
      <c r="A551" s="279"/>
      <c r="B551" s="280"/>
      <c r="C551" s="280"/>
      <c r="D551" s="280"/>
      <c r="E551" s="281"/>
      <c r="F551" s="281"/>
      <c r="G551" s="280"/>
      <c r="H551" s="282"/>
      <c r="I551" s="283"/>
      <c r="J551" s="280"/>
      <c r="K551" s="103"/>
      <c r="L551" s="146"/>
      <c r="M551" s="103"/>
      <c r="N551" s="103"/>
      <c r="O551" s="103">
        <f t="shared" si="1"/>
        <v>0</v>
      </c>
      <c r="P551" s="104">
        <f t="shared" si="2"/>
        <v>0</v>
      </c>
      <c r="Q551" s="147"/>
      <c r="R551" s="103"/>
      <c r="S551" s="103">
        <f t="shared" si="3"/>
        <v>0</v>
      </c>
      <c r="U551" s="107" t="str">
        <f t="shared" si="4"/>
        <v>0</v>
      </c>
    </row>
    <row r="552" ht="15.75" customHeight="1">
      <c r="A552" s="279"/>
      <c r="B552" s="280"/>
      <c r="C552" s="280"/>
      <c r="D552" s="280"/>
      <c r="E552" s="281"/>
      <c r="F552" s="281"/>
      <c r="G552" s="280"/>
      <c r="H552" s="282"/>
      <c r="I552" s="283"/>
      <c r="J552" s="280"/>
      <c r="K552" s="103"/>
      <c r="L552" s="146"/>
      <c r="M552" s="103"/>
      <c r="N552" s="103"/>
      <c r="O552" s="103">
        <f t="shared" si="1"/>
        <v>0</v>
      </c>
      <c r="P552" s="104">
        <f t="shared" si="2"/>
        <v>0</v>
      </c>
      <c r="Q552" s="147"/>
      <c r="R552" s="103"/>
      <c r="S552" s="103">
        <f t="shared" si="3"/>
        <v>0</v>
      </c>
      <c r="U552" s="107" t="str">
        <f t="shared" si="4"/>
        <v>0</v>
      </c>
    </row>
    <row r="553" ht="15.75" customHeight="1">
      <c r="A553" s="279"/>
      <c r="B553" s="280"/>
      <c r="C553" s="280"/>
      <c r="D553" s="280"/>
      <c r="E553" s="281"/>
      <c r="F553" s="281"/>
      <c r="G553" s="280"/>
      <c r="H553" s="282"/>
      <c r="I553" s="283"/>
      <c r="J553" s="280"/>
      <c r="K553" s="103"/>
      <c r="L553" s="146"/>
      <c r="M553" s="103"/>
      <c r="N553" s="103"/>
      <c r="O553" s="103">
        <f t="shared" si="1"/>
        <v>0</v>
      </c>
      <c r="P553" s="104">
        <f t="shared" si="2"/>
        <v>0</v>
      </c>
      <c r="Q553" s="147"/>
      <c r="R553" s="103"/>
      <c r="S553" s="103">
        <f t="shared" si="3"/>
        <v>0</v>
      </c>
      <c r="U553" s="107" t="str">
        <f t="shared" si="4"/>
        <v>0</v>
      </c>
    </row>
    <row r="554" ht="15.75" customHeight="1">
      <c r="A554" s="279"/>
      <c r="B554" s="280"/>
      <c r="C554" s="280"/>
      <c r="D554" s="280"/>
      <c r="E554" s="281"/>
      <c r="F554" s="281"/>
      <c r="G554" s="280"/>
      <c r="H554" s="282"/>
      <c r="I554" s="283"/>
      <c r="J554" s="280"/>
      <c r="K554" s="103"/>
      <c r="L554" s="146"/>
      <c r="M554" s="103"/>
      <c r="N554" s="103"/>
      <c r="O554" s="103">
        <f t="shared" si="1"/>
        <v>0</v>
      </c>
      <c r="P554" s="104">
        <f t="shared" si="2"/>
        <v>0</v>
      </c>
      <c r="Q554" s="147"/>
      <c r="R554" s="103"/>
      <c r="S554" s="103">
        <f t="shared" si="3"/>
        <v>0</v>
      </c>
      <c r="U554" s="107" t="str">
        <f t="shared" si="4"/>
        <v>0</v>
      </c>
    </row>
    <row r="555" ht="15.75" customHeight="1">
      <c r="A555" s="279"/>
      <c r="B555" s="280"/>
      <c r="C555" s="280"/>
      <c r="D555" s="280"/>
      <c r="E555" s="281"/>
      <c r="F555" s="281"/>
      <c r="G555" s="280"/>
      <c r="H555" s="282"/>
      <c r="I555" s="283"/>
      <c r="J555" s="280"/>
      <c r="K555" s="103"/>
      <c r="L555" s="146"/>
      <c r="M555" s="103"/>
      <c r="N555" s="103"/>
      <c r="O555" s="103">
        <f t="shared" si="1"/>
        <v>0</v>
      </c>
      <c r="P555" s="104">
        <f t="shared" si="2"/>
        <v>0</v>
      </c>
      <c r="Q555" s="147"/>
      <c r="R555" s="103"/>
      <c r="S555" s="103">
        <f t="shared" si="3"/>
        <v>0</v>
      </c>
      <c r="U555" s="107" t="str">
        <f t="shared" si="4"/>
        <v>0</v>
      </c>
    </row>
    <row r="556" ht="15.75" customHeight="1">
      <c r="A556" s="279"/>
      <c r="B556" s="280"/>
      <c r="C556" s="280"/>
      <c r="D556" s="280"/>
      <c r="E556" s="281"/>
      <c r="F556" s="281"/>
      <c r="G556" s="280"/>
      <c r="H556" s="282"/>
      <c r="I556" s="283"/>
      <c r="J556" s="280"/>
      <c r="K556" s="103"/>
      <c r="L556" s="146"/>
      <c r="M556" s="103"/>
      <c r="N556" s="103"/>
      <c r="O556" s="103">
        <f t="shared" si="1"/>
        <v>0</v>
      </c>
      <c r="P556" s="104">
        <f t="shared" si="2"/>
        <v>0</v>
      </c>
      <c r="Q556" s="147"/>
      <c r="R556" s="103"/>
      <c r="S556" s="103">
        <f t="shared" si="3"/>
        <v>0</v>
      </c>
      <c r="U556" s="107" t="str">
        <f t="shared" si="4"/>
        <v>0</v>
      </c>
    </row>
    <row r="557" ht="15.75" customHeight="1">
      <c r="A557" s="279"/>
      <c r="B557" s="280"/>
      <c r="C557" s="280"/>
      <c r="D557" s="280"/>
      <c r="E557" s="281"/>
      <c r="F557" s="281"/>
      <c r="G557" s="280"/>
      <c r="H557" s="282"/>
      <c r="I557" s="283"/>
      <c r="J557" s="280"/>
      <c r="K557" s="103"/>
      <c r="L557" s="146"/>
      <c r="M557" s="103"/>
      <c r="N557" s="103"/>
      <c r="O557" s="103">
        <f t="shared" si="1"/>
        <v>0</v>
      </c>
      <c r="P557" s="104">
        <f t="shared" si="2"/>
        <v>0</v>
      </c>
      <c r="Q557" s="147"/>
      <c r="R557" s="103"/>
      <c r="S557" s="103">
        <f t="shared" si="3"/>
        <v>0</v>
      </c>
      <c r="U557" s="107" t="str">
        <f t="shared" si="4"/>
        <v>0</v>
      </c>
    </row>
    <row r="558" ht="15.75" customHeight="1">
      <c r="A558" s="279"/>
      <c r="B558" s="280"/>
      <c r="C558" s="280"/>
      <c r="D558" s="280"/>
      <c r="E558" s="281"/>
      <c r="F558" s="281"/>
      <c r="G558" s="280"/>
      <c r="H558" s="282"/>
      <c r="I558" s="283"/>
      <c r="J558" s="280"/>
      <c r="K558" s="103"/>
      <c r="L558" s="146"/>
      <c r="M558" s="103"/>
      <c r="N558" s="103"/>
      <c r="O558" s="103">
        <f t="shared" si="1"/>
        <v>0</v>
      </c>
      <c r="P558" s="104">
        <f t="shared" si="2"/>
        <v>0</v>
      </c>
      <c r="Q558" s="147"/>
      <c r="R558" s="103"/>
      <c r="S558" s="103">
        <f t="shared" si="3"/>
        <v>0</v>
      </c>
      <c r="U558" s="107" t="str">
        <f t="shared" si="4"/>
        <v>0</v>
      </c>
    </row>
    <row r="559" ht="15.75" customHeight="1">
      <c r="A559" s="279"/>
      <c r="B559" s="280"/>
      <c r="C559" s="280"/>
      <c r="D559" s="280"/>
      <c r="E559" s="281"/>
      <c r="F559" s="281"/>
      <c r="G559" s="280"/>
      <c r="H559" s="282"/>
      <c r="I559" s="283"/>
      <c r="J559" s="280"/>
      <c r="K559" s="103"/>
      <c r="L559" s="146"/>
      <c r="M559" s="103"/>
      <c r="N559" s="103"/>
      <c r="O559" s="103">
        <f t="shared" si="1"/>
        <v>0</v>
      </c>
      <c r="P559" s="104">
        <f t="shared" si="2"/>
        <v>0</v>
      </c>
      <c r="Q559" s="147"/>
      <c r="R559" s="103"/>
      <c r="S559" s="103">
        <f t="shared" si="3"/>
        <v>0</v>
      </c>
      <c r="U559" s="107" t="str">
        <f t="shared" si="4"/>
        <v>0</v>
      </c>
    </row>
    <row r="560" ht="15.75" customHeight="1">
      <c r="A560" s="279"/>
      <c r="B560" s="280"/>
      <c r="C560" s="280"/>
      <c r="D560" s="280"/>
      <c r="E560" s="281"/>
      <c r="F560" s="281"/>
      <c r="G560" s="280"/>
      <c r="H560" s="282"/>
      <c r="I560" s="283"/>
      <c r="J560" s="280"/>
      <c r="K560" s="103"/>
      <c r="L560" s="146"/>
      <c r="M560" s="103"/>
      <c r="N560" s="103"/>
      <c r="O560" s="103">
        <f t="shared" si="1"/>
        <v>0</v>
      </c>
      <c r="P560" s="104">
        <f t="shared" si="2"/>
        <v>0</v>
      </c>
      <c r="Q560" s="147"/>
      <c r="R560" s="103"/>
      <c r="S560" s="103">
        <f t="shared" si="3"/>
        <v>0</v>
      </c>
      <c r="U560" s="107" t="str">
        <f t="shared" si="4"/>
        <v>0</v>
      </c>
    </row>
    <row r="561" ht="15.75" customHeight="1">
      <c r="A561" s="279"/>
      <c r="B561" s="280"/>
      <c r="C561" s="280"/>
      <c r="D561" s="280"/>
      <c r="E561" s="281"/>
      <c r="F561" s="281"/>
      <c r="G561" s="280"/>
      <c r="H561" s="282"/>
      <c r="I561" s="283"/>
      <c r="J561" s="280"/>
      <c r="K561" s="103"/>
      <c r="L561" s="146"/>
      <c r="M561" s="103"/>
      <c r="N561" s="103"/>
      <c r="O561" s="103">
        <f t="shared" si="1"/>
        <v>0</v>
      </c>
      <c r="P561" s="104">
        <f t="shared" si="2"/>
        <v>0</v>
      </c>
      <c r="Q561" s="147"/>
      <c r="R561" s="103"/>
      <c r="S561" s="103">
        <f t="shared" si="3"/>
        <v>0</v>
      </c>
      <c r="U561" s="107" t="str">
        <f t="shared" si="4"/>
        <v>0</v>
      </c>
    </row>
    <row r="562" ht="15.75" customHeight="1">
      <c r="A562" s="279"/>
      <c r="B562" s="280"/>
      <c r="C562" s="280"/>
      <c r="D562" s="280"/>
      <c r="E562" s="281"/>
      <c r="F562" s="281"/>
      <c r="G562" s="280"/>
      <c r="H562" s="282"/>
      <c r="I562" s="283"/>
      <c r="J562" s="280"/>
      <c r="K562" s="103"/>
      <c r="L562" s="146"/>
      <c r="M562" s="103"/>
      <c r="N562" s="103"/>
      <c r="O562" s="103">
        <f t="shared" si="1"/>
        <v>0</v>
      </c>
      <c r="P562" s="104">
        <f t="shared" si="2"/>
        <v>0</v>
      </c>
      <c r="Q562" s="147"/>
      <c r="R562" s="103"/>
      <c r="S562" s="103">
        <f t="shared" si="3"/>
        <v>0</v>
      </c>
      <c r="U562" s="107" t="str">
        <f t="shared" si="4"/>
        <v>0</v>
      </c>
    </row>
    <row r="563" ht="15.75" customHeight="1">
      <c r="A563" s="279"/>
      <c r="B563" s="280"/>
      <c r="C563" s="280"/>
      <c r="D563" s="280"/>
      <c r="E563" s="281"/>
      <c r="F563" s="281"/>
      <c r="G563" s="280"/>
      <c r="H563" s="282"/>
      <c r="I563" s="283"/>
      <c r="J563" s="280"/>
      <c r="K563" s="103"/>
      <c r="L563" s="146"/>
      <c r="M563" s="103"/>
      <c r="N563" s="103"/>
      <c r="O563" s="103">
        <f t="shared" si="1"/>
        <v>0</v>
      </c>
      <c r="P563" s="104">
        <f t="shared" si="2"/>
        <v>0</v>
      </c>
      <c r="Q563" s="147"/>
      <c r="R563" s="103"/>
      <c r="S563" s="103">
        <f t="shared" si="3"/>
        <v>0</v>
      </c>
      <c r="U563" s="107" t="str">
        <f t="shared" si="4"/>
        <v>0</v>
      </c>
    </row>
    <row r="564" ht="15.75" customHeight="1">
      <c r="A564" s="279"/>
      <c r="B564" s="280"/>
      <c r="C564" s="280"/>
      <c r="D564" s="280"/>
      <c r="E564" s="281"/>
      <c r="F564" s="281"/>
      <c r="G564" s="280"/>
      <c r="H564" s="282"/>
      <c r="I564" s="283"/>
      <c r="J564" s="280"/>
      <c r="K564" s="103"/>
      <c r="L564" s="146"/>
      <c r="M564" s="103"/>
      <c r="N564" s="103"/>
      <c r="O564" s="103">
        <f t="shared" si="1"/>
        <v>0</v>
      </c>
      <c r="P564" s="104">
        <f t="shared" si="2"/>
        <v>0</v>
      </c>
      <c r="Q564" s="147"/>
      <c r="R564" s="103"/>
      <c r="S564" s="103">
        <f t="shared" si="3"/>
        <v>0</v>
      </c>
      <c r="U564" s="107" t="str">
        <f t="shared" si="4"/>
        <v>0</v>
      </c>
    </row>
    <row r="565" ht="15.75" customHeight="1">
      <c r="A565" s="279"/>
      <c r="B565" s="280"/>
      <c r="C565" s="280"/>
      <c r="D565" s="280"/>
      <c r="E565" s="281"/>
      <c r="F565" s="281"/>
      <c r="G565" s="280"/>
      <c r="H565" s="282"/>
      <c r="I565" s="283"/>
      <c r="J565" s="280"/>
      <c r="K565" s="103"/>
      <c r="L565" s="146"/>
      <c r="M565" s="103"/>
      <c r="N565" s="103"/>
      <c r="O565" s="103">
        <f t="shared" si="1"/>
        <v>0</v>
      </c>
      <c r="P565" s="104">
        <f t="shared" si="2"/>
        <v>0</v>
      </c>
      <c r="Q565" s="147"/>
      <c r="R565" s="103"/>
      <c r="S565" s="103">
        <f t="shared" si="3"/>
        <v>0</v>
      </c>
      <c r="U565" s="107" t="str">
        <f t="shared" si="4"/>
        <v>0</v>
      </c>
    </row>
    <row r="566" ht="15.75" customHeight="1">
      <c r="A566" s="279"/>
      <c r="B566" s="280"/>
      <c r="C566" s="280"/>
      <c r="D566" s="280"/>
      <c r="E566" s="281"/>
      <c r="F566" s="281"/>
      <c r="G566" s="280"/>
      <c r="H566" s="282"/>
      <c r="I566" s="283"/>
      <c r="J566" s="280"/>
      <c r="K566" s="103"/>
      <c r="L566" s="146"/>
      <c r="M566" s="103"/>
      <c r="N566" s="103"/>
      <c r="O566" s="103">
        <f t="shared" si="1"/>
        <v>0</v>
      </c>
      <c r="P566" s="104">
        <f t="shared" si="2"/>
        <v>0</v>
      </c>
      <c r="Q566" s="147"/>
      <c r="R566" s="103"/>
      <c r="S566" s="103">
        <f t="shared" si="3"/>
        <v>0</v>
      </c>
      <c r="U566" s="107" t="str">
        <f t="shared" si="4"/>
        <v>0</v>
      </c>
    </row>
    <row r="567" ht="15.75" customHeight="1">
      <c r="A567" s="279"/>
      <c r="B567" s="280"/>
      <c r="C567" s="280"/>
      <c r="D567" s="280"/>
      <c r="E567" s="281"/>
      <c r="F567" s="281"/>
      <c r="G567" s="280"/>
      <c r="H567" s="282"/>
      <c r="I567" s="283"/>
      <c r="J567" s="280"/>
      <c r="K567" s="103"/>
      <c r="L567" s="146"/>
      <c r="M567" s="103"/>
      <c r="N567" s="103"/>
      <c r="O567" s="103">
        <f t="shared" si="1"/>
        <v>0</v>
      </c>
      <c r="P567" s="104">
        <f t="shared" si="2"/>
        <v>0</v>
      </c>
      <c r="Q567" s="147"/>
      <c r="R567" s="103"/>
      <c r="S567" s="103">
        <f t="shared" si="3"/>
        <v>0</v>
      </c>
      <c r="U567" s="107" t="str">
        <f t="shared" si="4"/>
        <v>0</v>
      </c>
    </row>
    <row r="568" ht="15.75" customHeight="1">
      <c r="A568" s="279"/>
      <c r="B568" s="280"/>
      <c r="C568" s="280"/>
      <c r="D568" s="280"/>
      <c r="E568" s="281"/>
      <c r="F568" s="281"/>
      <c r="G568" s="280"/>
      <c r="H568" s="282"/>
      <c r="I568" s="283"/>
      <c r="J568" s="280"/>
      <c r="K568" s="103"/>
      <c r="L568" s="146"/>
      <c r="M568" s="103"/>
      <c r="N568" s="103"/>
      <c r="O568" s="103">
        <f t="shared" si="1"/>
        <v>0</v>
      </c>
      <c r="P568" s="104">
        <f t="shared" si="2"/>
        <v>0</v>
      </c>
      <c r="Q568" s="147"/>
      <c r="R568" s="103"/>
      <c r="S568" s="103">
        <f t="shared" si="3"/>
        <v>0</v>
      </c>
      <c r="U568" s="107" t="str">
        <f t="shared" si="4"/>
        <v>0</v>
      </c>
    </row>
    <row r="569" ht="15.75" customHeight="1">
      <c r="A569" s="279"/>
      <c r="B569" s="280"/>
      <c r="C569" s="280"/>
      <c r="D569" s="280"/>
      <c r="E569" s="281"/>
      <c r="F569" s="281"/>
      <c r="G569" s="280"/>
      <c r="H569" s="282"/>
      <c r="I569" s="283"/>
      <c r="J569" s="280"/>
      <c r="K569" s="103"/>
      <c r="L569" s="146"/>
      <c r="M569" s="103"/>
      <c r="N569" s="103"/>
      <c r="O569" s="103">
        <f t="shared" si="1"/>
        <v>0</v>
      </c>
      <c r="P569" s="104">
        <f t="shared" si="2"/>
        <v>0</v>
      </c>
      <c r="Q569" s="147"/>
      <c r="R569" s="103"/>
      <c r="S569" s="103">
        <f t="shared" si="3"/>
        <v>0</v>
      </c>
      <c r="U569" s="107" t="str">
        <f t="shared" si="4"/>
        <v>0</v>
      </c>
    </row>
    <row r="570" ht="15.75" customHeight="1">
      <c r="A570" s="279"/>
      <c r="B570" s="280"/>
      <c r="C570" s="280"/>
      <c r="D570" s="280"/>
      <c r="E570" s="281"/>
      <c r="F570" s="281"/>
      <c r="G570" s="280"/>
      <c r="H570" s="282"/>
      <c r="I570" s="283"/>
      <c r="J570" s="280"/>
      <c r="K570" s="103"/>
      <c r="L570" s="146"/>
      <c r="M570" s="103"/>
      <c r="N570" s="103"/>
      <c r="O570" s="103">
        <f t="shared" si="1"/>
        <v>0</v>
      </c>
      <c r="P570" s="104">
        <f t="shared" si="2"/>
        <v>0</v>
      </c>
      <c r="Q570" s="147"/>
      <c r="R570" s="103"/>
      <c r="S570" s="103">
        <f t="shared" si="3"/>
        <v>0</v>
      </c>
      <c r="U570" s="107" t="str">
        <f t="shared" si="4"/>
        <v>0</v>
      </c>
    </row>
    <row r="571" ht="15.75" customHeight="1">
      <c r="A571" s="279"/>
      <c r="B571" s="280"/>
      <c r="C571" s="280"/>
      <c r="D571" s="280"/>
      <c r="E571" s="281"/>
      <c r="F571" s="281"/>
      <c r="G571" s="280"/>
      <c r="H571" s="282"/>
      <c r="I571" s="283"/>
      <c r="J571" s="280"/>
      <c r="K571" s="103"/>
      <c r="L571" s="146"/>
      <c r="M571" s="103"/>
      <c r="N571" s="103"/>
      <c r="O571" s="103">
        <f t="shared" si="1"/>
        <v>0</v>
      </c>
      <c r="P571" s="104">
        <f t="shared" si="2"/>
        <v>0</v>
      </c>
      <c r="Q571" s="147"/>
      <c r="R571" s="103"/>
      <c r="S571" s="103">
        <f t="shared" si="3"/>
        <v>0</v>
      </c>
      <c r="U571" s="107" t="str">
        <f t="shared" si="4"/>
        <v>0</v>
      </c>
    </row>
    <row r="572" ht="15.75" customHeight="1">
      <c r="A572" s="279"/>
      <c r="B572" s="280"/>
      <c r="C572" s="280"/>
      <c r="D572" s="280"/>
      <c r="E572" s="281"/>
      <c r="F572" s="281"/>
      <c r="G572" s="280"/>
      <c r="H572" s="282"/>
      <c r="I572" s="283"/>
      <c r="J572" s="280"/>
      <c r="K572" s="103"/>
      <c r="L572" s="146"/>
      <c r="M572" s="103"/>
      <c r="N572" s="103"/>
      <c r="O572" s="103">
        <f t="shared" si="1"/>
        <v>0</v>
      </c>
      <c r="P572" s="104">
        <f t="shared" si="2"/>
        <v>0</v>
      </c>
      <c r="Q572" s="147"/>
      <c r="R572" s="103"/>
      <c r="S572" s="103">
        <f t="shared" si="3"/>
        <v>0</v>
      </c>
      <c r="U572" s="107" t="str">
        <f t="shared" si="4"/>
        <v>0</v>
      </c>
    </row>
    <row r="573" ht="15.75" customHeight="1">
      <c r="A573" s="279"/>
      <c r="B573" s="280"/>
      <c r="C573" s="280"/>
      <c r="D573" s="280"/>
      <c r="E573" s="281"/>
      <c r="F573" s="281"/>
      <c r="G573" s="280"/>
      <c r="H573" s="282"/>
      <c r="I573" s="283"/>
      <c r="J573" s="280"/>
      <c r="K573" s="103"/>
      <c r="L573" s="146"/>
      <c r="M573" s="103"/>
      <c r="N573" s="103"/>
      <c r="O573" s="103">
        <f t="shared" si="1"/>
        <v>0</v>
      </c>
      <c r="P573" s="104">
        <f t="shared" si="2"/>
        <v>0</v>
      </c>
      <c r="Q573" s="147"/>
      <c r="R573" s="103"/>
      <c r="S573" s="103">
        <f t="shared" si="3"/>
        <v>0</v>
      </c>
      <c r="U573" s="107" t="str">
        <f t="shared" si="4"/>
        <v>0</v>
      </c>
    </row>
    <row r="574" ht="15.75" customHeight="1">
      <c r="A574" s="279"/>
      <c r="B574" s="280"/>
      <c r="C574" s="280"/>
      <c r="D574" s="280"/>
      <c r="E574" s="281"/>
      <c r="F574" s="281"/>
      <c r="G574" s="280"/>
      <c r="H574" s="282"/>
      <c r="I574" s="283"/>
      <c r="J574" s="280"/>
      <c r="K574" s="103"/>
      <c r="L574" s="146"/>
      <c r="M574" s="103"/>
      <c r="N574" s="103"/>
      <c r="O574" s="103">
        <f t="shared" si="1"/>
        <v>0</v>
      </c>
      <c r="P574" s="104">
        <f t="shared" si="2"/>
        <v>0</v>
      </c>
      <c r="Q574" s="147"/>
      <c r="R574" s="103"/>
      <c r="S574" s="103">
        <f t="shared" si="3"/>
        <v>0</v>
      </c>
      <c r="U574" s="107" t="str">
        <f t="shared" si="4"/>
        <v>0</v>
      </c>
    </row>
    <row r="575" ht="15.75" customHeight="1">
      <c r="A575" s="279"/>
      <c r="B575" s="280"/>
      <c r="C575" s="280"/>
      <c r="D575" s="280"/>
      <c r="E575" s="281"/>
      <c r="F575" s="281"/>
      <c r="G575" s="280"/>
      <c r="H575" s="282"/>
      <c r="I575" s="283"/>
      <c r="J575" s="280"/>
      <c r="K575" s="103"/>
      <c r="L575" s="146"/>
      <c r="M575" s="103"/>
      <c r="N575" s="103"/>
      <c r="O575" s="103">
        <f t="shared" si="1"/>
        <v>0</v>
      </c>
      <c r="P575" s="104">
        <f t="shared" si="2"/>
        <v>0</v>
      </c>
      <c r="Q575" s="147"/>
      <c r="R575" s="103"/>
      <c r="S575" s="103">
        <f t="shared" si="3"/>
        <v>0</v>
      </c>
      <c r="U575" s="107" t="str">
        <f t="shared" si="4"/>
        <v>0</v>
      </c>
    </row>
    <row r="576" ht="15.75" customHeight="1">
      <c r="A576" s="279"/>
      <c r="B576" s="280"/>
      <c r="C576" s="280"/>
      <c r="D576" s="280"/>
      <c r="E576" s="281"/>
      <c r="F576" s="281"/>
      <c r="G576" s="280"/>
      <c r="H576" s="282"/>
      <c r="I576" s="283"/>
      <c r="J576" s="280"/>
      <c r="K576" s="103"/>
      <c r="L576" s="146"/>
      <c r="M576" s="103"/>
      <c r="N576" s="103"/>
      <c r="O576" s="103">
        <f t="shared" si="1"/>
        <v>0</v>
      </c>
      <c r="P576" s="104">
        <f t="shared" si="2"/>
        <v>0</v>
      </c>
      <c r="Q576" s="147"/>
      <c r="R576" s="103"/>
      <c r="S576" s="103">
        <f t="shared" si="3"/>
        <v>0</v>
      </c>
      <c r="U576" s="107" t="str">
        <f t="shared" si="4"/>
        <v>0</v>
      </c>
    </row>
    <row r="577" ht="15.75" customHeight="1">
      <c r="A577" s="279"/>
      <c r="B577" s="280"/>
      <c r="C577" s="280"/>
      <c r="D577" s="280"/>
      <c r="E577" s="281"/>
      <c r="F577" s="281"/>
      <c r="G577" s="280"/>
      <c r="H577" s="282"/>
      <c r="I577" s="283"/>
      <c r="J577" s="280"/>
      <c r="K577" s="103"/>
      <c r="L577" s="146"/>
      <c r="M577" s="103"/>
      <c r="N577" s="103"/>
      <c r="O577" s="103">
        <f t="shared" si="1"/>
        <v>0</v>
      </c>
      <c r="P577" s="104">
        <f t="shared" si="2"/>
        <v>0</v>
      </c>
      <c r="Q577" s="147"/>
      <c r="R577" s="103"/>
      <c r="S577" s="103">
        <f t="shared" si="3"/>
        <v>0</v>
      </c>
      <c r="U577" s="107" t="str">
        <f t="shared" si="4"/>
        <v>0</v>
      </c>
    </row>
    <row r="578" ht="15.75" customHeight="1">
      <c r="A578" s="279"/>
      <c r="B578" s="280"/>
      <c r="C578" s="280"/>
      <c r="D578" s="280"/>
      <c r="E578" s="281"/>
      <c r="F578" s="281"/>
      <c r="G578" s="280"/>
      <c r="H578" s="282"/>
      <c r="I578" s="283"/>
      <c r="J578" s="280"/>
      <c r="K578" s="103"/>
      <c r="L578" s="146"/>
      <c r="M578" s="103"/>
      <c r="N578" s="103"/>
      <c r="O578" s="103">
        <f t="shared" si="1"/>
        <v>0</v>
      </c>
      <c r="P578" s="104">
        <f t="shared" si="2"/>
        <v>0</v>
      </c>
      <c r="Q578" s="147"/>
      <c r="R578" s="103"/>
      <c r="S578" s="103">
        <f t="shared" si="3"/>
        <v>0</v>
      </c>
      <c r="U578" s="107" t="str">
        <f t="shared" si="4"/>
        <v>0</v>
      </c>
    </row>
    <row r="579" ht="15.75" customHeight="1">
      <c r="A579" s="279"/>
      <c r="B579" s="280"/>
      <c r="C579" s="280"/>
      <c r="D579" s="280"/>
      <c r="E579" s="281"/>
      <c r="F579" s="281"/>
      <c r="G579" s="280"/>
      <c r="H579" s="282"/>
      <c r="I579" s="283"/>
      <c r="J579" s="280"/>
      <c r="K579" s="103"/>
      <c r="L579" s="146"/>
      <c r="M579" s="103"/>
      <c r="N579" s="103"/>
      <c r="O579" s="103">
        <f t="shared" si="1"/>
        <v>0</v>
      </c>
      <c r="P579" s="104">
        <f t="shared" si="2"/>
        <v>0</v>
      </c>
      <c r="Q579" s="147"/>
      <c r="R579" s="103"/>
      <c r="S579" s="103">
        <f t="shared" si="3"/>
        <v>0</v>
      </c>
      <c r="U579" s="107" t="str">
        <f t="shared" si="4"/>
        <v>0</v>
      </c>
    </row>
    <row r="580" ht="15.75" customHeight="1">
      <c r="A580" s="279"/>
      <c r="B580" s="280"/>
      <c r="C580" s="280"/>
      <c r="D580" s="280"/>
      <c r="E580" s="281"/>
      <c r="F580" s="281"/>
      <c r="G580" s="280"/>
      <c r="H580" s="282"/>
      <c r="I580" s="283"/>
      <c r="J580" s="280"/>
      <c r="K580" s="103"/>
      <c r="L580" s="146"/>
      <c r="M580" s="103"/>
      <c r="N580" s="103"/>
      <c r="O580" s="103">
        <f t="shared" si="1"/>
        <v>0</v>
      </c>
      <c r="P580" s="104">
        <f t="shared" si="2"/>
        <v>0</v>
      </c>
      <c r="Q580" s="147"/>
      <c r="R580" s="103"/>
      <c r="S580" s="103">
        <f t="shared" si="3"/>
        <v>0</v>
      </c>
      <c r="U580" s="107" t="str">
        <f t="shared" si="4"/>
        <v>0</v>
      </c>
    </row>
    <row r="581" ht="15.75" customHeight="1">
      <c r="A581" s="279"/>
      <c r="B581" s="280"/>
      <c r="C581" s="280"/>
      <c r="D581" s="280"/>
      <c r="E581" s="281"/>
      <c r="F581" s="281"/>
      <c r="G581" s="280"/>
      <c r="H581" s="282"/>
      <c r="I581" s="283"/>
      <c r="J581" s="280"/>
      <c r="K581" s="103"/>
      <c r="L581" s="146"/>
      <c r="M581" s="103"/>
      <c r="N581" s="103"/>
      <c r="O581" s="103">
        <f t="shared" si="1"/>
        <v>0</v>
      </c>
      <c r="P581" s="104">
        <f t="shared" si="2"/>
        <v>0</v>
      </c>
      <c r="Q581" s="147"/>
      <c r="R581" s="103"/>
      <c r="S581" s="103">
        <f t="shared" si="3"/>
        <v>0</v>
      </c>
      <c r="U581" s="107" t="str">
        <f t="shared" si="4"/>
        <v>0</v>
      </c>
    </row>
    <row r="582" ht="15.75" customHeight="1">
      <c r="A582" s="279"/>
      <c r="B582" s="280"/>
      <c r="C582" s="280"/>
      <c r="D582" s="280"/>
      <c r="E582" s="281"/>
      <c r="F582" s="281"/>
      <c r="G582" s="280"/>
      <c r="H582" s="282"/>
      <c r="I582" s="283"/>
      <c r="J582" s="280"/>
      <c r="K582" s="103"/>
      <c r="L582" s="146"/>
      <c r="M582" s="103"/>
      <c r="N582" s="103"/>
      <c r="O582" s="103">
        <f t="shared" si="1"/>
        <v>0</v>
      </c>
      <c r="P582" s="104">
        <f t="shared" si="2"/>
        <v>0</v>
      </c>
      <c r="Q582" s="147"/>
      <c r="R582" s="103"/>
      <c r="S582" s="103">
        <f t="shared" si="3"/>
        <v>0</v>
      </c>
      <c r="U582" s="107" t="str">
        <f t="shared" si="4"/>
        <v>0</v>
      </c>
    </row>
    <row r="583" ht="15.75" customHeight="1">
      <c r="A583" s="279"/>
      <c r="B583" s="280"/>
      <c r="C583" s="280"/>
      <c r="D583" s="280"/>
      <c r="E583" s="281"/>
      <c r="F583" s="281"/>
      <c r="G583" s="280"/>
      <c r="H583" s="282"/>
      <c r="I583" s="283"/>
      <c r="J583" s="280"/>
      <c r="K583" s="103"/>
      <c r="L583" s="146"/>
      <c r="M583" s="103"/>
      <c r="N583" s="103"/>
      <c r="O583" s="103">
        <f t="shared" si="1"/>
        <v>0</v>
      </c>
      <c r="P583" s="104">
        <f t="shared" si="2"/>
        <v>0</v>
      </c>
      <c r="Q583" s="147"/>
      <c r="R583" s="103"/>
      <c r="S583" s="103">
        <f t="shared" si="3"/>
        <v>0</v>
      </c>
      <c r="U583" s="107" t="str">
        <f t="shared" si="4"/>
        <v>0</v>
      </c>
    </row>
    <row r="584" ht="15.75" customHeight="1">
      <c r="A584" s="279"/>
      <c r="B584" s="280"/>
      <c r="C584" s="280"/>
      <c r="D584" s="280"/>
      <c r="E584" s="281"/>
      <c r="F584" s="281"/>
      <c r="G584" s="280"/>
      <c r="H584" s="282"/>
      <c r="I584" s="283"/>
      <c r="J584" s="280"/>
      <c r="K584" s="103"/>
      <c r="L584" s="146"/>
      <c r="M584" s="103"/>
      <c r="N584" s="103"/>
      <c r="O584" s="103">
        <f t="shared" si="1"/>
        <v>0</v>
      </c>
      <c r="P584" s="104">
        <f t="shared" si="2"/>
        <v>0</v>
      </c>
      <c r="Q584" s="147"/>
      <c r="R584" s="103"/>
      <c r="S584" s="103">
        <f t="shared" si="3"/>
        <v>0</v>
      </c>
      <c r="U584" s="107" t="str">
        <f t="shared" si="4"/>
        <v>0</v>
      </c>
    </row>
    <row r="585" ht="15.75" customHeight="1">
      <c r="A585" s="279"/>
      <c r="B585" s="280"/>
      <c r="C585" s="280"/>
      <c r="D585" s="280"/>
      <c r="E585" s="281"/>
      <c r="F585" s="281"/>
      <c r="G585" s="280"/>
      <c r="H585" s="282"/>
      <c r="I585" s="283"/>
      <c r="J585" s="280"/>
      <c r="K585" s="103"/>
      <c r="L585" s="146"/>
      <c r="M585" s="103"/>
      <c r="N585" s="103"/>
      <c r="O585" s="103">
        <f t="shared" si="1"/>
        <v>0</v>
      </c>
      <c r="P585" s="104">
        <f t="shared" si="2"/>
        <v>0</v>
      </c>
      <c r="Q585" s="147"/>
      <c r="R585" s="103"/>
      <c r="S585" s="103">
        <f t="shared" si="3"/>
        <v>0</v>
      </c>
      <c r="U585" s="107" t="str">
        <f t="shared" si="4"/>
        <v>0</v>
      </c>
    </row>
    <row r="586" ht="15.75" customHeight="1">
      <c r="A586" s="279"/>
      <c r="B586" s="280"/>
      <c r="C586" s="280"/>
      <c r="D586" s="280"/>
      <c r="E586" s="281"/>
      <c r="F586" s="281"/>
      <c r="G586" s="280"/>
      <c r="H586" s="282"/>
      <c r="I586" s="283"/>
      <c r="J586" s="280"/>
      <c r="K586" s="103"/>
      <c r="L586" s="146"/>
      <c r="M586" s="103"/>
      <c r="N586" s="103"/>
      <c r="O586" s="103">
        <f t="shared" si="1"/>
        <v>0</v>
      </c>
      <c r="P586" s="104">
        <f t="shared" si="2"/>
        <v>0</v>
      </c>
      <c r="Q586" s="147"/>
      <c r="R586" s="103"/>
      <c r="S586" s="103">
        <f t="shared" si="3"/>
        <v>0</v>
      </c>
      <c r="U586" s="107" t="str">
        <f t="shared" si="4"/>
        <v>0</v>
      </c>
    </row>
    <row r="587" ht="15.75" customHeight="1">
      <c r="A587" s="279"/>
      <c r="B587" s="280"/>
      <c r="C587" s="280"/>
      <c r="D587" s="280"/>
      <c r="E587" s="281"/>
      <c r="F587" s="281"/>
      <c r="G587" s="280"/>
      <c r="H587" s="282"/>
      <c r="I587" s="283"/>
      <c r="J587" s="280"/>
      <c r="K587" s="103"/>
      <c r="L587" s="146"/>
      <c r="M587" s="103"/>
      <c r="N587" s="103"/>
      <c r="O587" s="103">
        <f t="shared" si="1"/>
        <v>0</v>
      </c>
      <c r="P587" s="104">
        <f t="shared" si="2"/>
        <v>0</v>
      </c>
      <c r="Q587" s="147"/>
      <c r="R587" s="103"/>
      <c r="S587" s="103">
        <f t="shared" si="3"/>
        <v>0</v>
      </c>
      <c r="U587" s="107" t="str">
        <f t="shared" si="4"/>
        <v>0</v>
      </c>
    </row>
    <row r="588" ht="15.75" customHeight="1">
      <c r="A588" s="279"/>
      <c r="B588" s="280"/>
      <c r="C588" s="280"/>
      <c r="D588" s="280"/>
      <c r="E588" s="281"/>
      <c r="F588" s="281"/>
      <c r="G588" s="280"/>
      <c r="H588" s="282"/>
      <c r="I588" s="283"/>
      <c r="J588" s="280"/>
      <c r="K588" s="103"/>
      <c r="L588" s="146"/>
      <c r="M588" s="103"/>
      <c r="N588" s="103"/>
      <c r="O588" s="103">
        <f t="shared" si="1"/>
        <v>0</v>
      </c>
      <c r="P588" s="104">
        <f t="shared" si="2"/>
        <v>0</v>
      </c>
      <c r="Q588" s="147"/>
      <c r="R588" s="103"/>
      <c r="S588" s="103">
        <f t="shared" si="3"/>
        <v>0</v>
      </c>
      <c r="U588" s="107" t="str">
        <f t="shared" si="4"/>
        <v>0</v>
      </c>
    </row>
    <row r="589" ht="15.75" customHeight="1">
      <c r="A589" s="279"/>
      <c r="B589" s="280"/>
      <c r="C589" s="280"/>
      <c r="D589" s="280"/>
      <c r="E589" s="281"/>
      <c r="F589" s="281"/>
      <c r="G589" s="280"/>
      <c r="H589" s="282"/>
      <c r="I589" s="283"/>
      <c r="J589" s="280"/>
      <c r="K589" s="103"/>
      <c r="L589" s="146"/>
      <c r="M589" s="103"/>
      <c r="N589" s="103"/>
      <c r="O589" s="103">
        <f t="shared" si="1"/>
        <v>0</v>
      </c>
      <c r="P589" s="104">
        <f t="shared" si="2"/>
        <v>0</v>
      </c>
      <c r="Q589" s="147"/>
      <c r="R589" s="103"/>
      <c r="S589" s="103">
        <f t="shared" si="3"/>
        <v>0</v>
      </c>
      <c r="U589" s="107" t="str">
        <f t="shared" si="4"/>
        <v>0</v>
      </c>
    </row>
    <row r="590" ht="15.75" customHeight="1">
      <c r="A590" s="279"/>
      <c r="B590" s="280"/>
      <c r="C590" s="280"/>
      <c r="D590" s="280"/>
      <c r="E590" s="281"/>
      <c r="F590" s="281"/>
      <c r="G590" s="280"/>
      <c r="H590" s="282"/>
      <c r="I590" s="283"/>
      <c r="J590" s="280"/>
      <c r="K590" s="103"/>
      <c r="L590" s="146"/>
      <c r="M590" s="103"/>
      <c r="N590" s="103"/>
      <c r="O590" s="103">
        <f t="shared" si="1"/>
        <v>0</v>
      </c>
      <c r="P590" s="104">
        <f t="shared" si="2"/>
        <v>0</v>
      </c>
      <c r="Q590" s="147"/>
      <c r="R590" s="103"/>
      <c r="S590" s="103">
        <f t="shared" si="3"/>
        <v>0</v>
      </c>
      <c r="U590" s="107" t="str">
        <f t="shared" si="4"/>
        <v>0</v>
      </c>
    </row>
    <row r="591" ht="15.75" customHeight="1">
      <c r="A591" s="279"/>
      <c r="B591" s="280"/>
      <c r="C591" s="280"/>
      <c r="D591" s="280"/>
      <c r="E591" s="281"/>
      <c r="F591" s="281"/>
      <c r="G591" s="280"/>
      <c r="H591" s="282"/>
      <c r="I591" s="283"/>
      <c r="J591" s="280"/>
      <c r="K591" s="103"/>
      <c r="L591" s="146"/>
      <c r="M591" s="103"/>
      <c r="N591" s="103"/>
      <c r="O591" s="103">
        <f t="shared" si="1"/>
        <v>0</v>
      </c>
      <c r="P591" s="104">
        <f t="shared" si="2"/>
        <v>0</v>
      </c>
      <c r="Q591" s="147"/>
      <c r="R591" s="103"/>
      <c r="S591" s="103">
        <f t="shared" si="3"/>
        <v>0</v>
      </c>
      <c r="U591" s="107" t="str">
        <f t="shared" si="4"/>
        <v>0</v>
      </c>
    </row>
    <row r="592" ht="15.75" customHeight="1">
      <c r="A592" s="279"/>
      <c r="B592" s="280"/>
      <c r="C592" s="280"/>
      <c r="D592" s="280"/>
      <c r="E592" s="281"/>
      <c r="F592" s="281"/>
      <c r="G592" s="280"/>
      <c r="H592" s="282"/>
      <c r="I592" s="283"/>
      <c r="J592" s="280"/>
      <c r="K592" s="103"/>
      <c r="L592" s="146"/>
      <c r="M592" s="103"/>
      <c r="N592" s="103"/>
      <c r="O592" s="103">
        <f t="shared" si="1"/>
        <v>0</v>
      </c>
      <c r="P592" s="104">
        <f t="shared" si="2"/>
        <v>0</v>
      </c>
      <c r="Q592" s="147"/>
      <c r="R592" s="103"/>
      <c r="S592" s="103">
        <f t="shared" si="3"/>
        <v>0</v>
      </c>
      <c r="U592" s="107" t="str">
        <f t="shared" si="4"/>
        <v>0</v>
      </c>
    </row>
    <row r="593" ht="15.75" customHeight="1">
      <c r="A593" s="279"/>
      <c r="B593" s="280"/>
      <c r="C593" s="280"/>
      <c r="D593" s="280"/>
      <c r="E593" s="281"/>
      <c r="F593" s="281"/>
      <c r="G593" s="280"/>
      <c r="H593" s="282"/>
      <c r="I593" s="283"/>
      <c r="J593" s="280"/>
      <c r="K593" s="103"/>
      <c r="L593" s="146"/>
      <c r="M593" s="103"/>
      <c r="N593" s="103"/>
      <c r="O593" s="103">
        <f t="shared" si="1"/>
        <v>0</v>
      </c>
      <c r="P593" s="104">
        <f t="shared" si="2"/>
        <v>0</v>
      </c>
      <c r="Q593" s="147"/>
      <c r="R593" s="103"/>
      <c r="S593" s="103">
        <f t="shared" si="3"/>
        <v>0</v>
      </c>
      <c r="U593" s="107" t="str">
        <f t="shared" si="4"/>
        <v>0</v>
      </c>
    </row>
    <row r="594" ht="15.75" customHeight="1">
      <c r="A594" s="279"/>
      <c r="B594" s="280"/>
      <c r="C594" s="280"/>
      <c r="D594" s="280"/>
      <c r="E594" s="281"/>
      <c r="F594" s="281"/>
      <c r="G594" s="280"/>
      <c r="H594" s="282"/>
      <c r="I594" s="283"/>
      <c r="J594" s="280"/>
      <c r="K594" s="103"/>
      <c r="L594" s="146"/>
      <c r="M594" s="103"/>
      <c r="N594" s="103"/>
      <c r="O594" s="103">
        <f t="shared" si="1"/>
        <v>0</v>
      </c>
      <c r="P594" s="104">
        <f t="shared" si="2"/>
        <v>0</v>
      </c>
      <c r="Q594" s="147"/>
      <c r="R594" s="103"/>
      <c r="S594" s="103">
        <f t="shared" si="3"/>
        <v>0</v>
      </c>
      <c r="U594" s="107" t="str">
        <f t="shared" si="4"/>
        <v>0</v>
      </c>
    </row>
    <row r="595" ht="15.75" customHeight="1">
      <c r="A595" s="279"/>
      <c r="B595" s="280"/>
      <c r="C595" s="280"/>
      <c r="D595" s="280"/>
      <c r="E595" s="281"/>
      <c r="F595" s="281"/>
      <c r="G595" s="280"/>
      <c r="H595" s="282"/>
      <c r="I595" s="283"/>
      <c r="J595" s="280"/>
      <c r="K595" s="103"/>
      <c r="L595" s="146"/>
      <c r="M595" s="103"/>
      <c r="N595" s="103"/>
      <c r="O595" s="103">
        <f t="shared" si="1"/>
        <v>0</v>
      </c>
      <c r="P595" s="104">
        <f t="shared" si="2"/>
        <v>0</v>
      </c>
      <c r="Q595" s="147"/>
      <c r="R595" s="103"/>
      <c r="S595" s="103">
        <f t="shared" si="3"/>
        <v>0</v>
      </c>
      <c r="U595" s="107" t="str">
        <f t="shared" si="4"/>
        <v>0</v>
      </c>
    </row>
    <row r="596" ht="15.75" customHeight="1">
      <c r="A596" s="279"/>
      <c r="B596" s="280"/>
      <c r="C596" s="280"/>
      <c r="D596" s="280"/>
      <c r="E596" s="281"/>
      <c r="F596" s="281"/>
      <c r="G596" s="280"/>
      <c r="H596" s="282"/>
      <c r="I596" s="283"/>
      <c r="J596" s="280"/>
      <c r="K596" s="103"/>
      <c r="L596" s="146"/>
      <c r="M596" s="103"/>
      <c r="N596" s="103"/>
      <c r="O596" s="103">
        <f t="shared" si="1"/>
        <v>0</v>
      </c>
      <c r="P596" s="104">
        <f t="shared" si="2"/>
        <v>0</v>
      </c>
      <c r="Q596" s="147"/>
      <c r="R596" s="103"/>
      <c r="S596" s="103">
        <f t="shared" si="3"/>
        <v>0</v>
      </c>
      <c r="U596" s="107" t="str">
        <f t="shared" si="4"/>
        <v>0</v>
      </c>
    </row>
    <row r="597" ht="15.75" customHeight="1">
      <c r="A597" s="279"/>
      <c r="B597" s="280"/>
      <c r="C597" s="280"/>
      <c r="D597" s="280"/>
      <c r="E597" s="281"/>
      <c r="F597" s="281"/>
      <c r="G597" s="280"/>
      <c r="H597" s="282"/>
      <c r="I597" s="283"/>
      <c r="J597" s="280"/>
      <c r="K597" s="103"/>
      <c r="L597" s="146"/>
      <c r="M597" s="103"/>
      <c r="N597" s="103"/>
      <c r="O597" s="103">
        <f t="shared" si="1"/>
        <v>0</v>
      </c>
      <c r="P597" s="104">
        <f t="shared" si="2"/>
        <v>0</v>
      </c>
      <c r="Q597" s="147"/>
      <c r="R597" s="103"/>
      <c r="S597" s="103">
        <f t="shared" si="3"/>
        <v>0</v>
      </c>
      <c r="U597" s="107" t="str">
        <f t="shared" si="4"/>
        <v>0</v>
      </c>
    </row>
    <row r="598" ht="15.75" customHeight="1">
      <c r="A598" s="279"/>
      <c r="B598" s="280"/>
      <c r="C598" s="280"/>
      <c r="D598" s="280"/>
      <c r="E598" s="281"/>
      <c r="F598" s="281"/>
      <c r="G598" s="280"/>
      <c r="H598" s="282"/>
      <c r="I598" s="283"/>
      <c r="J598" s="280"/>
      <c r="K598" s="103"/>
      <c r="L598" s="146"/>
      <c r="M598" s="103"/>
      <c r="N598" s="103"/>
      <c r="O598" s="103">
        <f t="shared" si="1"/>
        <v>0</v>
      </c>
      <c r="P598" s="104">
        <f t="shared" si="2"/>
        <v>0</v>
      </c>
      <c r="Q598" s="147"/>
      <c r="R598" s="103"/>
      <c r="S598" s="103">
        <f t="shared" si="3"/>
        <v>0</v>
      </c>
      <c r="U598" s="107" t="str">
        <f t="shared" si="4"/>
        <v>0</v>
      </c>
    </row>
    <row r="599" ht="15.75" customHeight="1">
      <c r="A599" s="279"/>
      <c r="B599" s="280"/>
      <c r="C599" s="280"/>
      <c r="D599" s="280"/>
      <c r="E599" s="281"/>
      <c r="F599" s="281"/>
      <c r="G599" s="280"/>
      <c r="H599" s="282"/>
      <c r="I599" s="283"/>
      <c r="J599" s="280"/>
      <c r="K599" s="103"/>
      <c r="L599" s="146"/>
      <c r="M599" s="103"/>
      <c r="N599" s="103"/>
      <c r="O599" s="103">
        <f t="shared" si="1"/>
        <v>0</v>
      </c>
      <c r="P599" s="104">
        <f t="shared" si="2"/>
        <v>0</v>
      </c>
      <c r="Q599" s="147"/>
      <c r="R599" s="103"/>
      <c r="S599" s="103">
        <f t="shared" si="3"/>
        <v>0</v>
      </c>
      <c r="U599" s="107" t="str">
        <f t="shared" si="4"/>
        <v>0</v>
      </c>
    </row>
    <row r="600" ht="15.75" customHeight="1">
      <c r="A600" s="279"/>
      <c r="B600" s="280"/>
      <c r="C600" s="280"/>
      <c r="D600" s="280"/>
      <c r="E600" s="281"/>
      <c r="F600" s="281"/>
      <c r="G600" s="280"/>
      <c r="H600" s="282"/>
      <c r="I600" s="283"/>
      <c r="J600" s="280"/>
      <c r="K600" s="103"/>
      <c r="L600" s="146"/>
      <c r="M600" s="103"/>
      <c r="N600" s="103"/>
      <c r="O600" s="103">
        <f t="shared" si="1"/>
        <v>0</v>
      </c>
      <c r="P600" s="104">
        <f t="shared" si="2"/>
        <v>0</v>
      </c>
      <c r="Q600" s="147"/>
      <c r="R600" s="103"/>
      <c r="S600" s="103">
        <f t="shared" si="3"/>
        <v>0</v>
      </c>
      <c r="U600" s="107" t="str">
        <f t="shared" si="4"/>
        <v>0</v>
      </c>
    </row>
    <row r="601" ht="15.75" customHeight="1">
      <c r="A601" s="279"/>
      <c r="B601" s="280"/>
      <c r="C601" s="280"/>
      <c r="D601" s="280"/>
      <c r="E601" s="281"/>
      <c r="F601" s="281"/>
      <c r="G601" s="280"/>
      <c r="H601" s="282"/>
      <c r="I601" s="283"/>
      <c r="J601" s="280"/>
      <c r="K601" s="103"/>
      <c r="L601" s="146"/>
      <c r="M601" s="103"/>
      <c r="N601" s="103"/>
      <c r="O601" s="103">
        <f t="shared" si="1"/>
        <v>0</v>
      </c>
      <c r="P601" s="104">
        <f t="shared" si="2"/>
        <v>0</v>
      </c>
      <c r="Q601" s="147"/>
      <c r="R601" s="103"/>
      <c r="S601" s="103">
        <f t="shared" si="3"/>
        <v>0</v>
      </c>
      <c r="U601" s="107" t="str">
        <f t="shared" si="4"/>
        <v>0</v>
      </c>
    </row>
    <row r="602" ht="15.75" customHeight="1">
      <c r="A602" s="279"/>
      <c r="B602" s="280"/>
      <c r="C602" s="280"/>
      <c r="D602" s="280"/>
      <c r="E602" s="281"/>
      <c r="F602" s="281"/>
      <c r="G602" s="280"/>
      <c r="H602" s="282"/>
      <c r="I602" s="283"/>
      <c r="J602" s="280"/>
      <c r="K602" s="103"/>
      <c r="L602" s="146"/>
      <c r="M602" s="103"/>
      <c r="N602" s="103"/>
      <c r="O602" s="103">
        <f t="shared" si="1"/>
        <v>0</v>
      </c>
      <c r="P602" s="104">
        <f t="shared" si="2"/>
        <v>0</v>
      </c>
      <c r="Q602" s="147"/>
      <c r="R602" s="103"/>
      <c r="S602" s="103">
        <f t="shared" si="3"/>
        <v>0</v>
      </c>
      <c r="U602" s="107" t="str">
        <f t="shared" si="4"/>
        <v>0</v>
      </c>
    </row>
    <row r="603" ht="15.75" customHeight="1">
      <c r="A603" s="279"/>
      <c r="B603" s="280"/>
      <c r="C603" s="280"/>
      <c r="D603" s="280"/>
      <c r="E603" s="281"/>
      <c r="F603" s="281"/>
      <c r="G603" s="280"/>
      <c r="H603" s="282"/>
      <c r="I603" s="283"/>
      <c r="J603" s="280"/>
      <c r="K603" s="103"/>
      <c r="L603" s="146"/>
      <c r="M603" s="103"/>
      <c r="N603" s="103"/>
      <c r="O603" s="103">
        <f t="shared" si="1"/>
        <v>0</v>
      </c>
      <c r="P603" s="104">
        <f t="shared" si="2"/>
        <v>0</v>
      </c>
      <c r="Q603" s="147"/>
      <c r="R603" s="103"/>
      <c r="S603" s="103">
        <f t="shared" si="3"/>
        <v>0</v>
      </c>
      <c r="U603" s="107" t="str">
        <f t="shared" si="4"/>
        <v>0</v>
      </c>
    </row>
    <row r="604" ht="15.75" customHeight="1">
      <c r="A604" s="279"/>
      <c r="B604" s="280"/>
      <c r="C604" s="280"/>
      <c r="D604" s="280"/>
      <c r="E604" s="281"/>
      <c r="F604" s="281"/>
      <c r="G604" s="280"/>
      <c r="H604" s="282"/>
      <c r="I604" s="283"/>
      <c r="J604" s="280"/>
      <c r="K604" s="103"/>
      <c r="L604" s="146"/>
      <c r="M604" s="103"/>
      <c r="N604" s="103"/>
      <c r="O604" s="103">
        <f t="shared" si="1"/>
        <v>0</v>
      </c>
      <c r="P604" s="104">
        <f t="shared" si="2"/>
        <v>0</v>
      </c>
      <c r="Q604" s="147"/>
      <c r="R604" s="103"/>
      <c r="S604" s="103">
        <f t="shared" si="3"/>
        <v>0</v>
      </c>
      <c r="U604" s="107" t="str">
        <f t="shared" si="4"/>
        <v>0</v>
      </c>
    </row>
    <row r="605" ht="15.75" customHeight="1">
      <c r="A605" s="279"/>
      <c r="B605" s="280"/>
      <c r="C605" s="280"/>
      <c r="D605" s="280"/>
      <c r="E605" s="281"/>
      <c r="F605" s="281"/>
      <c r="G605" s="280"/>
      <c r="H605" s="282"/>
      <c r="I605" s="283"/>
      <c r="J605" s="280"/>
      <c r="K605" s="103"/>
      <c r="L605" s="146"/>
      <c r="M605" s="103"/>
      <c r="N605" s="103"/>
      <c r="O605" s="103">
        <f t="shared" si="1"/>
        <v>0</v>
      </c>
      <c r="P605" s="104">
        <f t="shared" si="2"/>
        <v>0</v>
      </c>
      <c r="Q605" s="147"/>
      <c r="R605" s="103"/>
      <c r="S605" s="103">
        <f t="shared" si="3"/>
        <v>0</v>
      </c>
      <c r="U605" s="107" t="str">
        <f t="shared" si="4"/>
        <v>0</v>
      </c>
    </row>
    <row r="606" ht="15.75" customHeight="1">
      <c r="A606" s="279"/>
      <c r="B606" s="280"/>
      <c r="C606" s="280"/>
      <c r="D606" s="280"/>
      <c r="E606" s="281"/>
      <c r="F606" s="281"/>
      <c r="G606" s="280"/>
      <c r="H606" s="282"/>
      <c r="I606" s="283"/>
      <c r="J606" s="280"/>
      <c r="K606" s="103"/>
      <c r="L606" s="146"/>
      <c r="M606" s="103"/>
      <c r="N606" s="103"/>
      <c r="O606" s="103">
        <f t="shared" si="1"/>
        <v>0</v>
      </c>
      <c r="P606" s="104">
        <f t="shared" si="2"/>
        <v>0</v>
      </c>
      <c r="Q606" s="147"/>
      <c r="R606" s="103"/>
      <c r="S606" s="103">
        <f t="shared" si="3"/>
        <v>0</v>
      </c>
      <c r="U606" s="107" t="str">
        <f t="shared" si="4"/>
        <v>0</v>
      </c>
    </row>
    <row r="607" ht="15.75" customHeight="1">
      <c r="A607" s="279"/>
      <c r="B607" s="280"/>
      <c r="C607" s="280"/>
      <c r="D607" s="280"/>
      <c r="E607" s="281"/>
      <c r="F607" s="281"/>
      <c r="G607" s="280"/>
      <c r="H607" s="282"/>
      <c r="I607" s="283"/>
      <c r="J607" s="280"/>
      <c r="K607" s="103"/>
      <c r="L607" s="146"/>
      <c r="M607" s="103"/>
      <c r="N607" s="103"/>
      <c r="O607" s="103">
        <f t="shared" si="1"/>
        <v>0</v>
      </c>
      <c r="P607" s="104">
        <f t="shared" si="2"/>
        <v>0</v>
      </c>
      <c r="Q607" s="147"/>
      <c r="R607" s="103"/>
      <c r="S607" s="103">
        <f t="shared" si="3"/>
        <v>0</v>
      </c>
      <c r="U607" s="107" t="str">
        <f t="shared" si="4"/>
        <v>0</v>
      </c>
    </row>
    <row r="608" ht="15.75" customHeight="1">
      <c r="A608" s="279"/>
      <c r="B608" s="280"/>
      <c r="C608" s="280"/>
      <c r="D608" s="280"/>
      <c r="E608" s="281"/>
      <c r="F608" s="281"/>
      <c r="G608" s="280"/>
      <c r="H608" s="282"/>
      <c r="I608" s="283"/>
      <c r="J608" s="280"/>
      <c r="K608" s="103"/>
      <c r="L608" s="146"/>
      <c r="M608" s="103"/>
      <c r="N608" s="103"/>
      <c r="O608" s="103">
        <f t="shared" si="1"/>
        <v>0</v>
      </c>
      <c r="P608" s="104">
        <f t="shared" si="2"/>
        <v>0</v>
      </c>
      <c r="Q608" s="147"/>
      <c r="R608" s="103"/>
      <c r="S608" s="103">
        <f t="shared" si="3"/>
        <v>0</v>
      </c>
      <c r="U608" s="107" t="str">
        <f t="shared" si="4"/>
        <v>0</v>
      </c>
    </row>
    <row r="609" ht="15.75" customHeight="1">
      <c r="A609" s="279"/>
      <c r="B609" s="280"/>
      <c r="C609" s="280"/>
      <c r="D609" s="280"/>
      <c r="E609" s="281"/>
      <c r="F609" s="281"/>
      <c r="G609" s="280"/>
      <c r="H609" s="282"/>
      <c r="I609" s="283"/>
      <c r="J609" s="280"/>
      <c r="K609" s="103"/>
      <c r="L609" s="146"/>
      <c r="M609" s="103"/>
      <c r="N609" s="103"/>
      <c r="O609" s="103">
        <f t="shared" si="1"/>
        <v>0</v>
      </c>
      <c r="P609" s="104">
        <f t="shared" si="2"/>
        <v>0</v>
      </c>
      <c r="Q609" s="147"/>
      <c r="R609" s="103"/>
      <c r="S609" s="103">
        <f t="shared" si="3"/>
        <v>0</v>
      </c>
      <c r="U609" s="107" t="str">
        <f t="shared" si="4"/>
        <v>0</v>
      </c>
    </row>
    <row r="610" ht="15.75" customHeight="1">
      <c r="A610" s="279"/>
      <c r="B610" s="280"/>
      <c r="C610" s="280"/>
      <c r="D610" s="280"/>
      <c r="E610" s="281"/>
      <c r="F610" s="281"/>
      <c r="G610" s="280"/>
      <c r="H610" s="282"/>
      <c r="I610" s="283"/>
      <c r="J610" s="280"/>
      <c r="K610" s="103"/>
      <c r="L610" s="146"/>
      <c r="M610" s="103"/>
      <c r="N610" s="103"/>
      <c r="O610" s="103">
        <f t="shared" si="1"/>
        <v>0</v>
      </c>
      <c r="P610" s="104">
        <f t="shared" si="2"/>
        <v>0</v>
      </c>
      <c r="Q610" s="147"/>
      <c r="R610" s="103"/>
      <c r="S610" s="103">
        <f t="shared" si="3"/>
        <v>0</v>
      </c>
      <c r="U610" s="107" t="str">
        <f t="shared" si="4"/>
        <v>0</v>
      </c>
    </row>
    <row r="611" ht="15.75" customHeight="1">
      <c r="A611" s="279"/>
      <c r="B611" s="280"/>
      <c r="C611" s="280"/>
      <c r="D611" s="280"/>
      <c r="E611" s="281"/>
      <c r="F611" s="281"/>
      <c r="G611" s="280"/>
      <c r="H611" s="282"/>
      <c r="I611" s="283"/>
      <c r="J611" s="280"/>
      <c r="K611" s="103"/>
      <c r="L611" s="146"/>
      <c r="M611" s="103"/>
      <c r="N611" s="103"/>
      <c r="O611" s="103">
        <f t="shared" si="1"/>
        <v>0</v>
      </c>
      <c r="P611" s="104">
        <f t="shared" si="2"/>
        <v>0</v>
      </c>
      <c r="Q611" s="147"/>
      <c r="R611" s="103"/>
      <c r="S611" s="103">
        <f t="shared" si="3"/>
        <v>0</v>
      </c>
      <c r="U611" s="107" t="str">
        <f t="shared" si="4"/>
        <v>0</v>
      </c>
    </row>
    <row r="612" ht="15.75" customHeight="1">
      <c r="A612" s="279"/>
      <c r="B612" s="280"/>
      <c r="C612" s="280"/>
      <c r="D612" s="280"/>
      <c r="E612" s="281"/>
      <c r="F612" s="281"/>
      <c r="G612" s="280"/>
      <c r="H612" s="282"/>
      <c r="I612" s="283"/>
      <c r="J612" s="280"/>
      <c r="K612" s="103"/>
      <c r="L612" s="146"/>
      <c r="M612" s="103"/>
      <c r="N612" s="103"/>
      <c r="O612" s="103">
        <f t="shared" si="1"/>
        <v>0</v>
      </c>
      <c r="P612" s="104">
        <f t="shared" si="2"/>
        <v>0</v>
      </c>
      <c r="Q612" s="147"/>
      <c r="R612" s="103"/>
      <c r="S612" s="103">
        <f t="shared" si="3"/>
        <v>0</v>
      </c>
      <c r="U612" s="107" t="str">
        <f t="shared" si="4"/>
        <v>0</v>
      </c>
    </row>
    <row r="613" ht="15.75" customHeight="1">
      <c r="A613" s="279"/>
      <c r="B613" s="280"/>
      <c r="C613" s="280"/>
      <c r="D613" s="280"/>
      <c r="E613" s="281"/>
      <c r="F613" s="281"/>
      <c r="G613" s="280"/>
      <c r="H613" s="282"/>
      <c r="I613" s="283"/>
      <c r="J613" s="280"/>
      <c r="K613" s="103"/>
      <c r="L613" s="146"/>
      <c r="M613" s="103"/>
      <c r="N613" s="103"/>
      <c r="O613" s="103">
        <f t="shared" si="1"/>
        <v>0</v>
      </c>
      <c r="P613" s="104">
        <f t="shared" si="2"/>
        <v>0</v>
      </c>
      <c r="Q613" s="147"/>
      <c r="R613" s="103"/>
      <c r="S613" s="103">
        <f t="shared" si="3"/>
        <v>0</v>
      </c>
      <c r="U613" s="107" t="str">
        <f t="shared" si="4"/>
        <v>0</v>
      </c>
    </row>
    <row r="614" ht="15.75" customHeight="1">
      <c r="A614" s="279"/>
      <c r="B614" s="280"/>
      <c r="C614" s="280"/>
      <c r="D614" s="280"/>
      <c r="E614" s="281"/>
      <c r="F614" s="281"/>
      <c r="G614" s="280"/>
      <c r="H614" s="282"/>
      <c r="I614" s="283"/>
      <c r="J614" s="280"/>
      <c r="K614" s="103"/>
      <c r="L614" s="146"/>
      <c r="M614" s="103"/>
      <c r="N614" s="103"/>
      <c r="O614" s="103">
        <f t="shared" si="1"/>
        <v>0</v>
      </c>
      <c r="P614" s="104">
        <f t="shared" si="2"/>
        <v>0</v>
      </c>
      <c r="Q614" s="147"/>
      <c r="R614" s="103"/>
      <c r="S614" s="103">
        <f t="shared" si="3"/>
        <v>0</v>
      </c>
      <c r="U614" s="107" t="str">
        <f t="shared" si="4"/>
        <v>0</v>
      </c>
    </row>
    <row r="615" ht="15.75" customHeight="1">
      <c r="A615" s="279"/>
      <c r="B615" s="280"/>
      <c r="C615" s="280"/>
      <c r="D615" s="280"/>
      <c r="E615" s="281"/>
      <c r="F615" s="281"/>
      <c r="G615" s="280"/>
      <c r="H615" s="282"/>
      <c r="I615" s="283"/>
      <c r="J615" s="280"/>
      <c r="K615" s="103"/>
      <c r="L615" s="146"/>
      <c r="M615" s="103"/>
      <c r="N615" s="103"/>
      <c r="O615" s="103">
        <f t="shared" si="1"/>
        <v>0</v>
      </c>
      <c r="P615" s="104">
        <f t="shared" si="2"/>
        <v>0</v>
      </c>
      <c r="Q615" s="147"/>
      <c r="R615" s="103"/>
      <c r="S615" s="103">
        <f t="shared" si="3"/>
        <v>0</v>
      </c>
      <c r="U615" s="107" t="str">
        <f t="shared" si="4"/>
        <v>0</v>
      </c>
    </row>
    <row r="616" ht="15.75" customHeight="1">
      <c r="A616" s="279"/>
      <c r="B616" s="280"/>
      <c r="C616" s="280"/>
      <c r="D616" s="280"/>
      <c r="E616" s="281"/>
      <c r="F616" s="281"/>
      <c r="G616" s="280"/>
      <c r="H616" s="282"/>
      <c r="I616" s="283"/>
      <c r="J616" s="280"/>
      <c r="K616" s="103"/>
      <c r="L616" s="146"/>
      <c r="M616" s="103"/>
      <c r="N616" s="103"/>
      <c r="O616" s="103">
        <f t="shared" si="1"/>
        <v>0</v>
      </c>
      <c r="P616" s="104">
        <f t="shared" si="2"/>
        <v>0</v>
      </c>
      <c r="Q616" s="147"/>
      <c r="R616" s="103"/>
      <c r="S616" s="103">
        <f t="shared" si="3"/>
        <v>0</v>
      </c>
      <c r="U616" s="107" t="str">
        <f t="shared" si="4"/>
        <v>0</v>
      </c>
    </row>
    <row r="617" ht="15.75" customHeight="1">
      <c r="A617" s="279"/>
      <c r="B617" s="280"/>
      <c r="C617" s="280"/>
      <c r="D617" s="280"/>
      <c r="E617" s="281"/>
      <c r="F617" s="281"/>
      <c r="G617" s="280"/>
      <c r="H617" s="282"/>
      <c r="I617" s="283"/>
      <c r="J617" s="280"/>
      <c r="K617" s="103"/>
      <c r="L617" s="146"/>
      <c r="M617" s="103"/>
      <c r="N617" s="103"/>
      <c r="O617" s="103">
        <f t="shared" si="1"/>
        <v>0</v>
      </c>
      <c r="P617" s="104">
        <f t="shared" si="2"/>
        <v>0</v>
      </c>
      <c r="Q617" s="147"/>
      <c r="R617" s="103"/>
      <c r="S617" s="103">
        <f t="shared" si="3"/>
        <v>0</v>
      </c>
      <c r="U617" s="107" t="str">
        <f t="shared" si="4"/>
        <v>0</v>
      </c>
    </row>
    <row r="618" ht="15.75" customHeight="1">
      <c r="A618" s="279"/>
      <c r="B618" s="280"/>
      <c r="C618" s="280"/>
      <c r="D618" s="280"/>
      <c r="E618" s="281"/>
      <c r="F618" s="281"/>
      <c r="G618" s="280"/>
      <c r="H618" s="282"/>
      <c r="I618" s="283"/>
      <c r="J618" s="280"/>
      <c r="K618" s="103"/>
      <c r="L618" s="146"/>
      <c r="M618" s="103"/>
      <c r="N618" s="103"/>
      <c r="O618" s="103">
        <f t="shared" si="1"/>
        <v>0</v>
      </c>
      <c r="P618" s="104">
        <f t="shared" si="2"/>
        <v>0</v>
      </c>
      <c r="Q618" s="147"/>
      <c r="R618" s="103"/>
      <c r="S618" s="103">
        <f t="shared" si="3"/>
        <v>0</v>
      </c>
      <c r="U618" s="107" t="str">
        <f t="shared" si="4"/>
        <v>0</v>
      </c>
    </row>
    <row r="619" ht="15.75" customHeight="1">
      <c r="A619" s="279"/>
      <c r="B619" s="280"/>
      <c r="C619" s="280"/>
      <c r="D619" s="280"/>
      <c r="E619" s="281"/>
      <c r="F619" s="281"/>
      <c r="G619" s="280"/>
      <c r="H619" s="282"/>
      <c r="I619" s="283"/>
      <c r="J619" s="280"/>
      <c r="K619" s="103"/>
      <c r="L619" s="146"/>
      <c r="M619" s="103"/>
      <c r="N619" s="103"/>
      <c r="O619" s="103">
        <f t="shared" si="1"/>
        <v>0</v>
      </c>
      <c r="P619" s="104">
        <f t="shared" si="2"/>
        <v>0</v>
      </c>
      <c r="Q619" s="147"/>
      <c r="R619" s="103"/>
      <c r="S619" s="103">
        <f t="shared" si="3"/>
        <v>0</v>
      </c>
      <c r="U619" s="107" t="str">
        <f t="shared" si="4"/>
        <v>0</v>
      </c>
    </row>
    <row r="620" ht="15.75" customHeight="1">
      <c r="A620" s="279"/>
      <c r="B620" s="280"/>
      <c r="C620" s="280"/>
      <c r="D620" s="280"/>
      <c r="E620" s="281"/>
      <c r="F620" s="281"/>
      <c r="G620" s="280"/>
      <c r="H620" s="282"/>
      <c r="I620" s="283"/>
      <c r="J620" s="280"/>
      <c r="K620" s="103"/>
      <c r="L620" s="146"/>
      <c r="M620" s="103"/>
      <c r="N620" s="103"/>
      <c r="O620" s="103">
        <f t="shared" si="1"/>
        <v>0</v>
      </c>
      <c r="P620" s="104">
        <f t="shared" si="2"/>
        <v>0</v>
      </c>
      <c r="Q620" s="147"/>
      <c r="R620" s="103"/>
      <c r="S620" s="103">
        <f t="shared" si="3"/>
        <v>0</v>
      </c>
      <c r="U620" s="107" t="str">
        <f t="shared" si="4"/>
        <v>0</v>
      </c>
    </row>
    <row r="621" ht="15.75" customHeight="1">
      <c r="A621" s="279"/>
      <c r="B621" s="280"/>
      <c r="C621" s="280"/>
      <c r="D621" s="280"/>
      <c r="E621" s="281"/>
      <c r="F621" s="281"/>
      <c r="G621" s="280"/>
      <c r="H621" s="282"/>
      <c r="I621" s="283"/>
      <c r="J621" s="280"/>
      <c r="K621" s="103"/>
      <c r="L621" s="146"/>
      <c r="M621" s="103"/>
      <c r="N621" s="103"/>
      <c r="O621" s="103">
        <f t="shared" si="1"/>
        <v>0</v>
      </c>
      <c r="P621" s="104">
        <f t="shared" si="2"/>
        <v>0</v>
      </c>
      <c r="Q621" s="147"/>
      <c r="R621" s="103"/>
      <c r="S621" s="103">
        <f t="shared" si="3"/>
        <v>0</v>
      </c>
      <c r="U621" s="107" t="str">
        <f t="shared" si="4"/>
        <v>0</v>
      </c>
    </row>
    <row r="622" ht="15.75" customHeight="1">
      <c r="A622" s="279"/>
      <c r="B622" s="280"/>
      <c r="C622" s="280"/>
      <c r="D622" s="280"/>
      <c r="E622" s="281"/>
      <c r="F622" s="281"/>
      <c r="G622" s="280"/>
      <c r="H622" s="282"/>
      <c r="I622" s="283"/>
      <c r="J622" s="280"/>
      <c r="K622" s="103"/>
      <c r="L622" s="146"/>
      <c r="M622" s="103"/>
      <c r="N622" s="103"/>
      <c r="O622" s="103">
        <f t="shared" si="1"/>
        <v>0</v>
      </c>
      <c r="P622" s="104">
        <f t="shared" si="2"/>
        <v>0</v>
      </c>
      <c r="Q622" s="147"/>
      <c r="R622" s="103"/>
      <c r="S622" s="103">
        <f t="shared" si="3"/>
        <v>0</v>
      </c>
      <c r="U622" s="107" t="str">
        <f t="shared" si="4"/>
        <v>0</v>
      </c>
    </row>
    <row r="623" ht="15.75" customHeight="1">
      <c r="A623" s="279"/>
      <c r="B623" s="280"/>
      <c r="C623" s="280"/>
      <c r="D623" s="280"/>
      <c r="E623" s="281"/>
      <c r="F623" s="281"/>
      <c r="G623" s="280"/>
      <c r="H623" s="282"/>
      <c r="I623" s="283"/>
      <c r="J623" s="280"/>
      <c r="K623" s="103"/>
      <c r="L623" s="146"/>
      <c r="M623" s="103"/>
      <c r="N623" s="103"/>
      <c r="O623" s="103">
        <f t="shared" si="1"/>
        <v>0</v>
      </c>
      <c r="P623" s="104">
        <f t="shared" si="2"/>
        <v>0</v>
      </c>
      <c r="Q623" s="147"/>
      <c r="R623" s="103"/>
      <c r="S623" s="103">
        <f t="shared" si="3"/>
        <v>0</v>
      </c>
      <c r="U623" s="107" t="str">
        <f t="shared" si="4"/>
        <v>0</v>
      </c>
    </row>
    <row r="624" ht="15.75" customHeight="1">
      <c r="A624" s="279"/>
      <c r="B624" s="280"/>
      <c r="C624" s="280"/>
      <c r="D624" s="280"/>
      <c r="E624" s="281"/>
      <c r="F624" s="281"/>
      <c r="G624" s="280"/>
      <c r="H624" s="282"/>
      <c r="I624" s="283"/>
      <c r="J624" s="280"/>
      <c r="K624" s="103"/>
      <c r="L624" s="146"/>
      <c r="M624" s="103"/>
      <c r="N624" s="103"/>
      <c r="O624" s="103">
        <f t="shared" si="1"/>
        <v>0</v>
      </c>
      <c r="P624" s="104">
        <f t="shared" si="2"/>
        <v>0</v>
      </c>
      <c r="Q624" s="147"/>
      <c r="R624" s="103"/>
      <c r="S624" s="103">
        <f t="shared" si="3"/>
        <v>0</v>
      </c>
      <c r="U624" s="107" t="str">
        <f t="shared" si="4"/>
        <v>0</v>
      </c>
    </row>
    <row r="625" ht="15.75" customHeight="1">
      <c r="A625" s="279"/>
      <c r="B625" s="280"/>
      <c r="C625" s="280"/>
      <c r="D625" s="280"/>
      <c r="E625" s="281"/>
      <c r="F625" s="281"/>
      <c r="G625" s="280"/>
      <c r="H625" s="282"/>
      <c r="I625" s="283"/>
      <c r="J625" s="280"/>
      <c r="K625" s="103"/>
      <c r="L625" s="146"/>
      <c r="M625" s="103"/>
      <c r="N625" s="103"/>
      <c r="O625" s="103">
        <f t="shared" si="1"/>
        <v>0</v>
      </c>
      <c r="P625" s="104">
        <f t="shared" si="2"/>
        <v>0</v>
      </c>
      <c r="Q625" s="147"/>
      <c r="R625" s="103"/>
      <c r="S625" s="103">
        <f t="shared" si="3"/>
        <v>0</v>
      </c>
      <c r="U625" s="107" t="str">
        <f t="shared" si="4"/>
        <v>0</v>
      </c>
    </row>
    <row r="626" ht="15.75" customHeight="1">
      <c r="A626" s="279"/>
      <c r="B626" s="280"/>
      <c r="C626" s="280"/>
      <c r="D626" s="280"/>
      <c r="E626" s="281"/>
      <c r="F626" s="281"/>
      <c r="G626" s="280"/>
      <c r="H626" s="282"/>
      <c r="I626" s="283"/>
      <c r="J626" s="280"/>
      <c r="K626" s="103"/>
      <c r="L626" s="146"/>
      <c r="M626" s="103"/>
      <c r="N626" s="103"/>
      <c r="O626" s="103">
        <f t="shared" si="1"/>
        <v>0</v>
      </c>
      <c r="P626" s="104">
        <f t="shared" si="2"/>
        <v>0</v>
      </c>
      <c r="Q626" s="147"/>
      <c r="R626" s="103"/>
      <c r="S626" s="103">
        <f t="shared" si="3"/>
        <v>0</v>
      </c>
      <c r="U626" s="107" t="str">
        <f t="shared" si="4"/>
        <v>0</v>
      </c>
    </row>
    <row r="627" ht="15.75" customHeight="1">
      <c r="A627" s="279"/>
      <c r="B627" s="280"/>
      <c r="C627" s="280"/>
      <c r="D627" s="280"/>
      <c r="E627" s="281"/>
      <c r="F627" s="281"/>
      <c r="G627" s="280"/>
      <c r="H627" s="282"/>
      <c r="I627" s="283"/>
      <c r="J627" s="280"/>
      <c r="K627" s="103"/>
      <c r="L627" s="146"/>
      <c r="M627" s="103"/>
      <c r="N627" s="103"/>
      <c r="O627" s="103">
        <f t="shared" si="1"/>
        <v>0</v>
      </c>
      <c r="P627" s="104">
        <f t="shared" si="2"/>
        <v>0</v>
      </c>
      <c r="Q627" s="147"/>
      <c r="R627" s="103"/>
      <c r="S627" s="103">
        <f t="shared" si="3"/>
        <v>0</v>
      </c>
      <c r="U627" s="107" t="str">
        <f t="shared" si="4"/>
        <v>0</v>
      </c>
    </row>
    <row r="628" ht="15.75" customHeight="1">
      <c r="A628" s="279"/>
      <c r="B628" s="280"/>
      <c r="C628" s="280"/>
      <c r="D628" s="280"/>
      <c r="E628" s="281"/>
      <c r="F628" s="281"/>
      <c r="G628" s="280"/>
      <c r="H628" s="282"/>
      <c r="I628" s="283"/>
      <c r="J628" s="280"/>
      <c r="K628" s="103"/>
      <c r="L628" s="146"/>
      <c r="M628" s="103"/>
      <c r="N628" s="103"/>
      <c r="O628" s="103">
        <f t="shared" si="1"/>
        <v>0</v>
      </c>
      <c r="P628" s="104">
        <f t="shared" si="2"/>
        <v>0</v>
      </c>
      <c r="Q628" s="147"/>
      <c r="R628" s="103"/>
      <c r="S628" s="103">
        <f t="shared" si="3"/>
        <v>0</v>
      </c>
      <c r="U628" s="107" t="str">
        <f t="shared" si="4"/>
        <v>0</v>
      </c>
    </row>
    <row r="629" ht="15.75" customHeight="1">
      <c r="A629" s="279"/>
      <c r="B629" s="280"/>
      <c r="C629" s="280"/>
      <c r="D629" s="280"/>
      <c r="E629" s="281"/>
      <c r="F629" s="281"/>
      <c r="G629" s="280"/>
      <c r="H629" s="282"/>
      <c r="I629" s="283"/>
      <c r="J629" s="280"/>
      <c r="K629" s="103"/>
      <c r="L629" s="146"/>
      <c r="M629" s="103"/>
      <c r="N629" s="103"/>
      <c r="O629" s="103">
        <f t="shared" si="1"/>
        <v>0</v>
      </c>
      <c r="P629" s="104">
        <f t="shared" si="2"/>
        <v>0</v>
      </c>
      <c r="Q629" s="147"/>
      <c r="R629" s="103"/>
      <c r="S629" s="103">
        <f t="shared" si="3"/>
        <v>0</v>
      </c>
      <c r="U629" s="107" t="str">
        <f t="shared" si="4"/>
        <v>0</v>
      </c>
    </row>
    <row r="630" ht="15.75" customHeight="1">
      <c r="A630" s="279"/>
      <c r="B630" s="280"/>
      <c r="C630" s="280"/>
      <c r="D630" s="280"/>
      <c r="E630" s="281"/>
      <c r="F630" s="281"/>
      <c r="G630" s="280"/>
      <c r="H630" s="282"/>
      <c r="I630" s="283"/>
      <c r="J630" s="280"/>
      <c r="K630" s="103"/>
      <c r="L630" s="146"/>
      <c r="M630" s="103"/>
      <c r="N630" s="103"/>
      <c r="O630" s="103">
        <f t="shared" si="1"/>
        <v>0</v>
      </c>
      <c r="P630" s="104">
        <f t="shared" si="2"/>
        <v>0</v>
      </c>
      <c r="Q630" s="147"/>
      <c r="R630" s="103"/>
      <c r="S630" s="103">
        <f t="shared" si="3"/>
        <v>0</v>
      </c>
      <c r="U630" s="107" t="str">
        <f t="shared" si="4"/>
        <v>0</v>
      </c>
    </row>
    <row r="631" ht="15.75" customHeight="1">
      <c r="A631" s="279"/>
      <c r="B631" s="280"/>
      <c r="C631" s="280"/>
      <c r="D631" s="280"/>
      <c r="E631" s="281"/>
      <c r="F631" s="281"/>
      <c r="G631" s="280"/>
      <c r="H631" s="282"/>
      <c r="I631" s="283"/>
      <c r="J631" s="280"/>
      <c r="K631" s="103"/>
      <c r="L631" s="146"/>
      <c r="M631" s="103"/>
      <c r="N631" s="103"/>
      <c r="O631" s="103">
        <f t="shared" si="1"/>
        <v>0</v>
      </c>
      <c r="P631" s="104">
        <f t="shared" si="2"/>
        <v>0</v>
      </c>
      <c r="Q631" s="147"/>
      <c r="R631" s="103"/>
      <c r="S631" s="103">
        <f t="shared" si="3"/>
        <v>0</v>
      </c>
      <c r="U631" s="107" t="str">
        <f t="shared" si="4"/>
        <v>0</v>
      </c>
    </row>
    <row r="632" ht="15.75" customHeight="1">
      <c r="A632" s="279"/>
      <c r="B632" s="280"/>
      <c r="C632" s="280"/>
      <c r="D632" s="280"/>
      <c r="E632" s="281"/>
      <c r="F632" s="281"/>
      <c r="G632" s="280"/>
      <c r="H632" s="282"/>
      <c r="I632" s="283"/>
      <c r="J632" s="280"/>
      <c r="K632" s="103"/>
      <c r="L632" s="146"/>
      <c r="M632" s="103"/>
      <c r="N632" s="103"/>
      <c r="O632" s="103">
        <f t="shared" si="1"/>
        <v>0</v>
      </c>
      <c r="P632" s="104">
        <f t="shared" si="2"/>
        <v>0</v>
      </c>
      <c r="Q632" s="147"/>
      <c r="R632" s="103"/>
      <c r="S632" s="103">
        <f t="shared" si="3"/>
        <v>0</v>
      </c>
      <c r="U632" s="107" t="str">
        <f t="shared" si="4"/>
        <v>0</v>
      </c>
    </row>
    <row r="633" ht="15.75" customHeight="1">
      <c r="A633" s="279"/>
      <c r="B633" s="280"/>
      <c r="C633" s="280"/>
      <c r="D633" s="280"/>
      <c r="E633" s="281"/>
      <c r="F633" s="281"/>
      <c r="G633" s="280"/>
      <c r="H633" s="282"/>
      <c r="I633" s="283"/>
      <c r="J633" s="280"/>
      <c r="K633" s="103"/>
      <c r="L633" s="146"/>
      <c r="M633" s="103"/>
      <c r="N633" s="103"/>
      <c r="O633" s="103">
        <f t="shared" si="1"/>
        <v>0</v>
      </c>
      <c r="P633" s="104">
        <f t="shared" si="2"/>
        <v>0</v>
      </c>
      <c r="Q633" s="147"/>
      <c r="R633" s="103"/>
      <c r="S633" s="103">
        <f t="shared" si="3"/>
        <v>0</v>
      </c>
      <c r="U633" s="107" t="str">
        <f t="shared" si="4"/>
        <v>0</v>
      </c>
    </row>
    <row r="634" ht="15.75" customHeight="1">
      <c r="A634" s="279"/>
      <c r="B634" s="280"/>
      <c r="C634" s="280"/>
      <c r="D634" s="280"/>
      <c r="E634" s="281"/>
      <c r="F634" s="281"/>
      <c r="G634" s="280"/>
      <c r="H634" s="282"/>
      <c r="I634" s="283"/>
      <c r="J634" s="280"/>
      <c r="K634" s="103"/>
      <c r="L634" s="146"/>
      <c r="M634" s="103"/>
      <c r="N634" s="103"/>
      <c r="O634" s="103">
        <f t="shared" si="1"/>
        <v>0</v>
      </c>
      <c r="P634" s="104">
        <f t="shared" si="2"/>
        <v>0</v>
      </c>
      <c r="Q634" s="147"/>
      <c r="R634" s="103"/>
      <c r="S634" s="103">
        <f t="shared" si="3"/>
        <v>0</v>
      </c>
      <c r="U634" s="107" t="str">
        <f t="shared" si="4"/>
        <v>0</v>
      </c>
    </row>
    <row r="635" ht="15.75" customHeight="1">
      <c r="A635" s="279"/>
      <c r="B635" s="280"/>
      <c r="C635" s="280"/>
      <c r="D635" s="280"/>
      <c r="E635" s="281"/>
      <c r="F635" s="281"/>
      <c r="G635" s="280"/>
      <c r="H635" s="282"/>
      <c r="I635" s="283"/>
      <c r="J635" s="280"/>
      <c r="K635" s="103"/>
      <c r="L635" s="146"/>
      <c r="M635" s="103"/>
      <c r="N635" s="103"/>
      <c r="O635" s="103">
        <f t="shared" si="1"/>
        <v>0</v>
      </c>
      <c r="P635" s="104">
        <f t="shared" si="2"/>
        <v>0</v>
      </c>
      <c r="Q635" s="147"/>
      <c r="R635" s="103"/>
      <c r="S635" s="103">
        <f t="shared" si="3"/>
        <v>0</v>
      </c>
      <c r="U635" s="107" t="str">
        <f t="shared" si="4"/>
        <v>0</v>
      </c>
    </row>
    <row r="636" ht="15.75" customHeight="1">
      <c r="A636" s="279"/>
      <c r="B636" s="280"/>
      <c r="C636" s="280"/>
      <c r="D636" s="280"/>
      <c r="E636" s="281"/>
      <c r="F636" s="281"/>
      <c r="G636" s="280"/>
      <c r="H636" s="282"/>
      <c r="I636" s="283"/>
      <c r="J636" s="280"/>
      <c r="K636" s="103"/>
      <c r="L636" s="146"/>
      <c r="M636" s="103"/>
      <c r="N636" s="103"/>
      <c r="O636" s="103">
        <f t="shared" si="1"/>
        <v>0</v>
      </c>
      <c r="P636" s="104">
        <f t="shared" si="2"/>
        <v>0</v>
      </c>
      <c r="Q636" s="147"/>
      <c r="R636" s="103"/>
      <c r="S636" s="103">
        <f t="shared" si="3"/>
        <v>0</v>
      </c>
      <c r="U636" s="107" t="str">
        <f t="shared" si="4"/>
        <v>0</v>
      </c>
    </row>
    <row r="637" ht="15.75" customHeight="1">
      <c r="A637" s="279"/>
      <c r="B637" s="280"/>
      <c r="C637" s="280"/>
      <c r="D637" s="280"/>
      <c r="E637" s="281"/>
      <c r="F637" s="281"/>
      <c r="G637" s="280"/>
      <c r="H637" s="282"/>
      <c r="I637" s="283"/>
      <c r="J637" s="280"/>
      <c r="K637" s="103"/>
      <c r="L637" s="146"/>
      <c r="M637" s="103"/>
      <c r="N637" s="103"/>
      <c r="O637" s="103">
        <f t="shared" si="1"/>
        <v>0</v>
      </c>
      <c r="P637" s="104">
        <f t="shared" si="2"/>
        <v>0</v>
      </c>
      <c r="Q637" s="147"/>
      <c r="R637" s="103"/>
      <c r="S637" s="103">
        <f t="shared" si="3"/>
        <v>0</v>
      </c>
      <c r="U637" s="107" t="str">
        <f t="shared" si="4"/>
        <v>0</v>
      </c>
    </row>
    <row r="638" ht="15.75" customHeight="1">
      <c r="A638" s="279"/>
      <c r="B638" s="280"/>
      <c r="C638" s="280"/>
      <c r="D638" s="280"/>
      <c r="E638" s="281"/>
      <c r="F638" s="281"/>
      <c r="G638" s="280"/>
      <c r="H638" s="282"/>
      <c r="I638" s="283"/>
      <c r="J638" s="280"/>
      <c r="K638" s="103"/>
      <c r="L638" s="146"/>
      <c r="M638" s="103"/>
      <c r="N638" s="103"/>
      <c r="O638" s="103">
        <f t="shared" si="1"/>
        <v>0</v>
      </c>
      <c r="P638" s="104">
        <f t="shared" si="2"/>
        <v>0</v>
      </c>
      <c r="Q638" s="147"/>
      <c r="R638" s="103"/>
      <c r="S638" s="103">
        <f t="shared" si="3"/>
        <v>0</v>
      </c>
      <c r="U638" s="107" t="str">
        <f t="shared" si="4"/>
        <v>0</v>
      </c>
    </row>
    <row r="639" ht="15.75" customHeight="1">
      <c r="A639" s="279"/>
      <c r="B639" s="280"/>
      <c r="C639" s="280"/>
      <c r="D639" s="280"/>
      <c r="E639" s="281"/>
      <c r="F639" s="281"/>
      <c r="G639" s="280"/>
      <c r="H639" s="282"/>
      <c r="I639" s="283"/>
      <c r="J639" s="280"/>
      <c r="K639" s="103"/>
      <c r="L639" s="146"/>
      <c r="M639" s="103"/>
      <c r="N639" s="103"/>
      <c r="O639" s="103">
        <f t="shared" si="1"/>
        <v>0</v>
      </c>
      <c r="P639" s="104">
        <f t="shared" si="2"/>
        <v>0</v>
      </c>
      <c r="Q639" s="147"/>
      <c r="R639" s="103"/>
      <c r="S639" s="103">
        <f t="shared" si="3"/>
        <v>0</v>
      </c>
      <c r="U639" s="107" t="str">
        <f t="shared" si="4"/>
        <v>0</v>
      </c>
    </row>
    <row r="640" ht="15.75" customHeight="1">
      <c r="A640" s="279"/>
      <c r="B640" s="280"/>
      <c r="C640" s="280"/>
      <c r="D640" s="280"/>
      <c r="E640" s="281"/>
      <c r="F640" s="281"/>
      <c r="G640" s="280"/>
      <c r="H640" s="282"/>
      <c r="I640" s="283"/>
      <c r="J640" s="280"/>
      <c r="K640" s="103"/>
      <c r="L640" s="146"/>
      <c r="M640" s="103"/>
      <c r="N640" s="103"/>
      <c r="O640" s="103">
        <f t="shared" si="1"/>
        <v>0</v>
      </c>
      <c r="P640" s="104">
        <f t="shared" si="2"/>
        <v>0</v>
      </c>
      <c r="Q640" s="147"/>
      <c r="R640" s="103"/>
      <c r="S640" s="103">
        <f t="shared" si="3"/>
        <v>0</v>
      </c>
      <c r="U640" s="107" t="str">
        <f t="shared" si="4"/>
        <v>0</v>
      </c>
    </row>
    <row r="641" ht="15.75" customHeight="1">
      <c r="A641" s="279"/>
      <c r="B641" s="280"/>
      <c r="C641" s="280"/>
      <c r="D641" s="280"/>
      <c r="E641" s="281"/>
      <c r="F641" s="281"/>
      <c r="G641" s="280"/>
      <c r="H641" s="282"/>
      <c r="I641" s="283"/>
      <c r="J641" s="280"/>
      <c r="K641" s="103"/>
      <c r="L641" s="146"/>
      <c r="M641" s="103"/>
      <c r="N641" s="103"/>
      <c r="O641" s="103">
        <f t="shared" si="1"/>
        <v>0</v>
      </c>
      <c r="P641" s="104">
        <f t="shared" si="2"/>
        <v>0</v>
      </c>
      <c r="Q641" s="147"/>
      <c r="R641" s="103"/>
      <c r="S641" s="103">
        <f t="shared" si="3"/>
        <v>0</v>
      </c>
      <c r="U641" s="107" t="str">
        <f t="shared" si="4"/>
        <v>0</v>
      </c>
    </row>
    <row r="642" ht="15.75" customHeight="1">
      <c r="A642" s="279"/>
      <c r="B642" s="280"/>
      <c r="C642" s="280"/>
      <c r="D642" s="280"/>
      <c r="E642" s="281"/>
      <c r="F642" s="281"/>
      <c r="G642" s="280"/>
      <c r="H642" s="282"/>
      <c r="I642" s="283"/>
      <c r="J642" s="280"/>
      <c r="K642" s="103"/>
      <c r="L642" s="146"/>
      <c r="M642" s="103"/>
      <c r="N642" s="103"/>
      <c r="O642" s="103">
        <f t="shared" si="1"/>
        <v>0</v>
      </c>
      <c r="P642" s="104">
        <f t="shared" si="2"/>
        <v>0</v>
      </c>
      <c r="Q642" s="147"/>
      <c r="R642" s="103"/>
      <c r="S642" s="103">
        <f t="shared" si="3"/>
        <v>0</v>
      </c>
      <c r="U642" s="107" t="str">
        <f t="shared" si="4"/>
        <v>0</v>
      </c>
    </row>
    <row r="643" ht="15.75" customHeight="1">
      <c r="A643" s="279"/>
      <c r="B643" s="280"/>
      <c r="C643" s="280"/>
      <c r="D643" s="280"/>
      <c r="E643" s="281"/>
      <c r="F643" s="281"/>
      <c r="G643" s="280"/>
      <c r="H643" s="282"/>
      <c r="I643" s="283"/>
      <c r="J643" s="280"/>
      <c r="K643" s="103"/>
      <c r="L643" s="146"/>
      <c r="M643" s="103"/>
      <c r="N643" s="103"/>
      <c r="O643" s="103">
        <f t="shared" si="1"/>
        <v>0</v>
      </c>
      <c r="P643" s="104">
        <f t="shared" si="2"/>
        <v>0</v>
      </c>
      <c r="Q643" s="147"/>
      <c r="R643" s="103"/>
      <c r="S643" s="103">
        <f t="shared" si="3"/>
        <v>0</v>
      </c>
      <c r="U643" s="107" t="str">
        <f t="shared" si="4"/>
        <v>0</v>
      </c>
    </row>
    <row r="644" ht="15.75" customHeight="1">
      <c r="A644" s="279"/>
      <c r="B644" s="280"/>
      <c r="C644" s="280"/>
      <c r="D644" s="280"/>
      <c r="E644" s="281"/>
      <c r="F644" s="281"/>
      <c r="G644" s="280"/>
      <c r="H644" s="282"/>
      <c r="I644" s="283"/>
      <c r="J644" s="280"/>
      <c r="K644" s="103"/>
      <c r="L644" s="146"/>
      <c r="M644" s="103"/>
      <c r="N644" s="103"/>
      <c r="O644" s="103">
        <f t="shared" si="1"/>
        <v>0</v>
      </c>
      <c r="P644" s="104">
        <f t="shared" si="2"/>
        <v>0</v>
      </c>
      <c r="Q644" s="147"/>
      <c r="R644" s="103"/>
      <c r="S644" s="103">
        <f t="shared" si="3"/>
        <v>0</v>
      </c>
      <c r="U644" s="107" t="str">
        <f t="shared" si="4"/>
        <v>0</v>
      </c>
    </row>
    <row r="645" ht="15.75" customHeight="1">
      <c r="A645" s="279"/>
      <c r="B645" s="280"/>
      <c r="C645" s="280"/>
      <c r="D645" s="280"/>
      <c r="E645" s="281"/>
      <c r="F645" s="281"/>
      <c r="G645" s="280"/>
      <c r="H645" s="282"/>
      <c r="I645" s="283"/>
      <c r="J645" s="280"/>
      <c r="K645" s="103"/>
      <c r="L645" s="146"/>
      <c r="M645" s="103"/>
      <c r="N645" s="103"/>
      <c r="O645" s="103">
        <f t="shared" si="1"/>
        <v>0</v>
      </c>
      <c r="P645" s="104">
        <f t="shared" si="2"/>
        <v>0</v>
      </c>
      <c r="Q645" s="147"/>
      <c r="R645" s="103"/>
      <c r="S645" s="103">
        <f t="shared" si="3"/>
        <v>0</v>
      </c>
      <c r="U645" s="107" t="str">
        <f t="shared" si="4"/>
        <v>0</v>
      </c>
    </row>
    <row r="646" ht="15.75" customHeight="1">
      <c r="A646" s="279"/>
      <c r="B646" s="280"/>
      <c r="C646" s="280"/>
      <c r="D646" s="280"/>
      <c r="E646" s="281"/>
      <c r="F646" s="281"/>
      <c r="G646" s="280"/>
      <c r="H646" s="282"/>
      <c r="I646" s="283"/>
      <c r="J646" s="280"/>
      <c r="K646" s="103"/>
      <c r="L646" s="146"/>
      <c r="M646" s="103"/>
      <c r="N646" s="103"/>
      <c r="O646" s="103">
        <f t="shared" si="1"/>
        <v>0</v>
      </c>
      <c r="P646" s="104">
        <f t="shared" si="2"/>
        <v>0</v>
      </c>
      <c r="Q646" s="147"/>
      <c r="R646" s="103"/>
      <c r="S646" s="103">
        <f t="shared" si="3"/>
        <v>0</v>
      </c>
      <c r="U646" s="107" t="str">
        <f t="shared" si="4"/>
        <v>0</v>
      </c>
    </row>
    <row r="647" ht="15.75" customHeight="1">
      <c r="A647" s="279"/>
      <c r="B647" s="280"/>
      <c r="C647" s="280"/>
      <c r="D647" s="280"/>
      <c r="E647" s="281"/>
      <c r="F647" s="281"/>
      <c r="G647" s="280"/>
      <c r="H647" s="282"/>
      <c r="I647" s="283"/>
      <c r="J647" s="280"/>
      <c r="K647" s="103"/>
      <c r="L647" s="146"/>
      <c r="M647" s="103"/>
      <c r="N647" s="103"/>
      <c r="O647" s="103">
        <f t="shared" si="1"/>
        <v>0</v>
      </c>
      <c r="P647" s="104">
        <f t="shared" si="2"/>
        <v>0</v>
      </c>
      <c r="Q647" s="147"/>
      <c r="R647" s="103"/>
      <c r="S647" s="103">
        <f t="shared" si="3"/>
        <v>0</v>
      </c>
      <c r="U647" s="107" t="str">
        <f t="shared" si="4"/>
        <v>0</v>
      </c>
    </row>
    <row r="648" ht="15.75" customHeight="1">
      <c r="A648" s="279"/>
      <c r="B648" s="280"/>
      <c r="C648" s="280"/>
      <c r="D648" s="280"/>
      <c r="E648" s="281"/>
      <c r="F648" s="281"/>
      <c r="G648" s="280"/>
      <c r="H648" s="282"/>
      <c r="I648" s="283"/>
      <c r="J648" s="280"/>
      <c r="K648" s="103"/>
      <c r="L648" s="146"/>
      <c r="M648" s="103"/>
      <c r="N648" s="103"/>
      <c r="O648" s="103">
        <f t="shared" si="1"/>
        <v>0</v>
      </c>
      <c r="P648" s="104">
        <f t="shared" si="2"/>
        <v>0</v>
      </c>
      <c r="Q648" s="147"/>
      <c r="R648" s="103"/>
      <c r="S648" s="103">
        <f t="shared" si="3"/>
        <v>0</v>
      </c>
      <c r="U648" s="107" t="str">
        <f t="shared" si="4"/>
        <v>0</v>
      </c>
    </row>
    <row r="649" ht="15.75" customHeight="1">
      <c r="A649" s="279"/>
      <c r="B649" s="280"/>
      <c r="C649" s="280"/>
      <c r="D649" s="280"/>
      <c r="E649" s="281"/>
      <c r="F649" s="281"/>
      <c r="G649" s="280"/>
      <c r="H649" s="282"/>
      <c r="I649" s="283"/>
      <c r="J649" s="280"/>
      <c r="K649" s="103"/>
      <c r="L649" s="146"/>
      <c r="M649" s="103"/>
      <c r="N649" s="103"/>
      <c r="O649" s="103">
        <f t="shared" si="1"/>
        <v>0</v>
      </c>
      <c r="P649" s="104">
        <f t="shared" si="2"/>
        <v>0</v>
      </c>
      <c r="Q649" s="147"/>
      <c r="R649" s="103"/>
      <c r="S649" s="103">
        <f t="shared" si="3"/>
        <v>0</v>
      </c>
      <c r="U649" s="107" t="str">
        <f t="shared" si="4"/>
        <v>0</v>
      </c>
    </row>
    <row r="650" ht="15.75" customHeight="1">
      <c r="A650" s="279"/>
      <c r="B650" s="280"/>
      <c r="C650" s="280"/>
      <c r="D650" s="280"/>
      <c r="E650" s="281"/>
      <c r="F650" s="281"/>
      <c r="G650" s="280"/>
      <c r="H650" s="282"/>
      <c r="I650" s="283"/>
      <c r="J650" s="280"/>
      <c r="K650" s="103"/>
      <c r="L650" s="146"/>
      <c r="M650" s="103"/>
      <c r="N650" s="103"/>
      <c r="O650" s="103">
        <f t="shared" si="1"/>
        <v>0</v>
      </c>
      <c r="P650" s="104">
        <f t="shared" si="2"/>
        <v>0</v>
      </c>
      <c r="Q650" s="147"/>
      <c r="R650" s="103"/>
      <c r="S650" s="103">
        <f t="shared" si="3"/>
        <v>0</v>
      </c>
      <c r="U650" s="107" t="str">
        <f t="shared" si="4"/>
        <v>0</v>
      </c>
    </row>
    <row r="651" ht="15.75" customHeight="1">
      <c r="A651" s="279"/>
      <c r="B651" s="280"/>
      <c r="C651" s="280"/>
      <c r="D651" s="280"/>
      <c r="E651" s="281"/>
      <c r="F651" s="281"/>
      <c r="G651" s="280"/>
      <c r="H651" s="282"/>
      <c r="I651" s="283"/>
      <c r="J651" s="280"/>
      <c r="K651" s="103"/>
      <c r="L651" s="146"/>
      <c r="M651" s="103"/>
      <c r="N651" s="103"/>
      <c r="O651" s="103">
        <f t="shared" si="1"/>
        <v>0</v>
      </c>
      <c r="P651" s="104">
        <f t="shared" si="2"/>
        <v>0</v>
      </c>
      <c r="Q651" s="147"/>
      <c r="R651" s="103"/>
      <c r="S651" s="103">
        <f t="shared" si="3"/>
        <v>0</v>
      </c>
      <c r="U651" s="107" t="str">
        <f t="shared" si="4"/>
        <v>0</v>
      </c>
    </row>
    <row r="652" ht="15.75" customHeight="1">
      <c r="A652" s="279"/>
      <c r="B652" s="280"/>
      <c r="C652" s="280"/>
      <c r="D652" s="280"/>
      <c r="E652" s="281"/>
      <c r="F652" s="281"/>
      <c r="G652" s="280"/>
      <c r="H652" s="282"/>
      <c r="I652" s="283"/>
      <c r="J652" s="280"/>
      <c r="K652" s="103"/>
      <c r="L652" s="146"/>
      <c r="M652" s="103"/>
      <c r="N652" s="103"/>
      <c r="O652" s="103">
        <f t="shared" si="1"/>
        <v>0</v>
      </c>
      <c r="P652" s="104">
        <f t="shared" si="2"/>
        <v>0</v>
      </c>
      <c r="Q652" s="147"/>
      <c r="R652" s="103"/>
      <c r="S652" s="103">
        <f t="shared" si="3"/>
        <v>0</v>
      </c>
      <c r="U652" s="107" t="str">
        <f t="shared" si="4"/>
        <v>0</v>
      </c>
    </row>
    <row r="653" ht="15.75" customHeight="1">
      <c r="A653" s="279"/>
      <c r="B653" s="280"/>
      <c r="C653" s="280"/>
      <c r="D653" s="280"/>
      <c r="E653" s="281"/>
      <c r="F653" s="281"/>
      <c r="G653" s="280"/>
      <c r="H653" s="282"/>
      <c r="I653" s="283"/>
      <c r="J653" s="280"/>
      <c r="K653" s="103"/>
      <c r="L653" s="146"/>
      <c r="M653" s="103"/>
      <c r="N653" s="103"/>
      <c r="O653" s="103">
        <f t="shared" si="1"/>
        <v>0</v>
      </c>
      <c r="P653" s="104">
        <f t="shared" si="2"/>
        <v>0</v>
      </c>
      <c r="Q653" s="147"/>
      <c r="R653" s="103"/>
      <c r="S653" s="103">
        <f t="shared" si="3"/>
        <v>0</v>
      </c>
      <c r="U653" s="107" t="str">
        <f t="shared" si="4"/>
        <v>0</v>
      </c>
    </row>
    <row r="654" ht="15.75" customHeight="1">
      <c r="A654" s="279"/>
      <c r="B654" s="280"/>
      <c r="C654" s="280"/>
      <c r="D654" s="280"/>
      <c r="E654" s="281"/>
      <c r="F654" s="281"/>
      <c r="G654" s="280"/>
      <c r="H654" s="282"/>
      <c r="I654" s="283"/>
      <c r="J654" s="280"/>
      <c r="K654" s="103"/>
      <c r="L654" s="146"/>
      <c r="M654" s="103"/>
      <c r="N654" s="103"/>
      <c r="O654" s="103">
        <f t="shared" si="1"/>
        <v>0</v>
      </c>
      <c r="P654" s="104">
        <f t="shared" si="2"/>
        <v>0</v>
      </c>
      <c r="Q654" s="147"/>
      <c r="R654" s="103"/>
      <c r="S654" s="103">
        <f t="shared" si="3"/>
        <v>0</v>
      </c>
      <c r="U654" s="107" t="str">
        <f t="shared" si="4"/>
        <v>0</v>
      </c>
    </row>
    <row r="655" ht="15.75" customHeight="1">
      <c r="A655" s="279"/>
      <c r="B655" s="280"/>
      <c r="C655" s="280"/>
      <c r="D655" s="280"/>
      <c r="E655" s="281"/>
      <c r="F655" s="281"/>
      <c r="G655" s="280"/>
      <c r="H655" s="282"/>
      <c r="I655" s="283"/>
      <c r="J655" s="280"/>
      <c r="K655" s="103"/>
      <c r="L655" s="146"/>
      <c r="M655" s="103"/>
      <c r="N655" s="103"/>
      <c r="O655" s="103">
        <f t="shared" si="1"/>
        <v>0</v>
      </c>
      <c r="P655" s="104">
        <f t="shared" si="2"/>
        <v>0</v>
      </c>
      <c r="Q655" s="147"/>
      <c r="R655" s="103"/>
      <c r="S655" s="103">
        <f t="shared" si="3"/>
        <v>0</v>
      </c>
      <c r="U655" s="107" t="str">
        <f t="shared" si="4"/>
        <v>0</v>
      </c>
    </row>
    <row r="656" ht="15.75" customHeight="1">
      <c r="A656" s="279"/>
      <c r="B656" s="280"/>
      <c r="C656" s="280"/>
      <c r="D656" s="280"/>
      <c r="E656" s="281"/>
      <c r="F656" s="281"/>
      <c r="G656" s="280"/>
      <c r="H656" s="282"/>
      <c r="I656" s="283"/>
      <c r="J656" s="280"/>
      <c r="K656" s="103"/>
      <c r="L656" s="146"/>
      <c r="M656" s="103"/>
      <c r="N656" s="103"/>
      <c r="O656" s="103">
        <f t="shared" si="1"/>
        <v>0</v>
      </c>
      <c r="P656" s="104">
        <f t="shared" si="2"/>
        <v>0</v>
      </c>
      <c r="Q656" s="147"/>
      <c r="R656" s="103"/>
      <c r="S656" s="103">
        <f t="shared" si="3"/>
        <v>0</v>
      </c>
      <c r="U656" s="107" t="str">
        <f t="shared" si="4"/>
        <v>0</v>
      </c>
    </row>
    <row r="657" ht="15.75" customHeight="1">
      <c r="A657" s="279"/>
      <c r="B657" s="280"/>
      <c r="C657" s="280"/>
      <c r="D657" s="280"/>
      <c r="E657" s="281"/>
      <c r="F657" s="281"/>
      <c r="G657" s="280"/>
      <c r="H657" s="282"/>
      <c r="I657" s="283"/>
      <c r="J657" s="280"/>
      <c r="K657" s="103"/>
      <c r="L657" s="146"/>
      <c r="M657" s="103"/>
      <c r="N657" s="103"/>
      <c r="O657" s="103">
        <f t="shared" si="1"/>
        <v>0</v>
      </c>
      <c r="P657" s="104">
        <f t="shared" si="2"/>
        <v>0</v>
      </c>
      <c r="Q657" s="147"/>
      <c r="R657" s="103"/>
      <c r="S657" s="103">
        <f t="shared" si="3"/>
        <v>0</v>
      </c>
      <c r="U657" s="107" t="str">
        <f t="shared" si="4"/>
        <v>0</v>
      </c>
    </row>
    <row r="658" ht="15.75" customHeight="1">
      <c r="A658" s="279"/>
      <c r="B658" s="280"/>
      <c r="C658" s="280"/>
      <c r="D658" s="280"/>
      <c r="E658" s="281"/>
      <c r="F658" s="281"/>
      <c r="G658" s="280"/>
      <c r="H658" s="282"/>
      <c r="I658" s="283"/>
      <c r="J658" s="280"/>
      <c r="K658" s="103"/>
      <c r="L658" s="146"/>
      <c r="M658" s="103"/>
      <c r="N658" s="103"/>
      <c r="O658" s="103">
        <f t="shared" si="1"/>
        <v>0</v>
      </c>
      <c r="P658" s="104">
        <f t="shared" si="2"/>
        <v>0</v>
      </c>
      <c r="Q658" s="147"/>
      <c r="R658" s="103"/>
      <c r="S658" s="103">
        <f t="shared" si="3"/>
        <v>0</v>
      </c>
      <c r="U658" s="107" t="str">
        <f t="shared" si="4"/>
        <v>0</v>
      </c>
    </row>
    <row r="659" ht="15.75" customHeight="1">
      <c r="A659" s="279"/>
      <c r="B659" s="280"/>
      <c r="C659" s="280"/>
      <c r="D659" s="280"/>
      <c r="E659" s="281"/>
      <c r="F659" s="281"/>
      <c r="G659" s="280"/>
      <c r="H659" s="282"/>
      <c r="I659" s="283"/>
      <c r="J659" s="280"/>
      <c r="K659" s="103"/>
      <c r="L659" s="146"/>
      <c r="M659" s="103"/>
      <c r="N659" s="103"/>
      <c r="O659" s="103">
        <f t="shared" si="1"/>
        <v>0</v>
      </c>
      <c r="P659" s="104">
        <f t="shared" si="2"/>
        <v>0</v>
      </c>
      <c r="Q659" s="147"/>
      <c r="R659" s="103"/>
      <c r="S659" s="103">
        <f t="shared" si="3"/>
        <v>0</v>
      </c>
      <c r="U659" s="107" t="str">
        <f t="shared" si="4"/>
        <v>0</v>
      </c>
    </row>
    <row r="660" ht="15.75" customHeight="1">
      <c r="A660" s="279"/>
      <c r="B660" s="280"/>
      <c r="C660" s="280"/>
      <c r="D660" s="280"/>
      <c r="E660" s="281"/>
      <c r="F660" s="281"/>
      <c r="G660" s="280"/>
      <c r="H660" s="282"/>
      <c r="I660" s="283"/>
      <c r="J660" s="280"/>
      <c r="K660" s="103"/>
      <c r="L660" s="146"/>
      <c r="M660" s="103"/>
      <c r="N660" s="103"/>
      <c r="O660" s="103">
        <f t="shared" si="1"/>
        <v>0</v>
      </c>
      <c r="P660" s="104">
        <f t="shared" si="2"/>
        <v>0</v>
      </c>
      <c r="Q660" s="147"/>
      <c r="R660" s="103"/>
      <c r="S660" s="103">
        <f t="shared" si="3"/>
        <v>0</v>
      </c>
      <c r="U660" s="107" t="str">
        <f t="shared" si="4"/>
        <v>0</v>
      </c>
    </row>
    <row r="661" ht="15.75" customHeight="1">
      <c r="A661" s="279"/>
      <c r="B661" s="280"/>
      <c r="C661" s="280"/>
      <c r="D661" s="280"/>
      <c r="E661" s="281"/>
      <c r="F661" s="281"/>
      <c r="G661" s="280"/>
      <c r="H661" s="282"/>
      <c r="I661" s="283"/>
      <c r="J661" s="280"/>
      <c r="K661" s="103"/>
      <c r="L661" s="146"/>
      <c r="M661" s="103"/>
      <c r="N661" s="103"/>
      <c r="O661" s="103">
        <f t="shared" si="1"/>
        <v>0</v>
      </c>
      <c r="P661" s="104">
        <f t="shared" si="2"/>
        <v>0</v>
      </c>
      <c r="Q661" s="147"/>
      <c r="R661" s="103"/>
      <c r="S661" s="103">
        <f t="shared" si="3"/>
        <v>0</v>
      </c>
      <c r="U661" s="107" t="str">
        <f t="shared" si="4"/>
        <v>0</v>
      </c>
    </row>
    <row r="662" ht="15.75" customHeight="1">
      <c r="A662" s="279"/>
      <c r="B662" s="280"/>
      <c r="C662" s="280"/>
      <c r="D662" s="280"/>
      <c r="E662" s="281"/>
      <c r="F662" s="281"/>
      <c r="G662" s="280"/>
      <c r="H662" s="282"/>
      <c r="I662" s="283"/>
      <c r="J662" s="280"/>
      <c r="K662" s="103"/>
      <c r="L662" s="146"/>
      <c r="M662" s="103"/>
      <c r="N662" s="103"/>
      <c r="O662" s="103">
        <f t="shared" si="1"/>
        <v>0</v>
      </c>
      <c r="P662" s="104">
        <f t="shared" si="2"/>
        <v>0</v>
      </c>
      <c r="Q662" s="147"/>
      <c r="R662" s="103"/>
      <c r="S662" s="103">
        <f t="shared" si="3"/>
        <v>0</v>
      </c>
      <c r="U662" s="107" t="str">
        <f t="shared" si="4"/>
        <v>0</v>
      </c>
    </row>
    <row r="663" ht="15.75" customHeight="1">
      <c r="A663" s="279"/>
      <c r="B663" s="280"/>
      <c r="C663" s="280"/>
      <c r="D663" s="280"/>
      <c r="E663" s="281"/>
      <c r="F663" s="281"/>
      <c r="G663" s="280"/>
      <c r="H663" s="282"/>
      <c r="I663" s="283"/>
      <c r="J663" s="280"/>
      <c r="K663" s="103"/>
      <c r="L663" s="146"/>
      <c r="M663" s="103"/>
      <c r="N663" s="103"/>
      <c r="O663" s="103">
        <f t="shared" si="1"/>
        <v>0</v>
      </c>
      <c r="P663" s="104">
        <f t="shared" si="2"/>
        <v>0</v>
      </c>
      <c r="Q663" s="147"/>
      <c r="R663" s="103"/>
      <c r="S663" s="103">
        <f t="shared" si="3"/>
        <v>0</v>
      </c>
      <c r="U663" s="107" t="str">
        <f t="shared" si="4"/>
        <v>0</v>
      </c>
    </row>
    <row r="664" ht="15.75" customHeight="1">
      <c r="A664" s="279"/>
      <c r="B664" s="280"/>
      <c r="C664" s="280"/>
      <c r="D664" s="280"/>
      <c r="E664" s="281"/>
      <c r="F664" s="281"/>
      <c r="G664" s="280"/>
      <c r="H664" s="282"/>
      <c r="I664" s="283"/>
      <c r="J664" s="280"/>
      <c r="K664" s="103"/>
      <c r="L664" s="146"/>
      <c r="M664" s="103"/>
      <c r="N664" s="103"/>
      <c r="O664" s="103">
        <f t="shared" si="1"/>
        <v>0</v>
      </c>
      <c r="P664" s="104">
        <f t="shared" si="2"/>
        <v>0</v>
      </c>
      <c r="Q664" s="147"/>
      <c r="R664" s="103"/>
      <c r="S664" s="103">
        <f t="shared" si="3"/>
        <v>0</v>
      </c>
      <c r="U664" s="107" t="str">
        <f t="shared" si="4"/>
        <v>0</v>
      </c>
    </row>
    <row r="665" ht="15.75" customHeight="1">
      <c r="A665" s="279"/>
      <c r="B665" s="280"/>
      <c r="C665" s="280"/>
      <c r="D665" s="280"/>
      <c r="E665" s="281"/>
      <c r="F665" s="281"/>
      <c r="G665" s="280"/>
      <c r="H665" s="282"/>
      <c r="I665" s="283"/>
      <c r="J665" s="280"/>
      <c r="K665" s="103"/>
      <c r="L665" s="146"/>
      <c r="M665" s="103"/>
      <c r="N665" s="103"/>
      <c r="O665" s="103">
        <f t="shared" si="1"/>
        <v>0</v>
      </c>
      <c r="P665" s="104">
        <f t="shared" si="2"/>
        <v>0</v>
      </c>
      <c r="Q665" s="147"/>
      <c r="R665" s="103"/>
      <c r="S665" s="103">
        <f t="shared" si="3"/>
        <v>0</v>
      </c>
      <c r="U665" s="107" t="str">
        <f t="shared" si="4"/>
        <v>0</v>
      </c>
    </row>
    <row r="666" ht="15.75" customHeight="1">
      <c r="A666" s="279"/>
      <c r="B666" s="280"/>
      <c r="C666" s="280"/>
      <c r="D666" s="280"/>
      <c r="E666" s="281"/>
      <c r="F666" s="281"/>
      <c r="G666" s="280"/>
      <c r="H666" s="282"/>
      <c r="I666" s="283"/>
      <c r="J666" s="280"/>
      <c r="K666" s="103"/>
      <c r="L666" s="146"/>
      <c r="M666" s="103"/>
      <c r="N666" s="103"/>
      <c r="O666" s="103">
        <f t="shared" si="1"/>
        <v>0</v>
      </c>
      <c r="P666" s="104">
        <f t="shared" si="2"/>
        <v>0</v>
      </c>
      <c r="Q666" s="147"/>
      <c r="R666" s="103"/>
      <c r="S666" s="103">
        <f t="shared" si="3"/>
        <v>0</v>
      </c>
      <c r="U666" s="107" t="str">
        <f t="shared" si="4"/>
        <v>0</v>
      </c>
    </row>
    <row r="667" ht="15.75" customHeight="1">
      <c r="A667" s="279"/>
      <c r="B667" s="280"/>
      <c r="C667" s="280"/>
      <c r="D667" s="280"/>
      <c r="E667" s="281"/>
      <c r="F667" s="281"/>
      <c r="G667" s="280"/>
      <c r="H667" s="282"/>
      <c r="I667" s="283"/>
      <c r="J667" s="280"/>
      <c r="K667" s="103"/>
      <c r="L667" s="146"/>
      <c r="M667" s="103"/>
      <c r="N667" s="103"/>
      <c r="O667" s="103">
        <f t="shared" si="1"/>
        <v>0</v>
      </c>
      <c r="P667" s="104">
        <f t="shared" si="2"/>
        <v>0</v>
      </c>
      <c r="Q667" s="147"/>
      <c r="R667" s="103"/>
      <c r="S667" s="103">
        <f t="shared" si="3"/>
        <v>0</v>
      </c>
      <c r="U667" s="107" t="str">
        <f t="shared" si="4"/>
        <v>0</v>
      </c>
    </row>
    <row r="668" ht="15.75" customHeight="1">
      <c r="A668" s="279"/>
      <c r="B668" s="280"/>
      <c r="C668" s="280"/>
      <c r="D668" s="280"/>
      <c r="E668" s="281"/>
      <c r="F668" s="281"/>
      <c r="G668" s="280"/>
      <c r="H668" s="282"/>
      <c r="I668" s="283"/>
      <c r="J668" s="280"/>
      <c r="K668" s="103"/>
      <c r="L668" s="146"/>
      <c r="M668" s="103"/>
      <c r="N668" s="103"/>
      <c r="O668" s="103">
        <f t="shared" si="1"/>
        <v>0</v>
      </c>
      <c r="P668" s="104">
        <f t="shared" si="2"/>
        <v>0</v>
      </c>
      <c r="Q668" s="147"/>
      <c r="R668" s="103"/>
      <c r="S668" s="103">
        <f t="shared" si="3"/>
        <v>0</v>
      </c>
      <c r="U668" s="107" t="str">
        <f t="shared" si="4"/>
        <v>0</v>
      </c>
    </row>
    <row r="669" ht="15.75" customHeight="1">
      <c r="A669" s="279"/>
      <c r="B669" s="280"/>
      <c r="C669" s="280"/>
      <c r="D669" s="280"/>
      <c r="E669" s="281"/>
      <c r="F669" s="281"/>
      <c r="G669" s="280"/>
      <c r="H669" s="282"/>
      <c r="I669" s="283"/>
      <c r="J669" s="280"/>
      <c r="K669" s="103"/>
      <c r="L669" s="146"/>
      <c r="M669" s="103"/>
      <c r="N669" s="103"/>
      <c r="O669" s="103">
        <f t="shared" si="1"/>
        <v>0</v>
      </c>
      <c r="P669" s="104">
        <f t="shared" si="2"/>
        <v>0</v>
      </c>
      <c r="Q669" s="147"/>
      <c r="R669" s="103"/>
      <c r="S669" s="103">
        <f t="shared" si="3"/>
        <v>0</v>
      </c>
      <c r="U669" s="107" t="str">
        <f t="shared" si="4"/>
        <v>0</v>
      </c>
    </row>
    <row r="670" ht="15.75" customHeight="1">
      <c r="A670" s="279"/>
      <c r="B670" s="280"/>
      <c r="C670" s="280"/>
      <c r="D670" s="280"/>
      <c r="E670" s="281"/>
      <c r="F670" s="281"/>
      <c r="G670" s="280"/>
      <c r="H670" s="282"/>
      <c r="I670" s="283"/>
      <c r="J670" s="280"/>
      <c r="K670" s="103"/>
      <c r="L670" s="146"/>
      <c r="M670" s="103"/>
      <c r="N670" s="103"/>
      <c r="O670" s="103">
        <f t="shared" si="1"/>
        <v>0</v>
      </c>
      <c r="P670" s="104">
        <f t="shared" si="2"/>
        <v>0</v>
      </c>
      <c r="Q670" s="147"/>
      <c r="R670" s="103"/>
      <c r="S670" s="103">
        <f t="shared" si="3"/>
        <v>0</v>
      </c>
      <c r="U670" s="107" t="str">
        <f t="shared" si="4"/>
        <v>0</v>
      </c>
    </row>
    <row r="671" ht="15.75" customHeight="1">
      <c r="A671" s="279"/>
      <c r="B671" s="280"/>
      <c r="C671" s="280"/>
      <c r="D671" s="280"/>
      <c r="E671" s="281"/>
      <c r="F671" s="281"/>
      <c r="G671" s="280"/>
      <c r="H671" s="282"/>
      <c r="I671" s="283"/>
      <c r="J671" s="280"/>
      <c r="K671" s="103"/>
      <c r="L671" s="146"/>
      <c r="M671" s="103"/>
      <c r="N671" s="103"/>
      <c r="O671" s="103">
        <f t="shared" si="1"/>
        <v>0</v>
      </c>
      <c r="P671" s="104">
        <f t="shared" si="2"/>
        <v>0</v>
      </c>
      <c r="Q671" s="147"/>
      <c r="R671" s="103"/>
      <c r="S671" s="103">
        <f t="shared" si="3"/>
        <v>0</v>
      </c>
      <c r="U671" s="107" t="str">
        <f t="shared" si="4"/>
        <v>0</v>
      </c>
    </row>
    <row r="672" ht="15.75" customHeight="1">
      <c r="A672" s="279"/>
      <c r="B672" s="280"/>
      <c r="C672" s="280"/>
      <c r="D672" s="280"/>
      <c r="E672" s="281"/>
      <c r="F672" s="281"/>
      <c r="G672" s="280"/>
      <c r="H672" s="282"/>
      <c r="I672" s="283"/>
      <c r="J672" s="280"/>
      <c r="K672" s="103"/>
      <c r="L672" s="146"/>
      <c r="M672" s="103"/>
      <c r="N672" s="103"/>
      <c r="O672" s="103">
        <f t="shared" si="1"/>
        <v>0</v>
      </c>
      <c r="P672" s="104">
        <f t="shared" si="2"/>
        <v>0</v>
      </c>
      <c r="Q672" s="147"/>
      <c r="R672" s="103"/>
      <c r="S672" s="103">
        <f t="shared" si="3"/>
        <v>0</v>
      </c>
      <c r="U672" s="107" t="str">
        <f t="shared" si="4"/>
        <v>0</v>
      </c>
    </row>
    <row r="673" ht="15.75" customHeight="1">
      <c r="A673" s="279"/>
      <c r="B673" s="280"/>
      <c r="C673" s="280"/>
      <c r="D673" s="280"/>
      <c r="E673" s="281"/>
      <c r="F673" s="281"/>
      <c r="G673" s="280"/>
      <c r="H673" s="282"/>
      <c r="I673" s="283"/>
      <c r="J673" s="280"/>
      <c r="K673" s="103"/>
      <c r="L673" s="146"/>
      <c r="M673" s="103"/>
      <c r="N673" s="103"/>
      <c r="O673" s="103">
        <f t="shared" si="1"/>
        <v>0</v>
      </c>
      <c r="P673" s="104">
        <f t="shared" si="2"/>
        <v>0</v>
      </c>
      <c r="Q673" s="147"/>
      <c r="R673" s="103"/>
      <c r="S673" s="103">
        <f t="shared" si="3"/>
        <v>0</v>
      </c>
      <c r="U673" s="107" t="str">
        <f t="shared" si="4"/>
        <v>0</v>
      </c>
    </row>
    <row r="674" ht="15.75" customHeight="1">
      <c r="A674" s="279"/>
      <c r="B674" s="280"/>
      <c r="C674" s="280"/>
      <c r="D674" s="280"/>
      <c r="E674" s="281"/>
      <c r="F674" s="281"/>
      <c r="G674" s="280"/>
      <c r="H674" s="282"/>
      <c r="I674" s="283"/>
      <c r="J674" s="280"/>
      <c r="K674" s="103"/>
      <c r="L674" s="146"/>
      <c r="M674" s="103"/>
      <c r="N674" s="103"/>
      <c r="O674" s="103">
        <f t="shared" si="1"/>
        <v>0</v>
      </c>
      <c r="P674" s="104">
        <f t="shared" si="2"/>
        <v>0</v>
      </c>
      <c r="Q674" s="147"/>
      <c r="R674" s="103"/>
      <c r="S674" s="103">
        <f t="shared" si="3"/>
        <v>0</v>
      </c>
      <c r="U674" s="107" t="str">
        <f t="shared" si="4"/>
        <v>0</v>
      </c>
    </row>
    <row r="675" ht="15.75" customHeight="1">
      <c r="A675" s="279"/>
      <c r="B675" s="280"/>
      <c r="C675" s="280"/>
      <c r="D675" s="280"/>
      <c r="E675" s="281"/>
      <c r="F675" s="281"/>
      <c r="G675" s="280"/>
      <c r="H675" s="282"/>
      <c r="I675" s="283"/>
      <c r="J675" s="280"/>
      <c r="K675" s="103"/>
      <c r="L675" s="146"/>
      <c r="M675" s="103"/>
      <c r="N675" s="103"/>
      <c r="O675" s="103">
        <f t="shared" si="1"/>
        <v>0</v>
      </c>
      <c r="P675" s="104">
        <f t="shared" si="2"/>
        <v>0</v>
      </c>
      <c r="Q675" s="147"/>
      <c r="R675" s="103"/>
      <c r="S675" s="103">
        <f t="shared" si="3"/>
        <v>0</v>
      </c>
      <c r="U675" s="107" t="str">
        <f t="shared" si="4"/>
        <v>0</v>
      </c>
    </row>
    <row r="676" ht="15.75" customHeight="1">
      <c r="A676" s="279"/>
      <c r="B676" s="280"/>
      <c r="C676" s="280"/>
      <c r="D676" s="280"/>
      <c r="E676" s="281"/>
      <c r="F676" s="281"/>
      <c r="G676" s="280"/>
      <c r="H676" s="282"/>
      <c r="I676" s="283"/>
      <c r="J676" s="280"/>
      <c r="K676" s="103"/>
      <c r="L676" s="146"/>
      <c r="M676" s="103"/>
      <c r="N676" s="103"/>
      <c r="O676" s="103">
        <f t="shared" si="1"/>
        <v>0</v>
      </c>
      <c r="P676" s="104">
        <f t="shared" si="2"/>
        <v>0</v>
      </c>
      <c r="Q676" s="147"/>
      <c r="R676" s="103"/>
      <c r="S676" s="103">
        <f t="shared" si="3"/>
        <v>0</v>
      </c>
      <c r="U676" s="107" t="str">
        <f t="shared" si="4"/>
        <v>0</v>
      </c>
    </row>
    <row r="677" ht="15.75" customHeight="1">
      <c r="A677" s="279"/>
      <c r="B677" s="280"/>
      <c r="C677" s="280"/>
      <c r="D677" s="280"/>
      <c r="E677" s="281"/>
      <c r="F677" s="281"/>
      <c r="G677" s="280"/>
      <c r="H677" s="282"/>
      <c r="I677" s="283"/>
      <c r="J677" s="280"/>
      <c r="K677" s="103"/>
      <c r="L677" s="146"/>
      <c r="M677" s="103"/>
      <c r="N677" s="103"/>
      <c r="O677" s="103">
        <f t="shared" si="1"/>
        <v>0</v>
      </c>
      <c r="P677" s="104">
        <f t="shared" si="2"/>
        <v>0</v>
      </c>
      <c r="Q677" s="147"/>
      <c r="R677" s="103"/>
      <c r="S677" s="103">
        <f t="shared" si="3"/>
        <v>0</v>
      </c>
      <c r="U677" s="107" t="str">
        <f t="shared" si="4"/>
        <v>0</v>
      </c>
    </row>
    <row r="678" ht="15.75" customHeight="1">
      <c r="A678" s="279"/>
      <c r="B678" s="280"/>
      <c r="C678" s="280"/>
      <c r="D678" s="280"/>
      <c r="E678" s="281"/>
      <c r="F678" s="281"/>
      <c r="G678" s="280"/>
      <c r="H678" s="282"/>
      <c r="I678" s="283"/>
      <c r="J678" s="280"/>
      <c r="K678" s="103"/>
      <c r="L678" s="146"/>
      <c r="M678" s="103"/>
      <c r="N678" s="103"/>
      <c r="O678" s="103">
        <f t="shared" si="1"/>
        <v>0</v>
      </c>
      <c r="P678" s="104">
        <f t="shared" si="2"/>
        <v>0</v>
      </c>
      <c r="Q678" s="147"/>
      <c r="R678" s="103"/>
      <c r="S678" s="103">
        <f t="shared" si="3"/>
        <v>0</v>
      </c>
      <c r="U678" s="107" t="str">
        <f t="shared" si="4"/>
        <v>0</v>
      </c>
    </row>
    <row r="679" ht="15.75" customHeight="1">
      <c r="A679" s="279"/>
      <c r="B679" s="280"/>
      <c r="C679" s="280"/>
      <c r="D679" s="280"/>
      <c r="E679" s="281"/>
      <c r="F679" s="281"/>
      <c r="G679" s="280"/>
      <c r="H679" s="282"/>
      <c r="I679" s="283"/>
      <c r="J679" s="280"/>
      <c r="K679" s="103"/>
      <c r="L679" s="146"/>
      <c r="M679" s="103"/>
      <c r="N679" s="103"/>
      <c r="O679" s="103">
        <f t="shared" si="1"/>
        <v>0</v>
      </c>
      <c r="P679" s="104">
        <f t="shared" si="2"/>
        <v>0</v>
      </c>
      <c r="Q679" s="147"/>
      <c r="R679" s="103"/>
      <c r="S679" s="103">
        <f t="shared" si="3"/>
        <v>0</v>
      </c>
      <c r="U679" s="107" t="str">
        <f t="shared" si="4"/>
        <v>0</v>
      </c>
    </row>
    <row r="680" ht="15.75" customHeight="1">
      <c r="A680" s="279"/>
      <c r="B680" s="280"/>
      <c r="C680" s="280"/>
      <c r="D680" s="280"/>
      <c r="E680" s="281"/>
      <c r="F680" s="281"/>
      <c r="G680" s="280"/>
      <c r="H680" s="282"/>
      <c r="I680" s="283"/>
      <c r="J680" s="280"/>
      <c r="K680" s="103"/>
      <c r="L680" s="146"/>
      <c r="M680" s="103"/>
      <c r="N680" s="103"/>
      <c r="O680" s="103">
        <f t="shared" si="1"/>
        <v>0</v>
      </c>
      <c r="P680" s="104">
        <f t="shared" si="2"/>
        <v>0</v>
      </c>
      <c r="Q680" s="147"/>
      <c r="R680" s="103"/>
      <c r="S680" s="103">
        <f t="shared" si="3"/>
        <v>0</v>
      </c>
      <c r="U680" s="107" t="str">
        <f t="shared" si="4"/>
        <v>0</v>
      </c>
    </row>
    <row r="681" ht="15.75" customHeight="1">
      <c r="A681" s="279"/>
      <c r="B681" s="280"/>
      <c r="C681" s="280"/>
      <c r="D681" s="280"/>
      <c r="E681" s="281"/>
      <c r="F681" s="281"/>
      <c r="G681" s="280"/>
      <c r="H681" s="282"/>
      <c r="I681" s="283"/>
      <c r="J681" s="280"/>
      <c r="K681" s="103"/>
      <c r="L681" s="146"/>
      <c r="M681" s="103"/>
      <c r="N681" s="103"/>
      <c r="O681" s="103">
        <f t="shared" si="1"/>
        <v>0</v>
      </c>
      <c r="P681" s="104">
        <f t="shared" si="2"/>
        <v>0</v>
      </c>
      <c r="Q681" s="147"/>
      <c r="R681" s="103"/>
      <c r="S681" s="103">
        <f t="shared" si="3"/>
        <v>0</v>
      </c>
      <c r="U681" s="107" t="str">
        <f t="shared" si="4"/>
        <v>0</v>
      </c>
    </row>
    <row r="682" ht="15.75" customHeight="1">
      <c r="A682" s="279"/>
      <c r="B682" s="280"/>
      <c r="C682" s="280"/>
      <c r="D682" s="280"/>
      <c r="E682" s="281"/>
      <c r="F682" s="281"/>
      <c r="G682" s="280"/>
      <c r="H682" s="282"/>
      <c r="I682" s="283"/>
      <c r="J682" s="280"/>
      <c r="K682" s="103"/>
      <c r="L682" s="146"/>
      <c r="M682" s="103"/>
      <c r="N682" s="103"/>
      <c r="O682" s="103">
        <f t="shared" si="1"/>
        <v>0</v>
      </c>
      <c r="P682" s="104">
        <f t="shared" si="2"/>
        <v>0</v>
      </c>
      <c r="Q682" s="147"/>
      <c r="R682" s="103"/>
      <c r="S682" s="103">
        <f t="shared" si="3"/>
        <v>0</v>
      </c>
      <c r="U682" s="107" t="str">
        <f t="shared" si="4"/>
        <v>0</v>
      </c>
    </row>
    <row r="683" ht="15.75" customHeight="1">
      <c r="A683" s="279"/>
      <c r="B683" s="280"/>
      <c r="C683" s="280"/>
      <c r="D683" s="280"/>
      <c r="E683" s="281"/>
      <c r="F683" s="281"/>
      <c r="G683" s="280"/>
      <c r="H683" s="282"/>
      <c r="I683" s="283"/>
      <c r="J683" s="280"/>
      <c r="K683" s="103"/>
      <c r="L683" s="146"/>
      <c r="M683" s="103"/>
      <c r="N683" s="103"/>
      <c r="O683" s="103">
        <f t="shared" si="1"/>
        <v>0</v>
      </c>
      <c r="P683" s="104">
        <f t="shared" si="2"/>
        <v>0</v>
      </c>
      <c r="Q683" s="147"/>
      <c r="R683" s="103"/>
      <c r="S683" s="103">
        <f t="shared" si="3"/>
        <v>0</v>
      </c>
      <c r="U683" s="107" t="str">
        <f t="shared" si="4"/>
        <v>0</v>
      </c>
    </row>
    <row r="684" ht="15.75" customHeight="1">
      <c r="A684" s="279"/>
      <c r="B684" s="280"/>
      <c r="C684" s="280"/>
      <c r="D684" s="280"/>
      <c r="E684" s="281"/>
      <c r="F684" s="281"/>
      <c r="G684" s="280"/>
      <c r="H684" s="282"/>
      <c r="I684" s="283"/>
      <c r="J684" s="280"/>
      <c r="K684" s="103"/>
      <c r="L684" s="146"/>
      <c r="M684" s="103"/>
      <c r="N684" s="103"/>
      <c r="O684" s="103">
        <f t="shared" si="1"/>
        <v>0</v>
      </c>
      <c r="P684" s="104">
        <f t="shared" si="2"/>
        <v>0</v>
      </c>
      <c r="Q684" s="147"/>
      <c r="R684" s="103"/>
      <c r="S684" s="103">
        <f t="shared" si="3"/>
        <v>0</v>
      </c>
      <c r="U684" s="107" t="str">
        <f t="shared" si="4"/>
        <v>0</v>
      </c>
    </row>
    <row r="685" ht="15.75" customHeight="1">
      <c r="A685" s="279"/>
      <c r="B685" s="280"/>
      <c r="C685" s="280"/>
      <c r="D685" s="280"/>
      <c r="E685" s="281"/>
      <c r="F685" s="281"/>
      <c r="G685" s="280"/>
      <c r="H685" s="282"/>
      <c r="I685" s="283"/>
      <c r="J685" s="280"/>
      <c r="K685" s="103"/>
      <c r="L685" s="146"/>
      <c r="M685" s="103"/>
      <c r="N685" s="103"/>
      <c r="O685" s="103">
        <f t="shared" si="1"/>
        <v>0</v>
      </c>
      <c r="P685" s="104">
        <f t="shared" si="2"/>
        <v>0</v>
      </c>
      <c r="Q685" s="147"/>
      <c r="R685" s="103"/>
      <c r="S685" s="103">
        <f t="shared" si="3"/>
        <v>0</v>
      </c>
      <c r="U685" s="107" t="str">
        <f t="shared" si="4"/>
        <v>0</v>
      </c>
    </row>
    <row r="686" ht="15.75" customHeight="1">
      <c r="A686" s="279"/>
      <c r="B686" s="280"/>
      <c r="C686" s="280"/>
      <c r="D686" s="280"/>
      <c r="E686" s="281"/>
      <c r="F686" s="281"/>
      <c r="G686" s="280"/>
      <c r="H686" s="282"/>
      <c r="I686" s="283"/>
      <c r="J686" s="280"/>
      <c r="K686" s="103"/>
      <c r="L686" s="146"/>
      <c r="M686" s="103"/>
      <c r="N686" s="103"/>
      <c r="O686" s="103">
        <f t="shared" si="1"/>
        <v>0</v>
      </c>
      <c r="P686" s="104">
        <f t="shared" si="2"/>
        <v>0</v>
      </c>
      <c r="Q686" s="147"/>
      <c r="R686" s="103"/>
      <c r="S686" s="103">
        <f t="shared" si="3"/>
        <v>0</v>
      </c>
      <c r="U686" s="107" t="str">
        <f t="shared" si="4"/>
        <v>0</v>
      </c>
    </row>
    <row r="687" ht="15.75" customHeight="1">
      <c r="A687" s="279"/>
      <c r="B687" s="280"/>
      <c r="C687" s="280"/>
      <c r="D687" s="280"/>
      <c r="E687" s="281"/>
      <c r="F687" s="281"/>
      <c r="G687" s="280"/>
      <c r="H687" s="282"/>
      <c r="I687" s="283"/>
      <c r="J687" s="280"/>
      <c r="K687" s="103"/>
      <c r="L687" s="146"/>
      <c r="M687" s="103"/>
      <c r="N687" s="103"/>
      <c r="O687" s="103">
        <f t="shared" si="1"/>
        <v>0</v>
      </c>
      <c r="P687" s="104">
        <f t="shared" si="2"/>
        <v>0</v>
      </c>
      <c r="Q687" s="147"/>
      <c r="R687" s="103"/>
      <c r="S687" s="103">
        <f t="shared" si="3"/>
        <v>0</v>
      </c>
      <c r="U687" s="107" t="str">
        <f t="shared" si="4"/>
        <v>0</v>
      </c>
    </row>
    <row r="688" ht="15.75" customHeight="1">
      <c r="A688" s="279"/>
      <c r="B688" s="280"/>
      <c r="C688" s="280"/>
      <c r="D688" s="280"/>
      <c r="E688" s="281"/>
      <c r="F688" s="281"/>
      <c r="G688" s="280"/>
      <c r="H688" s="282"/>
      <c r="I688" s="283"/>
      <c r="J688" s="280"/>
      <c r="K688" s="103"/>
      <c r="L688" s="146"/>
      <c r="M688" s="103"/>
      <c r="N688" s="103"/>
      <c r="O688" s="103">
        <f t="shared" si="1"/>
        <v>0</v>
      </c>
      <c r="P688" s="104">
        <f t="shared" si="2"/>
        <v>0</v>
      </c>
      <c r="Q688" s="147"/>
      <c r="R688" s="103"/>
      <c r="S688" s="103">
        <f t="shared" si="3"/>
        <v>0</v>
      </c>
      <c r="U688" s="107" t="str">
        <f t="shared" si="4"/>
        <v>0</v>
      </c>
    </row>
    <row r="689" ht="15.75" customHeight="1">
      <c r="A689" s="279"/>
      <c r="B689" s="280"/>
      <c r="C689" s="280"/>
      <c r="D689" s="280"/>
      <c r="E689" s="281"/>
      <c r="F689" s="281"/>
      <c r="G689" s="280"/>
      <c r="H689" s="282"/>
      <c r="I689" s="283"/>
      <c r="J689" s="280"/>
      <c r="K689" s="103"/>
      <c r="L689" s="146"/>
      <c r="M689" s="103"/>
      <c r="N689" s="103"/>
      <c r="O689" s="103">
        <f t="shared" si="1"/>
        <v>0</v>
      </c>
      <c r="P689" s="104">
        <f t="shared" si="2"/>
        <v>0</v>
      </c>
      <c r="Q689" s="147"/>
      <c r="R689" s="103"/>
      <c r="S689" s="103">
        <f t="shared" si="3"/>
        <v>0</v>
      </c>
      <c r="U689" s="107" t="str">
        <f t="shared" si="4"/>
        <v>0</v>
      </c>
    </row>
    <row r="690" ht="15.75" customHeight="1">
      <c r="A690" s="279"/>
      <c r="B690" s="280"/>
      <c r="C690" s="280"/>
      <c r="D690" s="280"/>
      <c r="E690" s="281"/>
      <c r="F690" s="281"/>
      <c r="G690" s="280"/>
      <c r="H690" s="282"/>
      <c r="I690" s="283"/>
      <c r="J690" s="280"/>
      <c r="K690" s="103"/>
      <c r="L690" s="146"/>
      <c r="M690" s="103"/>
      <c r="N690" s="103"/>
      <c r="O690" s="103">
        <f t="shared" si="1"/>
        <v>0</v>
      </c>
      <c r="P690" s="104">
        <f t="shared" si="2"/>
        <v>0</v>
      </c>
      <c r="Q690" s="147"/>
      <c r="R690" s="103"/>
      <c r="S690" s="103">
        <f t="shared" si="3"/>
        <v>0</v>
      </c>
      <c r="U690" s="107" t="str">
        <f t="shared" si="4"/>
        <v>0</v>
      </c>
    </row>
    <row r="691" ht="15.75" customHeight="1">
      <c r="A691" s="279"/>
      <c r="B691" s="280"/>
      <c r="C691" s="280"/>
      <c r="D691" s="280"/>
      <c r="E691" s="281"/>
      <c r="F691" s="281"/>
      <c r="G691" s="280"/>
      <c r="H691" s="282"/>
      <c r="I691" s="283"/>
      <c r="J691" s="280"/>
      <c r="K691" s="103"/>
      <c r="L691" s="146"/>
      <c r="M691" s="103"/>
      <c r="N691" s="103"/>
      <c r="O691" s="103">
        <f t="shared" si="1"/>
        <v>0</v>
      </c>
      <c r="P691" s="104">
        <f t="shared" si="2"/>
        <v>0</v>
      </c>
      <c r="Q691" s="147"/>
      <c r="R691" s="103"/>
      <c r="S691" s="103">
        <f t="shared" si="3"/>
        <v>0</v>
      </c>
      <c r="U691" s="107" t="str">
        <f t="shared" si="4"/>
        <v>0</v>
      </c>
    </row>
    <row r="692" ht="15.75" customHeight="1">
      <c r="A692" s="279"/>
      <c r="B692" s="280"/>
      <c r="C692" s="280"/>
      <c r="D692" s="280"/>
      <c r="E692" s="281"/>
      <c r="F692" s="281"/>
      <c r="G692" s="280"/>
      <c r="H692" s="282"/>
      <c r="I692" s="283"/>
      <c r="J692" s="280"/>
      <c r="K692" s="103"/>
      <c r="L692" s="146"/>
      <c r="M692" s="103"/>
      <c r="N692" s="103"/>
      <c r="O692" s="103">
        <f t="shared" si="1"/>
        <v>0</v>
      </c>
      <c r="P692" s="104">
        <f t="shared" si="2"/>
        <v>0</v>
      </c>
      <c r="Q692" s="147"/>
      <c r="R692" s="103"/>
      <c r="S692" s="103">
        <f t="shared" si="3"/>
        <v>0</v>
      </c>
      <c r="U692" s="107" t="str">
        <f t="shared" si="4"/>
        <v>0</v>
      </c>
    </row>
    <row r="693" ht="15.75" customHeight="1">
      <c r="A693" s="279"/>
      <c r="B693" s="280"/>
      <c r="C693" s="280"/>
      <c r="D693" s="280"/>
      <c r="E693" s="281"/>
      <c r="F693" s="281"/>
      <c r="G693" s="280"/>
      <c r="H693" s="282"/>
      <c r="I693" s="283"/>
      <c r="J693" s="280"/>
      <c r="K693" s="103"/>
      <c r="L693" s="146"/>
      <c r="M693" s="103"/>
      <c r="N693" s="103"/>
      <c r="O693" s="103">
        <f t="shared" si="1"/>
        <v>0</v>
      </c>
      <c r="P693" s="104">
        <f t="shared" si="2"/>
        <v>0</v>
      </c>
      <c r="Q693" s="147"/>
      <c r="R693" s="103"/>
      <c r="S693" s="103">
        <f t="shared" si="3"/>
        <v>0</v>
      </c>
      <c r="U693" s="107" t="str">
        <f t="shared" si="4"/>
        <v>0</v>
      </c>
    </row>
    <row r="694" ht="15.75" customHeight="1">
      <c r="A694" s="279"/>
      <c r="B694" s="280"/>
      <c r="C694" s="280"/>
      <c r="D694" s="280"/>
      <c r="E694" s="281"/>
      <c r="F694" s="281"/>
      <c r="G694" s="280"/>
      <c r="H694" s="282"/>
      <c r="I694" s="283"/>
      <c r="J694" s="280"/>
      <c r="K694" s="103"/>
      <c r="L694" s="146"/>
      <c r="M694" s="103"/>
      <c r="N694" s="103"/>
      <c r="O694" s="103">
        <f t="shared" si="1"/>
        <v>0</v>
      </c>
      <c r="P694" s="104">
        <f t="shared" si="2"/>
        <v>0</v>
      </c>
      <c r="Q694" s="147"/>
      <c r="R694" s="103"/>
      <c r="S694" s="103">
        <f t="shared" si="3"/>
        <v>0</v>
      </c>
      <c r="U694" s="107" t="str">
        <f t="shared" si="4"/>
        <v>0</v>
      </c>
    </row>
    <row r="695" ht="15.75" customHeight="1">
      <c r="A695" s="279"/>
      <c r="B695" s="280"/>
      <c r="C695" s="280"/>
      <c r="D695" s="280"/>
      <c r="E695" s="281"/>
      <c r="F695" s="281"/>
      <c r="G695" s="280"/>
      <c r="H695" s="282"/>
      <c r="I695" s="283"/>
      <c r="J695" s="280"/>
      <c r="K695" s="103"/>
      <c r="L695" s="146"/>
      <c r="M695" s="103"/>
      <c r="N695" s="103"/>
      <c r="O695" s="103">
        <f t="shared" si="1"/>
        <v>0</v>
      </c>
      <c r="P695" s="104">
        <f t="shared" si="2"/>
        <v>0</v>
      </c>
      <c r="Q695" s="147"/>
      <c r="R695" s="103"/>
      <c r="S695" s="103">
        <f t="shared" si="3"/>
        <v>0</v>
      </c>
      <c r="U695" s="107" t="str">
        <f t="shared" si="4"/>
        <v>0</v>
      </c>
    </row>
    <row r="696" ht="15.75" customHeight="1">
      <c r="A696" s="279"/>
      <c r="B696" s="280"/>
      <c r="C696" s="280"/>
      <c r="D696" s="280"/>
      <c r="E696" s="281"/>
      <c r="F696" s="281"/>
      <c r="G696" s="280"/>
      <c r="H696" s="282"/>
      <c r="I696" s="283"/>
      <c r="J696" s="280"/>
      <c r="K696" s="103"/>
      <c r="L696" s="146"/>
      <c r="M696" s="103"/>
      <c r="N696" s="103"/>
      <c r="O696" s="103">
        <f t="shared" si="1"/>
        <v>0</v>
      </c>
      <c r="P696" s="104">
        <f t="shared" si="2"/>
        <v>0</v>
      </c>
      <c r="Q696" s="147"/>
      <c r="R696" s="103"/>
      <c r="S696" s="103">
        <f t="shared" si="3"/>
        <v>0</v>
      </c>
      <c r="U696" s="107" t="str">
        <f t="shared" si="4"/>
        <v>0</v>
      </c>
    </row>
    <row r="697" ht="15.75" customHeight="1">
      <c r="A697" s="279"/>
      <c r="B697" s="280"/>
      <c r="C697" s="280"/>
      <c r="D697" s="280"/>
      <c r="E697" s="281"/>
      <c r="F697" s="281"/>
      <c r="G697" s="280"/>
      <c r="H697" s="282"/>
      <c r="I697" s="283"/>
      <c r="J697" s="280"/>
      <c r="K697" s="103"/>
      <c r="L697" s="146"/>
      <c r="M697" s="103"/>
      <c r="N697" s="103"/>
      <c r="O697" s="103">
        <f t="shared" si="1"/>
        <v>0</v>
      </c>
      <c r="P697" s="104">
        <f t="shared" si="2"/>
        <v>0</v>
      </c>
      <c r="Q697" s="147"/>
      <c r="R697" s="103"/>
      <c r="S697" s="103">
        <f t="shared" si="3"/>
        <v>0</v>
      </c>
      <c r="U697" s="107" t="str">
        <f t="shared" si="4"/>
        <v>0</v>
      </c>
    </row>
    <row r="698" ht="15.75" customHeight="1">
      <c r="A698" s="279"/>
      <c r="B698" s="280"/>
      <c r="C698" s="280"/>
      <c r="D698" s="280"/>
      <c r="E698" s="281"/>
      <c r="F698" s="281"/>
      <c r="G698" s="280"/>
      <c r="H698" s="282"/>
      <c r="I698" s="283"/>
      <c r="J698" s="280"/>
      <c r="K698" s="103"/>
      <c r="L698" s="146"/>
      <c r="M698" s="103"/>
      <c r="N698" s="103"/>
      <c r="O698" s="103">
        <f t="shared" si="1"/>
        <v>0</v>
      </c>
      <c r="P698" s="104">
        <f t="shared" si="2"/>
        <v>0</v>
      </c>
      <c r="Q698" s="147"/>
      <c r="R698" s="103"/>
      <c r="S698" s="103">
        <f t="shared" si="3"/>
        <v>0</v>
      </c>
      <c r="U698" s="107" t="str">
        <f t="shared" si="4"/>
        <v>0</v>
      </c>
    </row>
    <row r="699" ht="15.75" customHeight="1">
      <c r="A699" s="279"/>
      <c r="B699" s="280"/>
      <c r="C699" s="280"/>
      <c r="D699" s="280"/>
      <c r="E699" s="281"/>
      <c r="F699" s="281"/>
      <c r="G699" s="280"/>
      <c r="H699" s="282"/>
      <c r="I699" s="283"/>
      <c r="J699" s="280"/>
      <c r="K699" s="103"/>
      <c r="L699" s="146"/>
      <c r="M699" s="103"/>
      <c r="N699" s="103"/>
      <c r="O699" s="103">
        <f t="shared" si="1"/>
        <v>0</v>
      </c>
      <c r="P699" s="104">
        <f t="shared" si="2"/>
        <v>0</v>
      </c>
      <c r="Q699" s="147"/>
      <c r="R699" s="103"/>
      <c r="S699" s="103">
        <f t="shared" si="3"/>
        <v>0</v>
      </c>
      <c r="U699" s="107" t="str">
        <f t="shared" si="4"/>
        <v>0</v>
      </c>
    </row>
    <row r="700" ht="15.75" customHeight="1">
      <c r="A700" s="279"/>
      <c r="B700" s="280"/>
      <c r="C700" s="280"/>
      <c r="D700" s="280"/>
      <c r="E700" s="281"/>
      <c r="F700" s="281"/>
      <c r="G700" s="280"/>
      <c r="H700" s="282"/>
      <c r="I700" s="283"/>
      <c r="J700" s="280"/>
      <c r="K700" s="103"/>
      <c r="L700" s="146"/>
      <c r="M700" s="103"/>
      <c r="N700" s="103"/>
      <c r="O700" s="103">
        <f t="shared" si="1"/>
        <v>0</v>
      </c>
      <c r="P700" s="104">
        <f t="shared" si="2"/>
        <v>0</v>
      </c>
      <c r="Q700" s="147"/>
      <c r="R700" s="103"/>
      <c r="S700" s="103">
        <f t="shared" si="3"/>
        <v>0</v>
      </c>
      <c r="U700" s="107" t="str">
        <f t="shared" si="4"/>
        <v>0</v>
      </c>
    </row>
    <row r="701" ht="15.75" customHeight="1">
      <c r="A701" s="279"/>
      <c r="B701" s="280"/>
      <c r="C701" s="280"/>
      <c r="D701" s="280"/>
      <c r="E701" s="281"/>
      <c r="F701" s="281"/>
      <c r="G701" s="280"/>
      <c r="H701" s="282"/>
      <c r="I701" s="283"/>
      <c r="J701" s="280"/>
      <c r="K701" s="103"/>
      <c r="L701" s="146"/>
      <c r="M701" s="103"/>
      <c r="N701" s="103"/>
      <c r="O701" s="103">
        <f t="shared" si="1"/>
        <v>0</v>
      </c>
      <c r="P701" s="104">
        <f t="shared" si="2"/>
        <v>0</v>
      </c>
      <c r="Q701" s="147"/>
      <c r="R701" s="103"/>
      <c r="S701" s="103">
        <f t="shared" si="3"/>
        <v>0</v>
      </c>
      <c r="U701" s="107" t="str">
        <f t="shared" si="4"/>
        <v>0</v>
      </c>
    </row>
    <row r="702" ht="15.75" customHeight="1">
      <c r="A702" s="279"/>
      <c r="B702" s="280"/>
      <c r="C702" s="280"/>
      <c r="D702" s="280"/>
      <c r="E702" s="281"/>
      <c r="F702" s="281"/>
      <c r="G702" s="280"/>
      <c r="H702" s="282"/>
      <c r="I702" s="283"/>
      <c r="J702" s="280"/>
      <c r="K702" s="103"/>
      <c r="L702" s="146"/>
      <c r="M702" s="103"/>
      <c r="N702" s="103"/>
      <c r="O702" s="103">
        <f t="shared" si="1"/>
        <v>0</v>
      </c>
      <c r="P702" s="104">
        <f t="shared" si="2"/>
        <v>0</v>
      </c>
      <c r="Q702" s="147"/>
      <c r="R702" s="103"/>
      <c r="S702" s="103">
        <f t="shared" si="3"/>
        <v>0</v>
      </c>
      <c r="U702" s="107" t="str">
        <f t="shared" si="4"/>
        <v>0</v>
      </c>
    </row>
    <row r="703" ht="15.75" customHeight="1">
      <c r="A703" s="279"/>
      <c r="B703" s="280"/>
      <c r="C703" s="280"/>
      <c r="D703" s="280"/>
      <c r="E703" s="281"/>
      <c r="F703" s="281"/>
      <c r="G703" s="280"/>
      <c r="H703" s="282"/>
      <c r="I703" s="283"/>
      <c r="J703" s="280"/>
      <c r="K703" s="103"/>
      <c r="L703" s="146"/>
      <c r="M703" s="103"/>
      <c r="N703" s="103"/>
      <c r="O703" s="103">
        <f t="shared" si="1"/>
        <v>0</v>
      </c>
      <c r="P703" s="104">
        <f t="shared" si="2"/>
        <v>0</v>
      </c>
      <c r="Q703" s="147"/>
      <c r="R703" s="103"/>
      <c r="S703" s="103">
        <f t="shared" si="3"/>
        <v>0</v>
      </c>
      <c r="U703" s="107" t="str">
        <f t="shared" si="4"/>
        <v>0</v>
      </c>
    </row>
    <row r="704" ht="15.75" customHeight="1">
      <c r="A704" s="279"/>
      <c r="B704" s="280"/>
      <c r="C704" s="280"/>
      <c r="D704" s="280"/>
      <c r="E704" s="281"/>
      <c r="F704" s="281"/>
      <c r="G704" s="280"/>
      <c r="H704" s="282"/>
      <c r="I704" s="283"/>
      <c r="J704" s="280"/>
      <c r="K704" s="103"/>
      <c r="L704" s="146"/>
      <c r="M704" s="103"/>
      <c r="N704" s="103"/>
      <c r="O704" s="103">
        <f t="shared" si="1"/>
        <v>0</v>
      </c>
      <c r="P704" s="104">
        <f t="shared" si="2"/>
        <v>0</v>
      </c>
      <c r="Q704" s="147"/>
      <c r="R704" s="103"/>
      <c r="S704" s="103">
        <f t="shared" si="3"/>
        <v>0</v>
      </c>
      <c r="U704" s="107" t="str">
        <f t="shared" si="4"/>
        <v>0</v>
      </c>
    </row>
    <row r="705" ht="15.75" customHeight="1">
      <c r="A705" s="279"/>
      <c r="B705" s="280"/>
      <c r="C705" s="280"/>
      <c r="D705" s="280"/>
      <c r="E705" s="281"/>
      <c r="F705" s="281"/>
      <c r="G705" s="280"/>
      <c r="H705" s="282"/>
      <c r="I705" s="283"/>
      <c r="J705" s="280"/>
      <c r="K705" s="103"/>
      <c r="L705" s="146"/>
      <c r="M705" s="103"/>
      <c r="N705" s="103"/>
      <c r="O705" s="103">
        <f t="shared" si="1"/>
        <v>0</v>
      </c>
      <c r="P705" s="104">
        <f t="shared" si="2"/>
        <v>0</v>
      </c>
      <c r="Q705" s="147"/>
      <c r="R705" s="103"/>
      <c r="S705" s="103">
        <f t="shared" si="3"/>
        <v>0</v>
      </c>
      <c r="U705" s="107" t="str">
        <f t="shared" si="4"/>
        <v>0</v>
      </c>
    </row>
    <row r="706" ht="15.75" customHeight="1">
      <c r="A706" s="279"/>
      <c r="B706" s="280"/>
      <c r="C706" s="280"/>
      <c r="D706" s="280"/>
      <c r="E706" s="281"/>
      <c r="F706" s="281"/>
      <c r="G706" s="280"/>
      <c r="H706" s="282"/>
      <c r="I706" s="283"/>
      <c r="J706" s="280"/>
      <c r="K706" s="103"/>
      <c r="L706" s="146"/>
      <c r="M706" s="103"/>
      <c r="N706" s="103"/>
      <c r="O706" s="103">
        <f t="shared" si="1"/>
        <v>0</v>
      </c>
      <c r="P706" s="104">
        <f t="shared" si="2"/>
        <v>0</v>
      </c>
      <c r="Q706" s="147"/>
      <c r="R706" s="103"/>
      <c r="S706" s="103">
        <f t="shared" si="3"/>
        <v>0</v>
      </c>
      <c r="U706" s="107" t="str">
        <f t="shared" si="4"/>
        <v>0</v>
      </c>
    </row>
    <row r="707" ht="15.75" customHeight="1">
      <c r="A707" s="279"/>
      <c r="B707" s="280"/>
      <c r="C707" s="280"/>
      <c r="D707" s="280"/>
      <c r="E707" s="281"/>
      <c r="F707" s="281"/>
      <c r="G707" s="280"/>
      <c r="H707" s="282"/>
      <c r="I707" s="283"/>
      <c r="J707" s="280"/>
      <c r="K707" s="103"/>
      <c r="L707" s="146"/>
      <c r="M707" s="103"/>
      <c r="N707" s="103"/>
      <c r="O707" s="103">
        <f t="shared" si="1"/>
        <v>0</v>
      </c>
      <c r="P707" s="104">
        <f t="shared" si="2"/>
        <v>0</v>
      </c>
      <c r="Q707" s="147"/>
      <c r="R707" s="103"/>
      <c r="S707" s="103">
        <f t="shared" si="3"/>
        <v>0</v>
      </c>
      <c r="U707" s="107" t="str">
        <f t="shared" si="4"/>
        <v>0</v>
      </c>
    </row>
    <row r="708" ht="15.75" customHeight="1">
      <c r="A708" s="279"/>
      <c r="B708" s="280"/>
      <c r="C708" s="280"/>
      <c r="D708" s="280"/>
      <c r="E708" s="281"/>
      <c r="F708" s="281"/>
      <c r="G708" s="280"/>
      <c r="H708" s="282"/>
      <c r="I708" s="283"/>
      <c r="J708" s="280"/>
      <c r="K708" s="103"/>
      <c r="L708" s="146"/>
      <c r="M708" s="103"/>
      <c r="N708" s="103"/>
      <c r="O708" s="103">
        <f t="shared" si="1"/>
        <v>0</v>
      </c>
      <c r="P708" s="104">
        <f t="shared" si="2"/>
        <v>0</v>
      </c>
      <c r="Q708" s="147"/>
      <c r="R708" s="103"/>
      <c r="S708" s="103">
        <f t="shared" si="3"/>
        <v>0</v>
      </c>
      <c r="U708" s="107" t="str">
        <f t="shared" si="4"/>
        <v>0</v>
      </c>
    </row>
    <row r="709" ht="15.75" customHeight="1">
      <c r="A709" s="279"/>
      <c r="B709" s="280"/>
      <c r="C709" s="280"/>
      <c r="D709" s="280"/>
      <c r="E709" s="281"/>
      <c r="F709" s="281"/>
      <c r="G709" s="280"/>
      <c r="H709" s="282"/>
      <c r="I709" s="283"/>
      <c r="J709" s="280"/>
      <c r="K709" s="103"/>
      <c r="L709" s="146"/>
      <c r="M709" s="103"/>
      <c r="N709" s="103"/>
      <c r="O709" s="103">
        <f t="shared" si="1"/>
        <v>0</v>
      </c>
      <c r="P709" s="104">
        <f t="shared" si="2"/>
        <v>0</v>
      </c>
      <c r="Q709" s="147"/>
      <c r="R709" s="103"/>
      <c r="S709" s="103">
        <f t="shared" si="3"/>
        <v>0</v>
      </c>
      <c r="U709" s="107" t="str">
        <f t="shared" si="4"/>
        <v>0</v>
      </c>
    </row>
    <row r="710" ht="15.75" customHeight="1">
      <c r="A710" s="279"/>
      <c r="B710" s="280"/>
      <c r="C710" s="280"/>
      <c r="D710" s="280"/>
      <c r="E710" s="281"/>
      <c r="F710" s="281"/>
      <c r="G710" s="280"/>
      <c r="H710" s="282"/>
      <c r="I710" s="283"/>
      <c r="J710" s="280"/>
      <c r="K710" s="103"/>
      <c r="L710" s="146"/>
      <c r="M710" s="103"/>
      <c r="N710" s="103"/>
      <c r="O710" s="103">
        <f t="shared" si="1"/>
        <v>0</v>
      </c>
      <c r="P710" s="104">
        <f t="shared" si="2"/>
        <v>0</v>
      </c>
      <c r="Q710" s="147"/>
      <c r="R710" s="103"/>
      <c r="S710" s="103">
        <f t="shared" si="3"/>
        <v>0</v>
      </c>
      <c r="U710" s="107" t="str">
        <f t="shared" si="4"/>
        <v>0</v>
      </c>
    </row>
    <row r="711" ht="15.75" customHeight="1">
      <c r="A711" s="279"/>
      <c r="B711" s="280"/>
      <c r="C711" s="280"/>
      <c r="D711" s="280"/>
      <c r="E711" s="281"/>
      <c r="F711" s="281"/>
      <c r="G711" s="280"/>
      <c r="H711" s="282"/>
      <c r="I711" s="283"/>
      <c r="J711" s="280"/>
      <c r="K711" s="103"/>
      <c r="L711" s="146"/>
      <c r="M711" s="103"/>
      <c r="N711" s="103"/>
      <c r="O711" s="103">
        <f t="shared" si="1"/>
        <v>0</v>
      </c>
      <c r="P711" s="104">
        <f t="shared" si="2"/>
        <v>0</v>
      </c>
      <c r="Q711" s="147"/>
      <c r="R711" s="103"/>
      <c r="S711" s="103">
        <f t="shared" si="3"/>
        <v>0</v>
      </c>
      <c r="U711" s="107" t="str">
        <f t="shared" si="4"/>
        <v>0</v>
      </c>
    </row>
    <row r="712" ht="15.75" customHeight="1">
      <c r="A712" s="279"/>
      <c r="B712" s="280"/>
      <c r="C712" s="280"/>
      <c r="D712" s="280"/>
      <c r="E712" s="281"/>
      <c r="F712" s="281"/>
      <c r="G712" s="280"/>
      <c r="H712" s="282"/>
      <c r="I712" s="283"/>
      <c r="J712" s="280"/>
      <c r="K712" s="103"/>
      <c r="L712" s="146"/>
      <c r="M712" s="103"/>
      <c r="N712" s="103"/>
      <c r="O712" s="103">
        <f t="shared" si="1"/>
        <v>0</v>
      </c>
      <c r="P712" s="104">
        <f t="shared" si="2"/>
        <v>0</v>
      </c>
      <c r="Q712" s="147"/>
      <c r="R712" s="103"/>
      <c r="S712" s="103">
        <f t="shared" si="3"/>
        <v>0</v>
      </c>
      <c r="U712" s="107" t="str">
        <f t="shared" si="4"/>
        <v>0</v>
      </c>
    </row>
    <row r="713" ht="15.75" customHeight="1">
      <c r="A713" s="279"/>
      <c r="B713" s="280"/>
      <c r="C713" s="280"/>
      <c r="D713" s="280"/>
      <c r="E713" s="281"/>
      <c r="F713" s="281"/>
      <c r="G713" s="280"/>
      <c r="H713" s="282"/>
      <c r="I713" s="283"/>
      <c r="J713" s="280"/>
      <c r="K713" s="103"/>
      <c r="L713" s="146"/>
      <c r="M713" s="103"/>
      <c r="N713" s="103"/>
      <c r="O713" s="103">
        <f t="shared" si="1"/>
        <v>0</v>
      </c>
      <c r="P713" s="104">
        <f t="shared" si="2"/>
        <v>0</v>
      </c>
      <c r="Q713" s="147"/>
      <c r="R713" s="103"/>
      <c r="S713" s="103">
        <f t="shared" si="3"/>
        <v>0</v>
      </c>
      <c r="U713" s="107" t="str">
        <f t="shared" si="4"/>
        <v>0</v>
      </c>
    </row>
    <row r="714" ht="15.75" customHeight="1">
      <c r="A714" s="279"/>
      <c r="B714" s="280"/>
      <c r="C714" s="280"/>
      <c r="D714" s="280"/>
      <c r="E714" s="281"/>
      <c r="F714" s="281"/>
      <c r="G714" s="280"/>
      <c r="H714" s="282"/>
      <c r="I714" s="283"/>
      <c r="J714" s="280"/>
      <c r="K714" s="103"/>
      <c r="L714" s="146"/>
      <c r="M714" s="103"/>
      <c r="N714" s="103"/>
      <c r="O714" s="103">
        <f t="shared" si="1"/>
        <v>0</v>
      </c>
      <c r="P714" s="104">
        <f t="shared" si="2"/>
        <v>0</v>
      </c>
      <c r="Q714" s="147"/>
      <c r="R714" s="103"/>
      <c r="S714" s="103">
        <f t="shared" si="3"/>
        <v>0</v>
      </c>
      <c r="U714" s="107" t="str">
        <f t="shared" si="4"/>
        <v>0</v>
      </c>
    </row>
    <row r="715" ht="15.75" customHeight="1">
      <c r="A715" s="279"/>
      <c r="B715" s="280"/>
      <c r="C715" s="280"/>
      <c r="D715" s="280"/>
      <c r="E715" s="281"/>
      <c r="F715" s="281"/>
      <c r="G715" s="280"/>
      <c r="H715" s="282"/>
      <c r="I715" s="283"/>
      <c r="J715" s="280"/>
      <c r="K715" s="103"/>
      <c r="L715" s="146"/>
      <c r="M715" s="103"/>
      <c r="N715" s="103"/>
      <c r="O715" s="103">
        <f t="shared" si="1"/>
        <v>0</v>
      </c>
      <c r="P715" s="104">
        <f t="shared" si="2"/>
        <v>0</v>
      </c>
      <c r="Q715" s="147"/>
      <c r="R715" s="103"/>
      <c r="S715" s="103">
        <f t="shared" si="3"/>
        <v>0</v>
      </c>
      <c r="U715" s="107" t="str">
        <f t="shared" si="4"/>
        <v>0</v>
      </c>
    </row>
    <row r="716" ht="15.75" customHeight="1">
      <c r="A716" s="279"/>
      <c r="B716" s="280"/>
      <c r="C716" s="280"/>
      <c r="D716" s="280"/>
      <c r="E716" s="281"/>
      <c r="F716" s="281"/>
      <c r="G716" s="280"/>
      <c r="H716" s="282"/>
      <c r="I716" s="283"/>
      <c r="J716" s="280"/>
      <c r="K716" s="103"/>
      <c r="L716" s="146"/>
      <c r="M716" s="103"/>
      <c r="N716" s="103"/>
      <c r="O716" s="103">
        <f t="shared" si="1"/>
        <v>0</v>
      </c>
      <c r="P716" s="104">
        <f t="shared" si="2"/>
        <v>0</v>
      </c>
      <c r="Q716" s="147"/>
      <c r="R716" s="103"/>
      <c r="S716" s="103">
        <f t="shared" si="3"/>
        <v>0</v>
      </c>
      <c r="U716" s="107" t="str">
        <f t="shared" si="4"/>
        <v>0</v>
      </c>
    </row>
    <row r="717" ht="15.75" customHeight="1">
      <c r="A717" s="279"/>
      <c r="B717" s="280"/>
      <c r="C717" s="280"/>
      <c r="D717" s="280"/>
      <c r="E717" s="281"/>
      <c r="F717" s="281"/>
      <c r="G717" s="280"/>
      <c r="H717" s="282"/>
      <c r="I717" s="283"/>
      <c r="J717" s="280"/>
      <c r="K717" s="103"/>
      <c r="L717" s="146"/>
      <c r="M717" s="103"/>
      <c r="N717" s="103"/>
      <c r="O717" s="103">
        <f t="shared" si="1"/>
        <v>0</v>
      </c>
      <c r="P717" s="104">
        <f t="shared" si="2"/>
        <v>0</v>
      </c>
      <c r="Q717" s="147"/>
      <c r="R717" s="103"/>
      <c r="S717" s="103">
        <f t="shared" si="3"/>
        <v>0</v>
      </c>
      <c r="U717" s="107" t="str">
        <f t="shared" si="4"/>
        <v>0</v>
      </c>
    </row>
    <row r="718" ht="15.75" customHeight="1">
      <c r="A718" s="279"/>
      <c r="B718" s="280"/>
      <c r="C718" s="280"/>
      <c r="D718" s="280"/>
      <c r="E718" s="281"/>
      <c r="F718" s="281"/>
      <c r="G718" s="280"/>
      <c r="H718" s="282"/>
      <c r="I718" s="283"/>
      <c r="J718" s="280"/>
      <c r="K718" s="103"/>
      <c r="L718" s="146"/>
      <c r="M718" s="103"/>
      <c r="N718" s="103"/>
      <c r="O718" s="103">
        <f t="shared" si="1"/>
        <v>0</v>
      </c>
      <c r="P718" s="104">
        <f t="shared" si="2"/>
        <v>0</v>
      </c>
      <c r="Q718" s="147"/>
      <c r="R718" s="103"/>
      <c r="S718" s="103">
        <f t="shared" si="3"/>
        <v>0</v>
      </c>
      <c r="U718" s="107" t="str">
        <f t="shared" si="4"/>
        <v>0</v>
      </c>
    </row>
    <row r="719" ht="15.75" customHeight="1">
      <c r="A719" s="279"/>
      <c r="B719" s="280"/>
      <c r="C719" s="280"/>
      <c r="D719" s="280"/>
      <c r="E719" s="281"/>
      <c r="F719" s="281"/>
      <c r="G719" s="280"/>
      <c r="H719" s="282"/>
      <c r="I719" s="283"/>
      <c r="J719" s="280"/>
      <c r="K719" s="103"/>
      <c r="L719" s="146"/>
      <c r="M719" s="103"/>
      <c r="N719" s="103"/>
      <c r="O719" s="103">
        <f t="shared" si="1"/>
        <v>0</v>
      </c>
      <c r="P719" s="104">
        <f t="shared" si="2"/>
        <v>0</v>
      </c>
      <c r="Q719" s="147"/>
      <c r="R719" s="103"/>
      <c r="S719" s="103">
        <f t="shared" si="3"/>
        <v>0</v>
      </c>
      <c r="U719" s="107" t="str">
        <f t="shared" si="4"/>
        <v>0</v>
      </c>
    </row>
    <row r="720" ht="15.75" customHeight="1">
      <c r="A720" s="279"/>
      <c r="B720" s="280"/>
      <c r="C720" s="280"/>
      <c r="D720" s="280"/>
      <c r="E720" s="281"/>
      <c r="F720" s="281"/>
      <c r="G720" s="280"/>
      <c r="H720" s="282"/>
      <c r="I720" s="283"/>
      <c r="J720" s="280"/>
      <c r="K720" s="103"/>
      <c r="L720" s="146"/>
      <c r="M720" s="103"/>
      <c r="N720" s="103"/>
      <c r="O720" s="103">
        <f t="shared" si="1"/>
        <v>0</v>
      </c>
      <c r="P720" s="104">
        <f t="shared" si="2"/>
        <v>0</v>
      </c>
      <c r="Q720" s="147"/>
      <c r="R720" s="103"/>
      <c r="S720" s="103">
        <f t="shared" si="3"/>
        <v>0</v>
      </c>
      <c r="U720" s="107" t="str">
        <f t="shared" si="4"/>
        <v>0</v>
      </c>
    </row>
    <row r="721" ht="15.75" customHeight="1">
      <c r="A721" s="279"/>
      <c r="B721" s="280"/>
      <c r="C721" s="280"/>
      <c r="D721" s="280"/>
      <c r="E721" s="281"/>
      <c r="F721" s="281"/>
      <c r="G721" s="280"/>
      <c r="H721" s="282"/>
      <c r="I721" s="283"/>
      <c r="J721" s="280"/>
      <c r="K721" s="103"/>
      <c r="L721" s="146"/>
      <c r="M721" s="103"/>
      <c r="N721" s="103"/>
      <c r="O721" s="103">
        <f t="shared" si="1"/>
        <v>0</v>
      </c>
      <c r="P721" s="104">
        <f t="shared" si="2"/>
        <v>0</v>
      </c>
      <c r="Q721" s="147"/>
      <c r="R721" s="103"/>
      <c r="S721" s="103">
        <f t="shared" si="3"/>
        <v>0</v>
      </c>
      <c r="U721" s="107" t="str">
        <f t="shared" si="4"/>
        <v>0</v>
      </c>
    </row>
    <row r="722" ht="15.75" customHeight="1">
      <c r="A722" s="279"/>
      <c r="B722" s="280"/>
      <c r="C722" s="280"/>
      <c r="D722" s="280"/>
      <c r="E722" s="281"/>
      <c r="F722" s="281"/>
      <c r="G722" s="280"/>
      <c r="H722" s="282"/>
      <c r="I722" s="283"/>
      <c r="J722" s="280"/>
      <c r="K722" s="103"/>
      <c r="L722" s="146"/>
      <c r="M722" s="103"/>
      <c r="N722" s="103"/>
      <c r="O722" s="103">
        <f t="shared" si="1"/>
        <v>0</v>
      </c>
      <c r="P722" s="104">
        <f t="shared" si="2"/>
        <v>0</v>
      </c>
      <c r="Q722" s="147"/>
      <c r="R722" s="103"/>
      <c r="S722" s="103">
        <f t="shared" si="3"/>
        <v>0</v>
      </c>
      <c r="U722" s="107" t="str">
        <f t="shared" si="4"/>
        <v>0</v>
      </c>
    </row>
    <row r="723" ht="15.75" customHeight="1">
      <c r="A723" s="279"/>
      <c r="B723" s="280"/>
      <c r="C723" s="280"/>
      <c r="D723" s="280"/>
      <c r="E723" s="281"/>
      <c r="F723" s="281"/>
      <c r="G723" s="280"/>
      <c r="H723" s="282"/>
      <c r="I723" s="283"/>
      <c r="J723" s="280"/>
      <c r="K723" s="103"/>
      <c r="L723" s="146"/>
      <c r="M723" s="103"/>
      <c r="N723" s="103"/>
      <c r="O723" s="103">
        <f t="shared" si="1"/>
        <v>0</v>
      </c>
      <c r="P723" s="104">
        <f t="shared" si="2"/>
        <v>0</v>
      </c>
      <c r="Q723" s="147"/>
      <c r="R723" s="103"/>
      <c r="S723" s="103">
        <f t="shared" si="3"/>
        <v>0</v>
      </c>
      <c r="U723" s="107" t="str">
        <f t="shared" si="4"/>
        <v>0</v>
      </c>
    </row>
    <row r="724" ht="15.75" customHeight="1">
      <c r="A724" s="279"/>
      <c r="B724" s="280"/>
      <c r="C724" s="280"/>
      <c r="D724" s="280"/>
      <c r="E724" s="281"/>
      <c r="F724" s="281"/>
      <c r="G724" s="280"/>
      <c r="H724" s="282"/>
      <c r="I724" s="283"/>
      <c r="J724" s="280"/>
      <c r="K724" s="103"/>
      <c r="L724" s="146"/>
      <c r="M724" s="103"/>
      <c r="N724" s="103"/>
      <c r="O724" s="103">
        <f t="shared" si="1"/>
        <v>0</v>
      </c>
      <c r="P724" s="104">
        <f t="shared" si="2"/>
        <v>0</v>
      </c>
      <c r="Q724" s="147"/>
      <c r="R724" s="103"/>
      <c r="S724" s="103">
        <f t="shared" si="3"/>
        <v>0</v>
      </c>
      <c r="U724" s="107" t="str">
        <f t="shared" si="4"/>
        <v>0</v>
      </c>
    </row>
    <row r="725" ht="15.75" customHeight="1">
      <c r="A725" s="279"/>
      <c r="B725" s="280"/>
      <c r="C725" s="280"/>
      <c r="D725" s="280"/>
      <c r="E725" s="281"/>
      <c r="F725" s="281"/>
      <c r="G725" s="280"/>
      <c r="H725" s="282"/>
      <c r="I725" s="283"/>
      <c r="J725" s="280"/>
      <c r="K725" s="103"/>
      <c r="L725" s="146"/>
      <c r="M725" s="103"/>
      <c r="N725" s="103"/>
      <c r="O725" s="103">
        <f t="shared" si="1"/>
        <v>0</v>
      </c>
      <c r="P725" s="104">
        <f t="shared" si="2"/>
        <v>0</v>
      </c>
      <c r="Q725" s="147"/>
      <c r="R725" s="103"/>
      <c r="S725" s="103">
        <f t="shared" si="3"/>
        <v>0</v>
      </c>
      <c r="U725" s="107" t="str">
        <f t="shared" si="4"/>
        <v>0</v>
      </c>
    </row>
    <row r="726" ht="15.75" customHeight="1">
      <c r="A726" s="279"/>
      <c r="B726" s="280"/>
      <c r="C726" s="280"/>
      <c r="D726" s="280"/>
      <c r="E726" s="281"/>
      <c r="F726" s="281"/>
      <c r="G726" s="280"/>
      <c r="H726" s="282"/>
      <c r="I726" s="283"/>
      <c r="J726" s="280"/>
      <c r="K726" s="103"/>
      <c r="L726" s="146"/>
      <c r="M726" s="103"/>
      <c r="N726" s="103"/>
      <c r="O726" s="103">
        <f t="shared" si="1"/>
        <v>0</v>
      </c>
      <c r="P726" s="104">
        <f t="shared" si="2"/>
        <v>0</v>
      </c>
      <c r="Q726" s="147"/>
      <c r="R726" s="103"/>
      <c r="S726" s="103">
        <f t="shared" si="3"/>
        <v>0</v>
      </c>
      <c r="U726" s="107" t="str">
        <f t="shared" si="4"/>
        <v>0</v>
      </c>
    </row>
    <row r="727" ht="15.75" customHeight="1">
      <c r="A727" s="279"/>
      <c r="B727" s="280"/>
      <c r="C727" s="280"/>
      <c r="D727" s="280"/>
      <c r="E727" s="281"/>
      <c r="F727" s="281"/>
      <c r="G727" s="280"/>
      <c r="H727" s="282"/>
      <c r="I727" s="283"/>
      <c r="J727" s="280"/>
      <c r="K727" s="103"/>
      <c r="L727" s="146"/>
      <c r="M727" s="103"/>
      <c r="N727" s="103"/>
      <c r="O727" s="103">
        <f t="shared" si="1"/>
        <v>0</v>
      </c>
      <c r="P727" s="104">
        <f t="shared" si="2"/>
        <v>0</v>
      </c>
      <c r="Q727" s="147"/>
      <c r="R727" s="103"/>
      <c r="S727" s="103">
        <f t="shared" si="3"/>
        <v>0</v>
      </c>
      <c r="U727" s="107" t="str">
        <f t="shared" si="4"/>
        <v>0</v>
      </c>
    </row>
    <row r="728" ht="15.75" customHeight="1">
      <c r="A728" s="279"/>
      <c r="B728" s="280"/>
      <c r="C728" s="280"/>
      <c r="D728" s="280"/>
      <c r="E728" s="281"/>
      <c r="F728" s="281"/>
      <c r="G728" s="280"/>
      <c r="H728" s="282"/>
      <c r="I728" s="283"/>
      <c r="J728" s="280"/>
      <c r="K728" s="103"/>
      <c r="L728" s="146"/>
      <c r="M728" s="103"/>
      <c r="N728" s="103"/>
      <c r="O728" s="103">
        <f t="shared" si="1"/>
        <v>0</v>
      </c>
      <c r="P728" s="104">
        <f t="shared" si="2"/>
        <v>0</v>
      </c>
      <c r="Q728" s="147"/>
      <c r="R728" s="103"/>
      <c r="S728" s="103">
        <f t="shared" si="3"/>
        <v>0</v>
      </c>
      <c r="U728" s="107" t="str">
        <f t="shared" si="4"/>
        <v>0</v>
      </c>
    </row>
    <row r="729" ht="15.75" customHeight="1">
      <c r="A729" s="279"/>
      <c r="B729" s="280"/>
      <c r="C729" s="280"/>
      <c r="D729" s="280"/>
      <c r="E729" s="281"/>
      <c r="F729" s="281"/>
      <c r="G729" s="280"/>
      <c r="H729" s="282"/>
      <c r="I729" s="283"/>
      <c r="J729" s="280"/>
      <c r="K729" s="103"/>
      <c r="L729" s="146"/>
      <c r="M729" s="103"/>
      <c r="N729" s="103"/>
      <c r="O729" s="103">
        <f t="shared" si="1"/>
        <v>0</v>
      </c>
      <c r="P729" s="104">
        <f t="shared" si="2"/>
        <v>0</v>
      </c>
      <c r="Q729" s="147"/>
      <c r="R729" s="103"/>
      <c r="S729" s="103">
        <f t="shared" si="3"/>
        <v>0</v>
      </c>
      <c r="U729" s="107" t="str">
        <f t="shared" si="4"/>
        <v>0</v>
      </c>
    </row>
    <row r="730" ht="15.75" customHeight="1">
      <c r="A730" s="279"/>
      <c r="B730" s="280"/>
      <c r="C730" s="280"/>
      <c r="D730" s="280"/>
      <c r="E730" s="281"/>
      <c r="F730" s="281"/>
      <c r="G730" s="280"/>
      <c r="H730" s="282"/>
      <c r="I730" s="283"/>
      <c r="J730" s="280"/>
      <c r="K730" s="103"/>
      <c r="L730" s="146"/>
      <c r="M730" s="103"/>
      <c r="N730" s="103"/>
      <c r="O730" s="103">
        <f t="shared" si="1"/>
        <v>0</v>
      </c>
      <c r="P730" s="104">
        <f t="shared" si="2"/>
        <v>0</v>
      </c>
      <c r="Q730" s="147"/>
      <c r="R730" s="103"/>
      <c r="S730" s="103">
        <f t="shared" si="3"/>
        <v>0</v>
      </c>
      <c r="U730" s="107" t="str">
        <f t="shared" si="4"/>
        <v>0</v>
      </c>
    </row>
    <row r="731" ht="15.75" customHeight="1">
      <c r="A731" s="279"/>
      <c r="B731" s="280"/>
      <c r="C731" s="280"/>
      <c r="D731" s="280"/>
      <c r="E731" s="281"/>
      <c r="F731" s="281"/>
      <c r="G731" s="280"/>
      <c r="H731" s="282"/>
      <c r="I731" s="283"/>
      <c r="J731" s="280"/>
      <c r="K731" s="103"/>
      <c r="L731" s="146"/>
      <c r="M731" s="103"/>
      <c r="N731" s="103"/>
      <c r="O731" s="103">
        <f t="shared" si="1"/>
        <v>0</v>
      </c>
      <c r="P731" s="104">
        <f t="shared" si="2"/>
        <v>0</v>
      </c>
      <c r="Q731" s="147"/>
      <c r="R731" s="103"/>
      <c r="S731" s="103">
        <f t="shared" si="3"/>
        <v>0</v>
      </c>
      <c r="U731" s="107" t="str">
        <f t="shared" si="4"/>
        <v>0</v>
      </c>
    </row>
    <row r="732" ht="15.75" customHeight="1">
      <c r="A732" s="279"/>
      <c r="B732" s="280"/>
      <c r="C732" s="280"/>
      <c r="D732" s="280"/>
      <c r="E732" s="281"/>
      <c r="F732" s="281"/>
      <c r="G732" s="280"/>
      <c r="H732" s="282"/>
      <c r="I732" s="283"/>
      <c r="J732" s="280"/>
      <c r="K732" s="103"/>
      <c r="L732" s="146"/>
      <c r="M732" s="103"/>
      <c r="N732" s="103"/>
      <c r="O732" s="103">
        <f t="shared" si="1"/>
        <v>0</v>
      </c>
      <c r="P732" s="104">
        <f t="shared" si="2"/>
        <v>0</v>
      </c>
      <c r="Q732" s="147"/>
      <c r="R732" s="103"/>
      <c r="S732" s="103">
        <f t="shared" si="3"/>
        <v>0</v>
      </c>
      <c r="U732" s="107" t="str">
        <f t="shared" si="4"/>
        <v>0</v>
      </c>
    </row>
    <row r="733" ht="15.75" customHeight="1">
      <c r="A733" s="279"/>
      <c r="B733" s="280"/>
      <c r="C733" s="280"/>
      <c r="D733" s="280"/>
      <c r="E733" s="281"/>
      <c r="F733" s="281"/>
      <c r="G733" s="280"/>
      <c r="H733" s="282"/>
      <c r="I733" s="283"/>
      <c r="J733" s="280"/>
      <c r="K733" s="103"/>
      <c r="L733" s="146"/>
      <c r="M733" s="103"/>
      <c r="N733" s="103"/>
      <c r="O733" s="103">
        <f t="shared" si="1"/>
        <v>0</v>
      </c>
      <c r="P733" s="104">
        <f t="shared" si="2"/>
        <v>0</v>
      </c>
      <c r="Q733" s="147"/>
      <c r="R733" s="103"/>
      <c r="S733" s="103">
        <f t="shared" si="3"/>
        <v>0</v>
      </c>
      <c r="U733" s="107" t="str">
        <f t="shared" si="4"/>
        <v>0</v>
      </c>
    </row>
    <row r="734" ht="15.75" customHeight="1">
      <c r="A734" s="279"/>
      <c r="B734" s="280"/>
      <c r="C734" s="280"/>
      <c r="D734" s="280"/>
      <c r="E734" s="281"/>
      <c r="F734" s="281"/>
      <c r="G734" s="280"/>
      <c r="H734" s="282"/>
      <c r="I734" s="283"/>
      <c r="J734" s="280"/>
      <c r="K734" s="103"/>
      <c r="L734" s="146"/>
      <c r="M734" s="103"/>
      <c r="N734" s="103"/>
      <c r="O734" s="103">
        <f t="shared" si="1"/>
        <v>0</v>
      </c>
      <c r="P734" s="104">
        <f t="shared" si="2"/>
        <v>0</v>
      </c>
      <c r="Q734" s="147"/>
      <c r="R734" s="103"/>
      <c r="S734" s="103">
        <f t="shared" si="3"/>
        <v>0</v>
      </c>
      <c r="U734" s="107" t="str">
        <f t="shared" si="4"/>
        <v>0</v>
      </c>
    </row>
    <row r="735" ht="15.75" customHeight="1">
      <c r="A735" s="279"/>
      <c r="B735" s="280"/>
      <c r="C735" s="280"/>
      <c r="D735" s="280"/>
      <c r="E735" s="281"/>
      <c r="F735" s="281"/>
      <c r="G735" s="280"/>
      <c r="H735" s="282"/>
      <c r="I735" s="283"/>
      <c r="J735" s="280"/>
      <c r="K735" s="103"/>
      <c r="L735" s="146"/>
      <c r="M735" s="103"/>
      <c r="N735" s="103"/>
      <c r="O735" s="103">
        <f t="shared" si="1"/>
        <v>0</v>
      </c>
      <c r="P735" s="104">
        <f t="shared" si="2"/>
        <v>0</v>
      </c>
      <c r="Q735" s="147"/>
      <c r="R735" s="103"/>
      <c r="S735" s="103">
        <f t="shared" si="3"/>
        <v>0</v>
      </c>
      <c r="U735" s="107" t="str">
        <f t="shared" si="4"/>
        <v>0</v>
      </c>
    </row>
    <row r="736" ht="15.75" customHeight="1">
      <c r="A736" s="279"/>
      <c r="B736" s="280"/>
      <c r="C736" s="280"/>
      <c r="D736" s="280"/>
      <c r="E736" s="281"/>
      <c r="F736" s="281"/>
      <c r="G736" s="280"/>
      <c r="H736" s="282"/>
      <c r="I736" s="283"/>
      <c r="J736" s="280"/>
      <c r="K736" s="103"/>
      <c r="L736" s="146"/>
      <c r="M736" s="103"/>
      <c r="N736" s="103"/>
      <c r="O736" s="103">
        <f t="shared" si="1"/>
        <v>0</v>
      </c>
      <c r="P736" s="104">
        <f t="shared" si="2"/>
        <v>0</v>
      </c>
      <c r="Q736" s="147"/>
      <c r="R736" s="103"/>
      <c r="S736" s="103">
        <f t="shared" si="3"/>
        <v>0</v>
      </c>
      <c r="U736" s="107" t="str">
        <f t="shared" si="4"/>
        <v>0</v>
      </c>
    </row>
    <row r="737" ht="15.75" customHeight="1">
      <c r="A737" s="279"/>
      <c r="B737" s="280"/>
      <c r="C737" s="280"/>
      <c r="D737" s="280"/>
      <c r="E737" s="281"/>
      <c r="F737" s="281"/>
      <c r="G737" s="280"/>
      <c r="H737" s="282"/>
      <c r="I737" s="283"/>
      <c r="J737" s="280"/>
      <c r="K737" s="103"/>
      <c r="L737" s="146"/>
      <c r="M737" s="103"/>
      <c r="N737" s="103"/>
      <c r="O737" s="103">
        <f t="shared" si="1"/>
        <v>0</v>
      </c>
      <c r="P737" s="104">
        <f t="shared" si="2"/>
        <v>0</v>
      </c>
      <c r="Q737" s="147"/>
      <c r="R737" s="103"/>
      <c r="S737" s="103">
        <f t="shared" si="3"/>
        <v>0</v>
      </c>
      <c r="U737" s="107" t="str">
        <f t="shared" si="4"/>
        <v>0</v>
      </c>
    </row>
    <row r="738" ht="15.75" customHeight="1">
      <c r="A738" s="279"/>
      <c r="B738" s="280"/>
      <c r="C738" s="280"/>
      <c r="D738" s="280"/>
      <c r="E738" s="281"/>
      <c r="F738" s="281"/>
      <c r="G738" s="280"/>
      <c r="H738" s="282"/>
      <c r="I738" s="283"/>
      <c r="J738" s="280"/>
      <c r="K738" s="103"/>
      <c r="L738" s="146"/>
      <c r="M738" s="103"/>
      <c r="N738" s="103"/>
      <c r="O738" s="103">
        <f t="shared" si="1"/>
        <v>0</v>
      </c>
      <c r="P738" s="104">
        <f t="shared" si="2"/>
        <v>0</v>
      </c>
      <c r="Q738" s="147"/>
      <c r="R738" s="103"/>
      <c r="S738" s="103">
        <f t="shared" si="3"/>
        <v>0</v>
      </c>
      <c r="U738" s="107" t="str">
        <f t="shared" si="4"/>
        <v>0</v>
      </c>
    </row>
    <row r="739" ht="15.75" customHeight="1">
      <c r="A739" s="279"/>
      <c r="B739" s="280"/>
      <c r="C739" s="280"/>
      <c r="D739" s="280"/>
      <c r="E739" s="281"/>
      <c r="F739" s="281"/>
      <c r="G739" s="280"/>
      <c r="H739" s="282"/>
      <c r="I739" s="283"/>
      <c r="J739" s="280"/>
      <c r="K739" s="103"/>
      <c r="L739" s="146"/>
      <c r="M739" s="103"/>
      <c r="N739" s="103"/>
      <c r="O739" s="103">
        <f t="shared" si="1"/>
        <v>0</v>
      </c>
      <c r="P739" s="104">
        <f t="shared" si="2"/>
        <v>0</v>
      </c>
      <c r="Q739" s="147"/>
      <c r="R739" s="103"/>
      <c r="S739" s="103">
        <f t="shared" si="3"/>
        <v>0</v>
      </c>
      <c r="U739" s="107" t="str">
        <f t="shared" si="4"/>
        <v>0</v>
      </c>
    </row>
    <row r="740" ht="15.75" customHeight="1">
      <c r="A740" s="279"/>
      <c r="B740" s="280"/>
      <c r="C740" s="280"/>
      <c r="D740" s="280"/>
      <c r="E740" s="281"/>
      <c r="F740" s="281"/>
      <c r="G740" s="280"/>
      <c r="H740" s="282"/>
      <c r="I740" s="283"/>
      <c r="J740" s="280"/>
      <c r="K740" s="103"/>
      <c r="L740" s="146"/>
      <c r="M740" s="103"/>
      <c r="N740" s="103"/>
      <c r="O740" s="103">
        <f t="shared" si="1"/>
        <v>0</v>
      </c>
      <c r="P740" s="104">
        <f t="shared" si="2"/>
        <v>0</v>
      </c>
      <c r="Q740" s="147"/>
      <c r="R740" s="103"/>
      <c r="S740" s="103">
        <f t="shared" si="3"/>
        <v>0</v>
      </c>
      <c r="U740" s="107" t="str">
        <f t="shared" si="4"/>
        <v>0</v>
      </c>
    </row>
    <row r="741" ht="15.75" customHeight="1">
      <c r="A741" s="279"/>
      <c r="B741" s="280"/>
      <c r="C741" s="280"/>
      <c r="D741" s="280"/>
      <c r="E741" s="281"/>
      <c r="F741" s="281"/>
      <c r="G741" s="280"/>
      <c r="H741" s="282"/>
      <c r="I741" s="283"/>
      <c r="J741" s="280"/>
      <c r="K741" s="103"/>
      <c r="L741" s="146"/>
      <c r="M741" s="103"/>
      <c r="N741" s="103"/>
      <c r="O741" s="103">
        <f t="shared" si="1"/>
        <v>0</v>
      </c>
      <c r="P741" s="104">
        <f t="shared" si="2"/>
        <v>0</v>
      </c>
      <c r="Q741" s="147"/>
      <c r="R741" s="103"/>
      <c r="S741" s="103">
        <f t="shared" si="3"/>
        <v>0</v>
      </c>
      <c r="U741" s="107" t="str">
        <f t="shared" si="4"/>
        <v>0</v>
      </c>
    </row>
    <row r="742" ht="15.75" customHeight="1">
      <c r="A742" s="279"/>
      <c r="B742" s="280"/>
      <c r="C742" s="280"/>
      <c r="D742" s="280"/>
      <c r="E742" s="281"/>
      <c r="F742" s="281"/>
      <c r="G742" s="280"/>
      <c r="H742" s="282"/>
      <c r="I742" s="283"/>
      <c r="J742" s="280"/>
      <c r="K742" s="103"/>
      <c r="L742" s="146"/>
      <c r="M742" s="103"/>
      <c r="N742" s="103"/>
      <c r="O742" s="103">
        <f t="shared" si="1"/>
        <v>0</v>
      </c>
      <c r="P742" s="104">
        <f t="shared" si="2"/>
        <v>0</v>
      </c>
      <c r="Q742" s="147"/>
      <c r="R742" s="103"/>
      <c r="S742" s="103">
        <f t="shared" si="3"/>
        <v>0</v>
      </c>
      <c r="U742" s="107" t="str">
        <f t="shared" si="4"/>
        <v>0</v>
      </c>
    </row>
    <row r="743" ht="15.75" customHeight="1">
      <c r="A743" s="279"/>
      <c r="B743" s="280"/>
      <c r="C743" s="280"/>
      <c r="D743" s="280"/>
      <c r="E743" s="281"/>
      <c r="F743" s="281"/>
      <c r="G743" s="280"/>
      <c r="H743" s="282"/>
      <c r="I743" s="283"/>
      <c r="J743" s="280"/>
      <c r="K743" s="103"/>
      <c r="L743" s="146"/>
      <c r="M743" s="103"/>
      <c r="N743" s="103"/>
      <c r="O743" s="103">
        <f t="shared" si="1"/>
        <v>0</v>
      </c>
      <c r="P743" s="104">
        <f t="shared" si="2"/>
        <v>0</v>
      </c>
      <c r="Q743" s="147"/>
      <c r="R743" s="103"/>
      <c r="S743" s="103">
        <f t="shared" si="3"/>
        <v>0</v>
      </c>
      <c r="U743" s="107" t="str">
        <f t="shared" si="4"/>
        <v>0</v>
      </c>
    </row>
    <row r="744" ht="15.75" customHeight="1">
      <c r="A744" s="279"/>
      <c r="B744" s="280"/>
      <c r="C744" s="280"/>
      <c r="D744" s="280"/>
      <c r="E744" s="281"/>
      <c r="F744" s="281"/>
      <c r="G744" s="280"/>
      <c r="H744" s="282"/>
      <c r="I744" s="283"/>
      <c r="J744" s="280"/>
      <c r="K744" s="103"/>
      <c r="L744" s="146"/>
      <c r="M744" s="103"/>
      <c r="N744" s="103"/>
      <c r="O744" s="103">
        <f t="shared" si="1"/>
        <v>0</v>
      </c>
      <c r="P744" s="104">
        <f t="shared" si="2"/>
        <v>0</v>
      </c>
      <c r="Q744" s="147"/>
      <c r="R744" s="103"/>
      <c r="S744" s="103">
        <f t="shared" si="3"/>
        <v>0</v>
      </c>
      <c r="U744" s="107" t="str">
        <f t="shared" si="4"/>
        <v>0</v>
      </c>
    </row>
    <row r="745" ht="15.75" customHeight="1">
      <c r="A745" s="279"/>
      <c r="B745" s="280"/>
      <c r="C745" s="280"/>
      <c r="D745" s="280"/>
      <c r="E745" s="281"/>
      <c r="F745" s="281"/>
      <c r="G745" s="280"/>
      <c r="H745" s="282"/>
      <c r="I745" s="283"/>
      <c r="J745" s="280"/>
      <c r="K745" s="103"/>
      <c r="L745" s="146"/>
      <c r="M745" s="103"/>
      <c r="N745" s="103"/>
      <c r="O745" s="103">
        <f t="shared" si="1"/>
        <v>0</v>
      </c>
      <c r="P745" s="104">
        <f t="shared" si="2"/>
        <v>0</v>
      </c>
      <c r="Q745" s="147"/>
      <c r="R745" s="103"/>
      <c r="S745" s="103">
        <f t="shared" si="3"/>
        <v>0</v>
      </c>
      <c r="U745" s="107" t="str">
        <f t="shared" si="4"/>
        <v>0</v>
      </c>
    </row>
    <row r="746" ht="15.75" customHeight="1">
      <c r="A746" s="279"/>
      <c r="B746" s="280"/>
      <c r="C746" s="280"/>
      <c r="D746" s="280"/>
      <c r="E746" s="281"/>
      <c r="F746" s="281"/>
      <c r="G746" s="280"/>
      <c r="H746" s="282"/>
      <c r="I746" s="283"/>
      <c r="J746" s="280"/>
      <c r="K746" s="103"/>
      <c r="L746" s="146"/>
      <c r="M746" s="103"/>
      <c r="N746" s="103"/>
      <c r="O746" s="103">
        <f t="shared" si="1"/>
        <v>0</v>
      </c>
      <c r="P746" s="104">
        <f t="shared" si="2"/>
        <v>0</v>
      </c>
      <c r="Q746" s="147"/>
      <c r="R746" s="103"/>
      <c r="S746" s="103">
        <f t="shared" si="3"/>
        <v>0</v>
      </c>
      <c r="U746" s="107" t="str">
        <f t="shared" si="4"/>
        <v>0</v>
      </c>
    </row>
    <row r="747" ht="15.75" customHeight="1">
      <c r="A747" s="279"/>
      <c r="B747" s="280"/>
      <c r="C747" s="280"/>
      <c r="D747" s="280"/>
      <c r="E747" s="281"/>
      <c r="F747" s="281"/>
      <c r="G747" s="280"/>
      <c r="H747" s="282"/>
      <c r="I747" s="283"/>
      <c r="J747" s="280"/>
      <c r="K747" s="103"/>
      <c r="L747" s="146"/>
      <c r="M747" s="103"/>
      <c r="N747" s="103"/>
      <c r="O747" s="103">
        <f t="shared" si="1"/>
        <v>0</v>
      </c>
      <c r="P747" s="104">
        <f t="shared" si="2"/>
        <v>0</v>
      </c>
      <c r="Q747" s="147"/>
      <c r="R747" s="103"/>
      <c r="S747" s="103">
        <f t="shared" si="3"/>
        <v>0</v>
      </c>
      <c r="U747" s="107" t="str">
        <f t="shared" si="4"/>
        <v>0</v>
      </c>
    </row>
    <row r="748" ht="15.75" customHeight="1">
      <c r="A748" s="279"/>
      <c r="B748" s="280"/>
      <c r="C748" s="280"/>
      <c r="D748" s="280"/>
      <c r="E748" s="281"/>
      <c r="F748" s="281"/>
      <c r="G748" s="280"/>
      <c r="H748" s="282"/>
      <c r="I748" s="283"/>
      <c r="J748" s="280"/>
      <c r="K748" s="103"/>
      <c r="L748" s="146"/>
      <c r="M748" s="103"/>
      <c r="N748" s="103"/>
      <c r="O748" s="103">
        <f t="shared" si="1"/>
        <v>0</v>
      </c>
      <c r="P748" s="104">
        <f t="shared" si="2"/>
        <v>0</v>
      </c>
      <c r="Q748" s="147"/>
      <c r="R748" s="103"/>
      <c r="S748" s="103">
        <f t="shared" si="3"/>
        <v>0</v>
      </c>
      <c r="U748" s="107" t="str">
        <f t="shared" si="4"/>
        <v>0</v>
      </c>
    </row>
    <row r="749" ht="15.75" customHeight="1">
      <c r="A749" s="279"/>
      <c r="B749" s="280"/>
      <c r="C749" s="280"/>
      <c r="D749" s="280"/>
      <c r="E749" s="281"/>
      <c r="F749" s="281"/>
      <c r="G749" s="280"/>
      <c r="H749" s="282"/>
      <c r="I749" s="283"/>
      <c r="J749" s="280"/>
      <c r="K749" s="103"/>
      <c r="L749" s="146"/>
      <c r="M749" s="103"/>
      <c r="N749" s="103"/>
      <c r="O749" s="103">
        <f t="shared" si="1"/>
        <v>0</v>
      </c>
      <c r="P749" s="104">
        <f t="shared" si="2"/>
        <v>0</v>
      </c>
      <c r="Q749" s="147"/>
      <c r="R749" s="103"/>
      <c r="S749" s="103">
        <f t="shared" si="3"/>
        <v>0</v>
      </c>
      <c r="U749" s="107" t="str">
        <f t="shared" si="4"/>
        <v>0</v>
      </c>
    </row>
    <row r="750" ht="15.75" customHeight="1">
      <c r="A750" s="279"/>
      <c r="B750" s="280"/>
      <c r="C750" s="280"/>
      <c r="D750" s="280"/>
      <c r="E750" s="281"/>
      <c r="F750" s="281"/>
      <c r="G750" s="280"/>
      <c r="H750" s="282"/>
      <c r="I750" s="283"/>
      <c r="J750" s="280"/>
      <c r="K750" s="103"/>
      <c r="L750" s="146"/>
      <c r="M750" s="103"/>
      <c r="N750" s="103"/>
      <c r="O750" s="103">
        <f t="shared" si="1"/>
        <v>0</v>
      </c>
      <c r="P750" s="104">
        <f t="shared" si="2"/>
        <v>0</v>
      </c>
      <c r="Q750" s="147"/>
      <c r="R750" s="103"/>
      <c r="S750" s="103">
        <f t="shared" si="3"/>
        <v>0</v>
      </c>
      <c r="U750" s="107" t="str">
        <f t="shared" si="4"/>
        <v>0</v>
      </c>
    </row>
    <row r="751" ht="15.75" customHeight="1">
      <c r="A751" s="279"/>
      <c r="B751" s="280"/>
      <c r="C751" s="280"/>
      <c r="D751" s="280"/>
      <c r="E751" s="281"/>
      <c r="F751" s="281"/>
      <c r="G751" s="280"/>
      <c r="H751" s="282"/>
      <c r="I751" s="283"/>
      <c r="J751" s="280"/>
      <c r="K751" s="103"/>
      <c r="L751" s="146"/>
      <c r="M751" s="103"/>
      <c r="N751" s="103"/>
      <c r="O751" s="103">
        <f t="shared" si="1"/>
        <v>0</v>
      </c>
      <c r="P751" s="104">
        <f t="shared" si="2"/>
        <v>0</v>
      </c>
      <c r="Q751" s="147"/>
      <c r="R751" s="103"/>
      <c r="S751" s="103">
        <f t="shared" si="3"/>
        <v>0</v>
      </c>
      <c r="U751" s="107" t="str">
        <f t="shared" si="4"/>
        <v>0</v>
      </c>
    </row>
    <row r="752" ht="15.75" customHeight="1">
      <c r="A752" s="279"/>
      <c r="B752" s="280"/>
      <c r="C752" s="280"/>
      <c r="D752" s="280"/>
      <c r="E752" s="281"/>
      <c r="F752" s="281"/>
      <c r="G752" s="280"/>
      <c r="H752" s="282"/>
      <c r="I752" s="283"/>
      <c r="J752" s="280"/>
      <c r="K752" s="103"/>
      <c r="L752" s="146"/>
      <c r="M752" s="103"/>
      <c r="N752" s="103"/>
      <c r="O752" s="103">
        <f t="shared" si="1"/>
        <v>0</v>
      </c>
      <c r="P752" s="104">
        <f t="shared" si="2"/>
        <v>0</v>
      </c>
      <c r="Q752" s="147"/>
      <c r="R752" s="103"/>
      <c r="S752" s="103">
        <f t="shared" si="3"/>
        <v>0</v>
      </c>
      <c r="U752" s="107" t="str">
        <f t="shared" si="4"/>
        <v>0</v>
      </c>
    </row>
    <row r="753" ht="15.75" customHeight="1">
      <c r="A753" s="279"/>
      <c r="B753" s="280"/>
      <c r="C753" s="280"/>
      <c r="D753" s="280"/>
      <c r="E753" s="281"/>
      <c r="F753" s="281"/>
      <c r="G753" s="280"/>
      <c r="H753" s="282"/>
      <c r="I753" s="283"/>
      <c r="J753" s="280"/>
      <c r="K753" s="103"/>
      <c r="L753" s="146"/>
      <c r="M753" s="103"/>
      <c r="N753" s="103"/>
      <c r="O753" s="103">
        <f t="shared" si="1"/>
        <v>0</v>
      </c>
      <c r="P753" s="104">
        <f t="shared" si="2"/>
        <v>0</v>
      </c>
      <c r="Q753" s="147"/>
      <c r="R753" s="103"/>
      <c r="S753" s="103">
        <f t="shared" si="3"/>
        <v>0</v>
      </c>
      <c r="U753" s="107" t="str">
        <f t="shared" si="4"/>
        <v>0</v>
      </c>
    </row>
    <row r="754" ht="15.75" customHeight="1">
      <c r="A754" s="279"/>
      <c r="B754" s="280"/>
      <c r="C754" s="280"/>
      <c r="D754" s="280"/>
      <c r="E754" s="281"/>
      <c r="F754" s="281"/>
      <c r="G754" s="280"/>
      <c r="H754" s="282"/>
      <c r="I754" s="283"/>
      <c r="J754" s="280"/>
      <c r="K754" s="103"/>
      <c r="L754" s="146"/>
      <c r="M754" s="103"/>
      <c r="N754" s="103"/>
      <c r="O754" s="103">
        <f t="shared" si="1"/>
        <v>0</v>
      </c>
      <c r="P754" s="104">
        <f t="shared" si="2"/>
        <v>0</v>
      </c>
      <c r="Q754" s="147"/>
      <c r="R754" s="103"/>
      <c r="S754" s="103">
        <f t="shared" si="3"/>
        <v>0</v>
      </c>
      <c r="U754" s="107" t="str">
        <f t="shared" si="4"/>
        <v>0</v>
      </c>
    </row>
    <row r="755" ht="15.75" customHeight="1">
      <c r="A755" s="279"/>
      <c r="B755" s="280"/>
      <c r="C755" s="280"/>
      <c r="D755" s="280"/>
      <c r="E755" s="281"/>
      <c r="F755" s="281"/>
      <c r="G755" s="280"/>
      <c r="H755" s="282"/>
      <c r="I755" s="283"/>
      <c r="J755" s="280"/>
      <c r="K755" s="103"/>
      <c r="L755" s="146"/>
      <c r="M755" s="103"/>
      <c r="N755" s="103"/>
      <c r="O755" s="103">
        <f t="shared" si="1"/>
        <v>0</v>
      </c>
      <c r="P755" s="104">
        <f t="shared" si="2"/>
        <v>0</v>
      </c>
      <c r="Q755" s="147"/>
      <c r="R755" s="103"/>
      <c r="S755" s="103">
        <f t="shared" si="3"/>
        <v>0</v>
      </c>
      <c r="U755" s="107" t="str">
        <f t="shared" si="4"/>
        <v>0</v>
      </c>
    </row>
    <row r="756" ht="15.75" customHeight="1">
      <c r="A756" s="279"/>
      <c r="B756" s="280"/>
      <c r="C756" s="280"/>
      <c r="D756" s="280"/>
      <c r="E756" s="281"/>
      <c r="F756" s="281"/>
      <c r="G756" s="280"/>
      <c r="H756" s="282"/>
      <c r="I756" s="283"/>
      <c r="J756" s="280"/>
      <c r="K756" s="103"/>
      <c r="L756" s="146"/>
      <c r="M756" s="103"/>
      <c r="N756" s="103"/>
      <c r="O756" s="103">
        <f t="shared" si="1"/>
        <v>0</v>
      </c>
      <c r="P756" s="104">
        <f t="shared" si="2"/>
        <v>0</v>
      </c>
      <c r="Q756" s="147"/>
      <c r="R756" s="103"/>
      <c r="S756" s="103">
        <f t="shared" si="3"/>
        <v>0</v>
      </c>
      <c r="U756" s="107" t="str">
        <f t="shared" si="4"/>
        <v>0</v>
      </c>
    </row>
    <row r="757" ht="15.75" customHeight="1">
      <c r="A757" s="279"/>
      <c r="B757" s="280"/>
      <c r="C757" s="280"/>
      <c r="D757" s="280"/>
      <c r="E757" s="281"/>
      <c r="F757" s="281"/>
      <c r="G757" s="280"/>
      <c r="H757" s="282"/>
      <c r="I757" s="283"/>
      <c r="J757" s="280"/>
      <c r="K757" s="103"/>
      <c r="L757" s="146"/>
      <c r="M757" s="103"/>
      <c r="N757" s="103"/>
      <c r="O757" s="103">
        <f t="shared" si="1"/>
        <v>0</v>
      </c>
      <c r="P757" s="104">
        <f t="shared" si="2"/>
        <v>0</v>
      </c>
      <c r="Q757" s="147"/>
      <c r="R757" s="103"/>
      <c r="S757" s="103">
        <f t="shared" si="3"/>
        <v>0</v>
      </c>
      <c r="U757" s="107" t="str">
        <f t="shared" si="4"/>
        <v>0</v>
      </c>
    </row>
    <row r="758" ht="15.75" customHeight="1">
      <c r="A758" s="279"/>
      <c r="B758" s="280"/>
      <c r="C758" s="280"/>
      <c r="D758" s="280"/>
      <c r="E758" s="281"/>
      <c r="F758" s="281"/>
      <c r="G758" s="280"/>
      <c r="H758" s="282"/>
      <c r="I758" s="283"/>
      <c r="J758" s="280"/>
      <c r="K758" s="103"/>
      <c r="L758" s="146"/>
      <c r="M758" s="103"/>
      <c r="N758" s="103"/>
      <c r="O758" s="103">
        <f t="shared" si="1"/>
        <v>0</v>
      </c>
      <c r="P758" s="104">
        <f t="shared" si="2"/>
        <v>0</v>
      </c>
      <c r="Q758" s="147"/>
      <c r="R758" s="103"/>
      <c r="S758" s="103">
        <f t="shared" si="3"/>
        <v>0</v>
      </c>
      <c r="U758" s="107" t="str">
        <f t="shared" si="4"/>
        <v>0</v>
      </c>
    </row>
    <row r="759" ht="15.75" customHeight="1">
      <c r="A759" s="279"/>
      <c r="B759" s="280"/>
      <c r="C759" s="280"/>
      <c r="D759" s="280"/>
      <c r="E759" s="281"/>
      <c r="F759" s="281"/>
      <c r="G759" s="280"/>
      <c r="H759" s="282"/>
      <c r="I759" s="283"/>
      <c r="J759" s="280"/>
      <c r="K759" s="103"/>
      <c r="L759" s="146"/>
      <c r="M759" s="103"/>
      <c r="N759" s="103"/>
      <c r="O759" s="103">
        <f t="shared" si="1"/>
        <v>0</v>
      </c>
      <c r="P759" s="104">
        <f t="shared" si="2"/>
        <v>0</v>
      </c>
      <c r="Q759" s="147"/>
      <c r="R759" s="103"/>
      <c r="S759" s="103">
        <f t="shared" si="3"/>
        <v>0</v>
      </c>
      <c r="U759" s="107" t="str">
        <f t="shared" si="4"/>
        <v>0</v>
      </c>
    </row>
    <row r="760" ht="15.75" customHeight="1">
      <c r="A760" s="279"/>
      <c r="B760" s="280"/>
      <c r="C760" s="280"/>
      <c r="D760" s="280"/>
      <c r="E760" s="281"/>
      <c r="F760" s="281"/>
      <c r="G760" s="280"/>
      <c r="H760" s="282"/>
      <c r="I760" s="283"/>
      <c r="J760" s="280"/>
      <c r="K760" s="103"/>
      <c r="L760" s="146"/>
      <c r="M760" s="103"/>
      <c r="N760" s="103"/>
      <c r="O760" s="103">
        <f t="shared" si="1"/>
        <v>0</v>
      </c>
      <c r="P760" s="104">
        <f t="shared" si="2"/>
        <v>0</v>
      </c>
      <c r="Q760" s="147"/>
      <c r="R760" s="103"/>
      <c r="S760" s="103">
        <f t="shared" si="3"/>
        <v>0</v>
      </c>
      <c r="U760" s="107" t="str">
        <f t="shared" si="4"/>
        <v>0</v>
      </c>
    </row>
    <row r="761" ht="15.75" customHeight="1">
      <c r="A761" s="279"/>
      <c r="B761" s="280"/>
      <c r="C761" s="280"/>
      <c r="D761" s="280"/>
      <c r="E761" s="281"/>
      <c r="F761" s="281"/>
      <c r="G761" s="280"/>
      <c r="H761" s="282"/>
      <c r="I761" s="283"/>
      <c r="J761" s="280"/>
      <c r="K761" s="103"/>
      <c r="L761" s="146"/>
      <c r="M761" s="103"/>
      <c r="N761" s="103"/>
      <c r="O761" s="103">
        <f t="shared" si="1"/>
        <v>0</v>
      </c>
      <c r="P761" s="104">
        <f t="shared" si="2"/>
        <v>0</v>
      </c>
      <c r="Q761" s="147"/>
      <c r="R761" s="103"/>
      <c r="S761" s="103">
        <f t="shared" si="3"/>
        <v>0</v>
      </c>
      <c r="U761" s="107" t="str">
        <f t="shared" si="4"/>
        <v>0</v>
      </c>
    </row>
    <row r="762" ht="15.75" customHeight="1">
      <c r="A762" s="279"/>
      <c r="B762" s="280"/>
      <c r="C762" s="280"/>
      <c r="D762" s="280"/>
      <c r="E762" s="281"/>
      <c r="F762" s="281"/>
      <c r="G762" s="280"/>
      <c r="H762" s="282"/>
      <c r="I762" s="283"/>
      <c r="J762" s="280"/>
      <c r="K762" s="103"/>
      <c r="L762" s="146"/>
      <c r="M762" s="103"/>
      <c r="N762" s="103"/>
      <c r="O762" s="103">
        <f t="shared" si="1"/>
        <v>0</v>
      </c>
      <c r="P762" s="104">
        <f t="shared" si="2"/>
        <v>0</v>
      </c>
      <c r="Q762" s="147"/>
      <c r="R762" s="103"/>
      <c r="S762" s="103">
        <f t="shared" si="3"/>
        <v>0</v>
      </c>
      <c r="U762" s="107" t="str">
        <f t="shared" si="4"/>
        <v>0</v>
      </c>
    </row>
    <row r="763" ht="15.75" customHeight="1">
      <c r="A763" s="279"/>
      <c r="B763" s="280"/>
      <c r="C763" s="280"/>
      <c r="D763" s="280"/>
      <c r="E763" s="281"/>
      <c r="F763" s="281"/>
      <c r="G763" s="280"/>
      <c r="H763" s="282"/>
      <c r="I763" s="283"/>
      <c r="J763" s="280"/>
      <c r="K763" s="103"/>
      <c r="L763" s="146"/>
      <c r="M763" s="103"/>
      <c r="N763" s="103"/>
      <c r="O763" s="103">
        <f t="shared" si="1"/>
        <v>0</v>
      </c>
      <c r="P763" s="104">
        <f t="shared" si="2"/>
        <v>0</v>
      </c>
      <c r="Q763" s="147"/>
      <c r="R763" s="103"/>
      <c r="S763" s="103">
        <f t="shared" si="3"/>
        <v>0</v>
      </c>
      <c r="U763" s="107" t="str">
        <f t="shared" si="4"/>
        <v>0</v>
      </c>
    </row>
    <row r="764" ht="15.75" customHeight="1">
      <c r="A764" s="279"/>
      <c r="B764" s="280"/>
      <c r="C764" s="280"/>
      <c r="D764" s="280"/>
      <c r="E764" s="281"/>
      <c r="F764" s="281"/>
      <c r="G764" s="280"/>
      <c r="H764" s="282"/>
      <c r="I764" s="283"/>
      <c r="J764" s="280"/>
      <c r="K764" s="103"/>
      <c r="L764" s="146"/>
      <c r="M764" s="103"/>
      <c r="N764" s="103"/>
      <c r="O764" s="103">
        <f t="shared" si="1"/>
        <v>0</v>
      </c>
      <c r="P764" s="104">
        <f t="shared" si="2"/>
        <v>0</v>
      </c>
      <c r="Q764" s="147"/>
      <c r="R764" s="103"/>
      <c r="S764" s="103">
        <f t="shared" si="3"/>
        <v>0</v>
      </c>
      <c r="U764" s="107" t="str">
        <f t="shared" si="4"/>
        <v>0</v>
      </c>
    </row>
    <row r="765" ht="15.75" customHeight="1">
      <c r="A765" s="279"/>
      <c r="B765" s="280"/>
      <c r="C765" s="280"/>
      <c r="D765" s="280"/>
      <c r="E765" s="281"/>
      <c r="F765" s="281"/>
      <c r="G765" s="280"/>
      <c r="H765" s="282"/>
      <c r="I765" s="283"/>
      <c r="J765" s="280"/>
      <c r="K765" s="103"/>
      <c r="L765" s="146"/>
      <c r="M765" s="103"/>
      <c r="N765" s="103"/>
      <c r="O765" s="103">
        <f t="shared" si="1"/>
        <v>0</v>
      </c>
      <c r="P765" s="104">
        <f t="shared" si="2"/>
        <v>0</v>
      </c>
      <c r="Q765" s="147"/>
      <c r="R765" s="103"/>
      <c r="S765" s="103">
        <f t="shared" si="3"/>
        <v>0</v>
      </c>
      <c r="U765" s="107" t="str">
        <f t="shared" si="4"/>
        <v>0</v>
      </c>
    </row>
    <row r="766" ht="15.75" customHeight="1">
      <c r="A766" s="279"/>
      <c r="B766" s="280"/>
      <c r="C766" s="280"/>
      <c r="D766" s="280"/>
      <c r="E766" s="281"/>
      <c r="F766" s="281"/>
      <c r="G766" s="280"/>
      <c r="H766" s="282"/>
      <c r="I766" s="283"/>
      <c r="J766" s="280"/>
      <c r="K766" s="103"/>
      <c r="L766" s="146"/>
      <c r="M766" s="103"/>
      <c r="N766" s="103"/>
      <c r="O766" s="103">
        <f t="shared" si="1"/>
        <v>0</v>
      </c>
      <c r="P766" s="104">
        <f t="shared" si="2"/>
        <v>0</v>
      </c>
      <c r="Q766" s="147"/>
      <c r="R766" s="103"/>
      <c r="S766" s="103">
        <f t="shared" si="3"/>
        <v>0</v>
      </c>
      <c r="U766" s="107" t="str">
        <f t="shared" si="4"/>
        <v>0</v>
      </c>
    </row>
    <row r="767" ht="15.75" customHeight="1">
      <c r="A767" s="279"/>
      <c r="B767" s="280"/>
      <c r="C767" s="280"/>
      <c r="D767" s="280"/>
      <c r="E767" s="281"/>
      <c r="F767" s="281"/>
      <c r="G767" s="280"/>
      <c r="H767" s="282"/>
      <c r="I767" s="283"/>
      <c r="J767" s="280"/>
      <c r="K767" s="103"/>
      <c r="L767" s="146"/>
      <c r="M767" s="103"/>
      <c r="N767" s="103"/>
      <c r="O767" s="103">
        <f t="shared" si="1"/>
        <v>0</v>
      </c>
      <c r="P767" s="104">
        <f t="shared" si="2"/>
        <v>0</v>
      </c>
      <c r="Q767" s="147"/>
      <c r="R767" s="103"/>
      <c r="S767" s="103">
        <f t="shared" si="3"/>
        <v>0</v>
      </c>
      <c r="U767" s="107" t="str">
        <f t="shared" si="4"/>
        <v>0</v>
      </c>
    </row>
    <row r="768" ht="15.75" customHeight="1">
      <c r="A768" s="279"/>
      <c r="B768" s="280"/>
      <c r="C768" s="280"/>
      <c r="D768" s="280"/>
      <c r="E768" s="281"/>
      <c r="F768" s="281"/>
      <c r="G768" s="280"/>
      <c r="H768" s="282"/>
      <c r="I768" s="283"/>
      <c r="J768" s="280"/>
      <c r="K768" s="103"/>
      <c r="L768" s="146"/>
      <c r="M768" s="103"/>
      <c r="N768" s="103"/>
      <c r="O768" s="103">
        <f t="shared" si="1"/>
        <v>0</v>
      </c>
      <c r="P768" s="104">
        <f t="shared" si="2"/>
        <v>0</v>
      </c>
      <c r="Q768" s="147"/>
      <c r="R768" s="103"/>
      <c r="S768" s="103">
        <f t="shared" si="3"/>
        <v>0</v>
      </c>
      <c r="U768" s="107" t="str">
        <f t="shared" si="4"/>
        <v>0</v>
      </c>
    </row>
    <row r="769" ht="15.75" customHeight="1">
      <c r="A769" s="279"/>
      <c r="B769" s="280"/>
      <c r="C769" s="280"/>
      <c r="D769" s="280"/>
      <c r="E769" s="281"/>
      <c r="F769" s="281"/>
      <c r="G769" s="280"/>
      <c r="H769" s="282"/>
      <c r="I769" s="283"/>
      <c r="J769" s="280"/>
      <c r="K769" s="103"/>
      <c r="L769" s="146"/>
      <c r="M769" s="103"/>
      <c r="N769" s="103"/>
      <c r="O769" s="103">
        <f t="shared" si="1"/>
        <v>0</v>
      </c>
      <c r="P769" s="104">
        <f t="shared" si="2"/>
        <v>0</v>
      </c>
      <c r="Q769" s="147"/>
      <c r="R769" s="103"/>
      <c r="S769" s="103">
        <f t="shared" si="3"/>
        <v>0</v>
      </c>
      <c r="U769" s="107" t="str">
        <f t="shared" si="4"/>
        <v>0</v>
      </c>
    </row>
    <row r="770" ht="15.75" customHeight="1">
      <c r="A770" s="279"/>
      <c r="B770" s="280"/>
      <c r="C770" s="280"/>
      <c r="D770" s="280"/>
      <c r="E770" s="281"/>
      <c r="F770" s="281"/>
      <c r="G770" s="280"/>
      <c r="H770" s="282"/>
      <c r="I770" s="283"/>
      <c r="J770" s="280"/>
      <c r="K770" s="103"/>
      <c r="L770" s="146"/>
      <c r="M770" s="103"/>
      <c r="N770" s="103"/>
      <c r="O770" s="103">
        <f t="shared" si="1"/>
        <v>0</v>
      </c>
      <c r="P770" s="104">
        <f t="shared" si="2"/>
        <v>0</v>
      </c>
      <c r="Q770" s="147"/>
      <c r="R770" s="103"/>
      <c r="S770" s="103">
        <f t="shared" si="3"/>
        <v>0</v>
      </c>
      <c r="U770" s="107" t="str">
        <f t="shared" si="4"/>
        <v>0</v>
      </c>
    </row>
    <row r="771" ht="15.75" customHeight="1">
      <c r="A771" s="279"/>
      <c r="B771" s="280"/>
      <c r="C771" s="280"/>
      <c r="D771" s="280"/>
      <c r="E771" s="281"/>
      <c r="F771" s="281"/>
      <c r="G771" s="280"/>
      <c r="H771" s="282"/>
      <c r="I771" s="283"/>
      <c r="J771" s="280"/>
      <c r="K771" s="103"/>
      <c r="L771" s="146"/>
      <c r="M771" s="103"/>
      <c r="N771" s="103"/>
      <c r="O771" s="103">
        <f t="shared" si="1"/>
        <v>0</v>
      </c>
      <c r="P771" s="104">
        <f t="shared" si="2"/>
        <v>0</v>
      </c>
      <c r="Q771" s="147"/>
      <c r="R771" s="103"/>
      <c r="S771" s="103">
        <f t="shared" si="3"/>
        <v>0</v>
      </c>
      <c r="U771" s="107" t="str">
        <f t="shared" si="4"/>
        <v>0</v>
      </c>
    </row>
    <row r="772" ht="15.75" customHeight="1">
      <c r="A772" s="279"/>
      <c r="B772" s="280"/>
      <c r="C772" s="280"/>
      <c r="D772" s="280"/>
      <c r="E772" s="281"/>
      <c r="F772" s="281"/>
      <c r="G772" s="280"/>
      <c r="H772" s="282"/>
      <c r="I772" s="283"/>
      <c r="J772" s="280"/>
      <c r="K772" s="103"/>
      <c r="L772" s="146"/>
      <c r="M772" s="103"/>
      <c r="N772" s="103"/>
      <c r="O772" s="103">
        <f t="shared" si="1"/>
        <v>0</v>
      </c>
      <c r="P772" s="104">
        <f t="shared" si="2"/>
        <v>0</v>
      </c>
      <c r="Q772" s="147"/>
      <c r="R772" s="103"/>
      <c r="S772" s="103">
        <f t="shared" si="3"/>
        <v>0</v>
      </c>
      <c r="U772" s="107" t="str">
        <f t="shared" si="4"/>
        <v>0</v>
      </c>
    </row>
    <row r="773" ht="15.75" customHeight="1">
      <c r="A773" s="279"/>
      <c r="B773" s="280"/>
      <c r="C773" s="280"/>
      <c r="D773" s="280"/>
      <c r="E773" s="281"/>
      <c r="F773" s="281"/>
      <c r="G773" s="280"/>
      <c r="H773" s="282"/>
      <c r="I773" s="283"/>
      <c r="J773" s="280"/>
      <c r="K773" s="103"/>
      <c r="L773" s="146"/>
      <c r="M773" s="103"/>
      <c r="N773" s="103"/>
      <c r="O773" s="103">
        <f t="shared" si="1"/>
        <v>0</v>
      </c>
      <c r="P773" s="104">
        <f t="shared" si="2"/>
        <v>0</v>
      </c>
      <c r="Q773" s="147"/>
      <c r="R773" s="103"/>
      <c r="S773" s="103">
        <f t="shared" si="3"/>
        <v>0</v>
      </c>
      <c r="U773" s="107" t="str">
        <f t="shared" si="4"/>
        <v>0</v>
      </c>
    </row>
    <row r="774" ht="15.75" customHeight="1">
      <c r="A774" s="279"/>
      <c r="B774" s="280"/>
      <c r="C774" s="280"/>
      <c r="D774" s="280"/>
      <c r="E774" s="281"/>
      <c r="F774" s="281"/>
      <c r="G774" s="280"/>
      <c r="H774" s="282"/>
      <c r="I774" s="283"/>
      <c r="J774" s="280"/>
      <c r="K774" s="103"/>
      <c r="L774" s="146"/>
      <c r="M774" s="103"/>
      <c r="N774" s="103"/>
      <c r="O774" s="103">
        <f t="shared" si="1"/>
        <v>0</v>
      </c>
      <c r="P774" s="104">
        <f t="shared" si="2"/>
        <v>0</v>
      </c>
      <c r="Q774" s="147"/>
      <c r="R774" s="103"/>
      <c r="S774" s="103">
        <f t="shared" si="3"/>
        <v>0</v>
      </c>
      <c r="U774" s="107" t="str">
        <f t="shared" si="4"/>
        <v>0</v>
      </c>
    </row>
    <row r="775" ht="15.75" customHeight="1">
      <c r="A775" s="279"/>
      <c r="B775" s="280"/>
      <c r="C775" s="280"/>
      <c r="D775" s="280"/>
      <c r="E775" s="281"/>
      <c r="F775" s="281"/>
      <c r="G775" s="280"/>
      <c r="H775" s="282"/>
      <c r="I775" s="283"/>
      <c r="J775" s="280"/>
      <c r="K775" s="103"/>
      <c r="L775" s="146"/>
      <c r="M775" s="103"/>
      <c r="N775" s="103"/>
      <c r="O775" s="103">
        <f t="shared" si="1"/>
        <v>0</v>
      </c>
      <c r="P775" s="104">
        <f t="shared" si="2"/>
        <v>0</v>
      </c>
      <c r="Q775" s="147"/>
      <c r="R775" s="103"/>
      <c r="S775" s="103">
        <f t="shared" si="3"/>
        <v>0</v>
      </c>
      <c r="U775" s="107" t="str">
        <f t="shared" si="4"/>
        <v>0</v>
      </c>
    </row>
    <row r="776" ht="15.75" customHeight="1">
      <c r="A776" s="279"/>
      <c r="B776" s="280"/>
      <c r="C776" s="280"/>
      <c r="D776" s="280"/>
      <c r="E776" s="281"/>
      <c r="F776" s="281"/>
      <c r="G776" s="280"/>
      <c r="H776" s="282"/>
      <c r="I776" s="283"/>
      <c r="J776" s="280"/>
      <c r="K776" s="103"/>
      <c r="L776" s="146"/>
      <c r="M776" s="103"/>
      <c r="N776" s="103"/>
      <c r="O776" s="103">
        <f t="shared" si="1"/>
        <v>0</v>
      </c>
      <c r="P776" s="104">
        <f t="shared" si="2"/>
        <v>0</v>
      </c>
      <c r="Q776" s="147"/>
      <c r="R776" s="103"/>
      <c r="S776" s="103">
        <f t="shared" si="3"/>
        <v>0</v>
      </c>
      <c r="U776" s="107" t="str">
        <f t="shared" si="4"/>
        <v>0</v>
      </c>
    </row>
    <row r="777" ht="15.75" customHeight="1">
      <c r="A777" s="279"/>
      <c r="B777" s="280"/>
      <c r="C777" s="280"/>
      <c r="D777" s="280"/>
      <c r="E777" s="281"/>
      <c r="F777" s="281"/>
      <c r="G777" s="280"/>
      <c r="H777" s="282"/>
      <c r="I777" s="283"/>
      <c r="J777" s="280"/>
      <c r="K777" s="103"/>
      <c r="L777" s="146"/>
      <c r="M777" s="103"/>
      <c r="N777" s="103"/>
      <c r="O777" s="103">
        <f t="shared" si="1"/>
        <v>0</v>
      </c>
      <c r="P777" s="104">
        <f t="shared" si="2"/>
        <v>0</v>
      </c>
      <c r="Q777" s="147"/>
      <c r="R777" s="103"/>
      <c r="S777" s="103">
        <f t="shared" si="3"/>
        <v>0</v>
      </c>
      <c r="U777" s="107" t="str">
        <f t="shared" si="4"/>
        <v>0</v>
      </c>
    </row>
    <row r="778" ht="15.75" customHeight="1">
      <c r="A778" s="279"/>
      <c r="B778" s="280"/>
      <c r="C778" s="280"/>
      <c r="D778" s="280"/>
      <c r="E778" s="281"/>
      <c r="F778" s="281"/>
      <c r="G778" s="280"/>
      <c r="H778" s="282"/>
      <c r="I778" s="283"/>
      <c r="J778" s="280"/>
      <c r="K778" s="103"/>
      <c r="L778" s="146"/>
      <c r="M778" s="103"/>
      <c r="N778" s="103"/>
      <c r="O778" s="103">
        <f t="shared" si="1"/>
        <v>0</v>
      </c>
      <c r="P778" s="104">
        <f t="shared" si="2"/>
        <v>0</v>
      </c>
      <c r="Q778" s="147"/>
      <c r="R778" s="103"/>
      <c r="S778" s="103">
        <f t="shared" si="3"/>
        <v>0</v>
      </c>
      <c r="U778" s="107" t="str">
        <f t="shared" si="4"/>
        <v>0</v>
      </c>
    </row>
    <row r="779" ht="15.75" customHeight="1">
      <c r="A779" s="279"/>
      <c r="B779" s="280"/>
      <c r="C779" s="280"/>
      <c r="D779" s="280"/>
      <c r="E779" s="281"/>
      <c r="F779" s="281"/>
      <c r="G779" s="280"/>
      <c r="H779" s="282"/>
      <c r="I779" s="283"/>
      <c r="J779" s="280"/>
      <c r="K779" s="103"/>
      <c r="L779" s="146"/>
      <c r="M779" s="103"/>
      <c r="N779" s="103"/>
      <c r="O779" s="103">
        <f t="shared" si="1"/>
        <v>0</v>
      </c>
      <c r="P779" s="104">
        <f t="shared" si="2"/>
        <v>0</v>
      </c>
      <c r="Q779" s="147"/>
      <c r="R779" s="103"/>
      <c r="S779" s="103">
        <f t="shared" si="3"/>
        <v>0</v>
      </c>
      <c r="U779" s="107" t="str">
        <f t="shared" si="4"/>
        <v>0</v>
      </c>
    </row>
    <row r="780" ht="15.75" customHeight="1">
      <c r="A780" s="279"/>
      <c r="B780" s="280"/>
      <c r="C780" s="280"/>
      <c r="D780" s="280"/>
      <c r="E780" s="281"/>
      <c r="F780" s="281"/>
      <c r="G780" s="280"/>
      <c r="H780" s="282"/>
      <c r="I780" s="283"/>
      <c r="J780" s="280"/>
      <c r="K780" s="103"/>
      <c r="L780" s="146"/>
      <c r="M780" s="103"/>
      <c r="N780" s="103"/>
      <c r="O780" s="103">
        <f t="shared" si="1"/>
        <v>0</v>
      </c>
      <c r="P780" s="104">
        <f t="shared" si="2"/>
        <v>0</v>
      </c>
      <c r="Q780" s="147"/>
      <c r="R780" s="103"/>
      <c r="S780" s="103">
        <f t="shared" si="3"/>
        <v>0</v>
      </c>
      <c r="U780" s="107" t="str">
        <f t="shared" si="4"/>
        <v>0</v>
      </c>
    </row>
    <row r="781" ht="15.75" customHeight="1">
      <c r="A781" s="279"/>
      <c r="B781" s="280"/>
      <c r="C781" s="280"/>
      <c r="D781" s="280"/>
      <c r="E781" s="281"/>
      <c r="F781" s="281"/>
      <c r="G781" s="280"/>
      <c r="H781" s="282"/>
      <c r="I781" s="283"/>
      <c r="J781" s="280"/>
      <c r="K781" s="103"/>
      <c r="L781" s="146"/>
      <c r="M781" s="103"/>
      <c r="N781" s="103"/>
      <c r="O781" s="103">
        <f t="shared" si="1"/>
        <v>0</v>
      </c>
      <c r="P781" s="104">
        <f t="shared" si="2"/>
        <v>0</v>
      </c>
      <c r="Q781" s="147"/>
      <c r="R781" s="103"/>
      <c r="S781" s="103">
        <f t="shared" si="3"/>
        <v>0</v>
      </c>
      <c r="U781" s="107" t="str">
        <f t="shared" si="4"/>
        <v>0</v>
      </c>
    </row>
    <row r="782" ht="15.75" customHeight="1">
      <c r="A782" s="279"/>
      <c r="B782" s="280"/>
      <c r="C782" s="280"/>
      <c r="D782" s="280"/>
      <c r="E782" s="281"/>
      <c r="F782" s="281"/>
      <c r="G782" s="280"/>
      <c r="H782" s="282"/>
      <c r="I782" s="283"/>
      <c r="J782" s="280"/>
      <c r="K782" s="103"/>
      <c r="L782" s="146"/>
      <c r="M782" s="103"/>
      <c r="N782" s="103"/>
      <c r="O782" s="103">
        <f t="shared" si="1"/>
        <v>0</v>
      </c>
      <c r="P782" s="104">
        <f t="shared" si="2"/>
        <v>0</v>
      </c>
      <c r="Q782" s="147"/>
      <c r="R782" s="103"/>
      <c r="S782" s="103">
        <f t="shared" si="3"/>
        <v>0</v>
      </c>
      <c r="U782" s="107" t="str">
        <f t="shared" si="4"/>
        <v>0</v>
      </c>
    </row>
    <row r="783" ht="15.75" customHeight="1">
      <c r="A783" s="279"/>
      <c r="B783" s="280"/>
      <c r="C783" s="280"/>
      <c r="D783" s="280"/>
      <c r="E783" s="281"/>
      <c r="F783" s="281"/>
      <c r="G783" s="280"/>
      <c r="H783" s="282"/>
      <c r="I783" s="283"/>
      <c r="J783" s="280"/>
      <c r="K783" s="103"/>
      <c r="L783" s="146"/>
      <c r="M783" s="103"/>
      <c r="N783" s="103"/>
      <c r="O783" s="103">
        <f t="shared" si="1"/>
        <v>0</v>
      </c>
      <c r="P783" s="104">
        <f t="shared" si="2"/>
        <v>0</v>
      </c>
      <c r="Q783" s="147"/>
      <c r="R783" s="103"/>
      <c r="S783" s="103">
        <f t="shared" si="3"/>
        <v>0</v>
      </c>
      <c r="U783" s="107" t="str">
        <f t="shared" si="4"/>
        <v>0</v>
      </c>
    </row>
    <row r="784" ht="15.75" customHeight="1">
      <c r="A784" s="279"/>
      <c r="B784" s="280"/>
      <c r="C784" s="280"/>
      <c r="D784" s="280"/>
      <c r="E784" s="281"/>
      <c r="F784" s="281"/>
      <c r="G784" s="280"/>
      <c r="H784" s="282"/>
      <c r="I784" s="283"/>
      <c r="J784" s="280"/>
      <c r="K784" s="103"/>
      <c r="L784" s="146"/>
      <c r="M784" s="103"/>
      <c r="N784" s="103"/>
      <c r="O784" s="103">
        <f t="shared" si="1"/>
        <v>0</v>
      </c>
      <c r="P784" s="104">
        <f t="shared" si="2"/>
        <v>0</v>
      </c>
      <c r="Q784" s="147"/>
      <c r="R784" s="103"/>
      <c r="S784" s="103">
        <f t="shared" si="3"/>
        <v>0</v>
      </c>
      <c r="U784" s="107" t="str">
        <f t="shared" si="4"/>
        <v>0</v>
      </c>
    </row>
    <row r="785" ht="15.75" customHeight="1">
      <c r="A785" s="279"/>
      <c r="B785" s="280"/>
      <c r="C785" s="280"/>
      <c r="D785" s="280"/>
      <c r="E785" s="281"/>
      <c r="F785" s="281"/>
      <c r="G785" s="280"/>
      <c r="H785" s="282"/>
      <c r="I785" s="283"/>
      <c r="J785" s="280"/>
      <c r="K785" s="103"/>
      <c r="L785" s="146"/>
      <c r="M785" s="103"/>
      <c r="N785" s="103"/>
      <c r="O785" s="103">
        <f t="shared" si="1"/>
        <v>0</v>
      </c>
      <c r="P785" s="104">
        <f t="shared" si="2"/>
        <v>0</v>
      </c>
      <c r="Q785" s="147"/>
      <c r="R785" s="103"/>
      <c r="S785" s="103">
        <f t="shared" si="3"/>
        <v>0</v>
      </c>
      <c r="U785" s="107" t="str">
        <f t="shared" si="4"/>
        <v>0</v>
      </c>
    </row>
    <row r="786" ht="15.75" customHeight="1">
      <c r="A786" s="279"/>
      <c r="B786" s="280"/>
      <c r="C786" s="280"/>
      <c r="D786" s="280"/>
      <c r="E786" s="281"/>
      <c r="F786" s="281"/>
      <c r="G786" s="280"/>
      <c r="H786" s="282"/>
      <c r="I786" s="283"/>
      <c r="J786" s="280"/>
      <c r="K786" s="103"/>
      <c r="L786" s="146"/>
      <c r="M786" s="103"/>
      <c r="N786" s="103"/>
      <c r="O786" s="103">
        <f t="shared" si="1"/>
        <v>0</v>
      </c>
      <c r="P786" s="104">
        <f t="shared" si="2"/>
        <v>0</v>
      </c>
      <c r="Q786" s="147"/>
      <c r="R786" s="103"/>
      <c r="S786" s="103">
        <f t="shared" si="3"/>
        <v>0</v>
      </c>
      <c r="U786" s="107" t="str">
        <f t="shared" si="4"/>
        <v>0</v>
      </c>
    </row>
    <row r="787" ht="15.75" customHeight="1">
      <c r="A787" s="279"/>
      <c r="B787" s="280"/>
      <c r="C787" s="280"/>
      <c r="D787" s="280"/>
      <c r="E787" s="281"/>
      <c r="F787" s="281"/>
      <c r="G787" s="280"/>
      <c r="H787" s="282"/>
      <c r="I787" s="283"/>
      <c r="J787" s="280"/>
      <c r="K787" s="103"/>
      <c r="L787" s="146"/>
      <c r="M787" s="103"/>
      <c r="N787" s="103"/>
      <c r="O787" s="103">
        <f t="shared" si="1"/>
        <v>0</v>
      </c>
      <c r="P787" s="104">
        <f t="shared" si="2"/>
        <v>0</v>
      </c>
      <c r="Q787" s="147"/>
      <c r="R787" s="103"/>
      <c r="S787" s="103">
        <f t="shared" si="3"/>
        <v>0</v>
      </c>
      <c r="U787" s="107" t="str">
        <f t="shared" si="4"/>
        <v>0</v>
      </c>
    </row>
    <row r="788" ht="15.75" customHeight="1">
      <c r="A788" s="279"/>
      <c r="B788" s="280"/>
      <c r="C788" s="280"/>
      <c r="D788" s="280"/>
      <c r="E788" s="281"/>
      <c r="F788" s="281"/>
      <c r="G788" s="280"/>
      <c r="H788" s="282"/>
      <c r="I788" s="283"/>
      <c r="J788" s="280"/>
      <c r="K788" s="103"/>
      <c r="L788" s="146"/>
      <c r="M788" s="103"/>
      <c r="N788" s="103"/>
      <c r="O788" s="103">
        <f t="shared" si="1"/>
        <v>0</v>
      </c>
      <c r="P788" s="104">
        <f t="shared" si="2"/>
        <v>0</v>
      </c>
      <c r="Q788" s="147"/>
      <c r="R788" s="103"/>
      <c r="S788" s="103">
        <f t="shared" si="3"/>
        <v>0</v>
      </c>
      <c r="U788" s="107" t="str">
        <f t="shared" si="4"/>
        <v>0</v>
      </c>
    </row>
    <row r="789" ht="15.75" customHeight="1">
      <c r="A789" s="279"/>
      <c r="B789" s="280"/>
      <c r="C789" s="280"/>
      <c r="D789" s="280"/>
      <c r="E789" s="281"/>
      <c r="F789" s="281"/>
      <c r="G789" s="280"/>
      <c r="H789" s="282"/>
      <c r="I789" s="283"/>
      <c r="J789" s="280"/>
      <c r="K789" s="103"/>
      <c r="L789" s="146"/>
      <c r="M789" s="103"/>
      <c r="N789" s="103"/>
      <c r="O789" s="103">
        <f t="shared" si="1"/>
        <v>0</v>
      </c>
      <c r="P789" s="104">
        <f t="shared" si="2"/>
        <v>0</v>
      </c>
      <c r="Q789" s="147"/>
      <c r="R789" s="103"/>
      <c r="S789" s="103">
        <f t="shared" si="3"/>
        <v>0</v>
      </c>
      <c r="U789" s="107" t="str">
        <f t="shared" si="4"/>
        <v>0</v>
      </c>
    </row>
    <row r="790" ht="15.75" customHeight="1">
      <c r="A790" s="279"/>
      <c r="B790" s="280"/>
      <c r="C790" s="280"/>
      <c r="D790" s="280"/>
      <c r="E790" s="281"/>
      <c r="F790" s="281"/>
      <c r="G790" s="280"/>
      <c r="H790" s="282"/>
      <c r="I790" s="283"/>
      <c r="J790" s="280"/>
      <c r="K790" s="103"/>
      <c r="L790" s="146"/>
      <c r="M790" s="103"/>
      <c r="N790" s="103"/>
      <c r="O790" s="103">
        <f t="shared" si="1"/>
        <v>0</v>
      </c>
      <c r="P790" s="104">
        <f t="shared" si="2"/>
        <v>0</v>
      </c>
      <c r="Q790" s="147"/>
      <c r="R790" s="103"/>
      <c r="S790" s="103">
        <f t="shared" si="3"/>
        <v>0</v>
      </c>
      <c r="U790" s="107" t="str">
        <f t="shared" si="4"/>
        <v>0</v>
      </c>
    </row>
    <row r="791" ht="15.75" customHeight="1">
      <c r="A791" s="279"/>
      <c r="B791" s="280"/>
      <c r="C791" s="280"/>
      <c r="D791" s="280"/>
      <c r="E791" s="281"/>
      <c r="F791" s="281"/>
      <c r="G791" s="280"/>
      <c r="H791" s="282"/>
      <c r="I791" s="283"/>
      <c r="J791" s="280"/>
      <c r="K791" s="103"/>
      <c r="L791" s="146"/>
      <c r="M791" s="103"/>
      <c r="N791" s="103"/>
      <c r="O791" s="103">
        <f t="shared" si="1"/>
        <v>0</v>
      </c>
      <c r="P791" s="104">
        <f t="shared" si="2"/>
        <v>0</v>
      </c>
      <c r="Q791" s="147"/>
      <c r="R791" s="103"/>
      <c r="S791" s="103">
        <f t="shared" si="3"/>
        <v>0</v>
      </c>
      <c r="U791" s="107" t="str">
        <f t="shared" si="4"/>
        <v>0</v>
      </c>
    </row>
    <row r="792" ht="15.75" customHeight="1">
      <c r="A792" s="279"/>
      <c r="B792" s="280"/>
      <c r="C792" s="280"/>
      <c r="D792" s="280"/>
      <c r="E792" s="281"/>
      <c r="F792" s="281"/>
      <c r="G792" s="280"/>
      <c r="H792" s="282"/>
      <c r="I792" s="283"/>
      <c r="J792" s="280"/>
      <c r="K792" s="103"/>
      <c r="L792" s="146"/>
      <c r="M792" s="103"/>
      <c r="N792" s="103"/>
      <c r="O792" s="103">
        <f t="shared" si="1"/>
        <v>0</v>
      </c>
      <c r="P792" s="104">
        <f t="shared" si="2"/>
        <v>0</v>
      </c>
      <c r="Q792" s="147"/>
      <c r="R792" s="103"/>
      <c r="S792" s="103">
        <f t="shared" si="3"/>
        <v>0</v>
      </c>
      <c r="U792" s="107" t="str">
        <f t="shared" si="4"/>
        <v>0</v>
      </c>
    </row>
    <row r="793" ht="15.75" customHeight="1">
      <c r="A793" s="279"/>
      <c r="B793" s="280"/>
      <c r="C793" s="280"/>
      <c r="D793" s="280"/>
      <c r="E793" s="281"/>
      <c r="F793" s="281"/>
      <c r="G793" s="280"/>
      <c r="H793" s="282"/>
      <c r="I793" s="283"/>
      <c r="J793" s="280"/>
      <c r="K793" s="103"/>
      <c r="L793" s="146"/>
      <c r="M793" s="103"/>
      <c r="N793" s="103"/>
      <c r="O793" s="103">
        <f t="shared" si="1"/>
        <v>0</v>
      </c>
      <c r="P793" s="104">
        <f t="shared" si="2"/>
        <v>0</v>
      </c>
      <c r="Q793" s="147"/>
      <c r="R793" s="103"/>
      <c r="S793" s="103">
        <f t="shared" si="3"/>
        <v>0</v>
      </c>
      <c r="U793" s="107" t="str">
        <f t="shared" si="4"/>
        <v>0</v>
      </c>
    </row>
    <row r="794" ht="15.75" customHeight="1">
      <c r="A794" s="279"/>
      <c r="B794" s="280"/>
      <c r="C794" s="280"/>
      <c r="D794" s="280"/>
      <c r="E794" s="281"/>
      <c r="F794" s="281"/>
      <c r="G794" s="280"/>
      <c r="H794" s="282"/>
      <c r="I794" s="283"/>
      <c r="J794" s="280"/>
      <c r="K794" s="103"/>
      <c r="L794" s="146"/>
      <c r="M794" s="103"/>
      <c r="N794" s="103"/>
      <c r="O794" s="103">
        <f t="shared" si="1"/>
        <v>0</v>
      </c>
      <c r="P794" s="104">
        <f t="shared" si="2"/>
        <v>0</v>
      </c>
      <c r="Q794" s="147"/>
      <c r="R794" s="103"/>
      <c r="S794" s="103">
        <f t="shared" si="3"/>
        <v>0</v>
      </c>
      <c r="U794" s="107" t="str">
        <f t="shared" si="4"/>
        <v>0</v>
      </c>
    </row>
    <row r="795" ht="15.75" customHeight="1">
      <c r="A795" s="279"/>
      <c r="B795" s="280"/>
      <c r="C795" s="280"/>
      <c r="D795" s="280"/>
      <c r="E795" s="281"/>
      <c r="F795" s="281"/>
      <c r="G795" s="280"/>
      <c r="H795" s="282"/>
      <c r="I795" s="283"/>
      <c r="J795" s="280"/>
      <c r="K795" s="103"/>
      <c r="L795" s="146"/>
      <c r="M795" s="103"/>
      <c r="N795" s="103"/>
      <c r="O795" s="103">
        <f t="shared" si="1"/>
        <v>0</v>
      </c>
      <c r="P795" s="104">
        <f t="shared" si="2"/>
        <v>0</v>
      </c>
      <c r="Q795" s="147"/>
      <c r="R795" s="103"/>
      <c r="S795" s="103">
        <f t="shared" si="3"/>
        <v>0</v>
      </c>
      <c r="U795" s="107" t="str">
        <f t="shared" si="4"/>
        <v>0</v>
      </c>
    </row>
    <row r="796" ht="15.75" customHeight="1">
      <c r="A796" s="279"/>
      <c r="B796" s="280"/>
      <c r="C796" s="280"/>
      <c r="D796" s="280"/>
      <c r="E796" s="281"/>
      <c r="F796" s="281"/>
      <c r="G796" s="280"/>
      <c r="H796" s="282"/>
      <c r="I796" s="283"/>
      <c r="J796" s="280"/>
      <c r="K796" s="103"/>
      <c r="L796" s="146"/>
      <c r="M796" s="103"/>
      <c r="N796" s="103"/>
      <c r="O796" s="103">
        <f t="shared" si="1"/>
        <v>0</v>
      </c>
      <c r="P796" s="104">
        <f t="shared" si="2"/>
        <v>0</v>
      </c>
      <c r="Q796" s="147"/>
      <c r="R796" s="103"/>
      <c r="S796" s="103">
        <f t="shared" si="3"/>
        <v>0</v>
      </c>
      <c r="U796" s="107" t="str">
        <f t="shared" si="4"/>
        <v>0</v>
      </c>
    </row>
    <row r="797" ht="15.75" customHeight="1">
      <c r="A797" s="279"/>
      <c r="B797" s="280"/>
      <c r="C797" s="280"/>
      <c r="D797" s="280"/>
      <c r="E797" s="281"/>
      <c r="F797" s="281"/>
      <c r="G797" s="280"/>
      <c r="H797" s="282"/>
      <c r="I797" s="283"/>
      <c r="J797" s="280"/>
      <c r="K797" s="103"/>
      <c r="L797" s="146"/>
      <c r="M797" s="103"/>
      <c r="N797" s="103"/>
      <c r="O797" s="103">
        <f t="shared" si="1"/>
        <v>0</v>
      </c>
      <c r="P797" s="104">
        <f t="shared" si="2"/>
        <v>0</v>
      </c>
      <c r="Q797" s="147"/>
      <c r="R797" s="103"/>
      <c r="S797" s="103">
        <f t="shared" si="3"/>
        <v>0</v>
      </c>
      <c r="U797" s="107" t="str">
        <f t="shared" si="4"/>
        <v>0</v>
      </c>
    </row>
    <row r="798" ht="15.75" customHeight="1">
      <c r="A798" s="279"/>
      <c r="B798" s="280"/>
      <c r="C798" s="280"/>
      <c r="D798" s="280"/>
      <c r="E798" s="281"/>
      <c r="F798" s="281"/>
      <c r="G798" s="280"/>
      <c r="H798" s="282"/>
      <c r="I798" s="283"/>
      <c r="J798" s="280"/>
      <c r="K798" s="103"/>
      <c r="L798" s="146"/>
      <c r="M798" s="103"/>
      <c r="N798" s="103"/>
      <c r="O798" s="103">
        <f t="shared" si="1"/>
        <v>0</v>
      </c>
      <c r="P798" s="104">
        <f t="shared" si="2"/>
        <v>0</v>
      </c>
      <c r="Q798" s="147"/>
      <c r="R798" s="103"/>
      <c r="S798" s="103">
        <f t="shared" si="3"/>
        <v>0</v>
      </c>
      <c r="U798" s="107" t="str">
        <f t="shared" si="4"/>
        <v>0</v>
      </c>
    </row>
    <row r="799" ht="15.75" customHeight="1">
      <c r="A799" s="279"/>
      <c r="B799" s="280"/>
      <c r="C799" s="280"/>
      <c r="D799" s="280"/>
      <c r="E799" s="281"/>
      <c r="F799" s="281"/>
      <c r="G799" s="280"/>
      <c r="H799" s="282"/>
      <c r="I799" s="283"/>
      <c r="J799" s="280"/>
      <c r="K799" s="103"/>
      <c r="L799" s="146"/>
      <c r="M799" s="103"/>
      <c r="N799" s="103"/>
      <c r="O799" s="103">
        <f t="shared" si="1"/>
        <v>0</v>
      </c>
      <c r="P799" s="104">
        <f t="shared" si="2"/>
        <v>0</v>
      </c>
      <c r="Q799" s="147"/>
      <c r="R799" s="103"/>
      <c r="S799" s="103">
        <f t="shared" si="3"/>
        <v>0</v>
      </c>
      <c r="U799" s="107" t="str">
        <f t="shared" si="4"/>
        <v>0</v>
      </c>
    </row>
    <row r="800" ht="15.75" customHeight="1">
      <c r="A800" s="279"/>
      <c r="B800" s="280"/>
      <c r="C800" s="280"/>
      <c r="D800" s="280"/>
      <c r="E800" s="281"/>
      <c r="F800" s="281"/>
      <c r="G800" s="280"/>
      <c r="H800" s="282"/>
      <c r="I800" s="283"/>
      <c r="J800" s="280"/>
      <c r="K800" s="103"/>
      <c r="L800" s="146"/>
      <c r="M800" s="103"/>
      <c r="N800" s="103"/>
      <c r="O800" s="103">
        <f t="shared" si="1"/>
        <v>0</v>
      </c>
      <c r="P800" s="104">
        <f t="shared" si="2"/>
        <v>0</v>
      </c>
      <c r="Q800" s="147"/>
      <c r="R800" s="103"/>
      <c r="S800" s="103">
        <f t="shared" si="3"/>
        <v>0</v>
      </c>
      <c r="U800" s="107" t="str">
        <f t="shared" si="4"/>
        <v>0</v>
      </c>
    </row>
    <row r="801" ht="15.75" customHeight="1">
      <c r="A801" s="279"/>
      <c r="B801" s="280"/>
      <c r="C801" s="280"/>
      <c r="D801" s="280"/>
      <c r="E801" s="281"/>
      <c r="F801" s="281"/>
      <c r="G801" s="280"/>
      <c r="H801" s="282"/>
      <c r="I801" s="283"/>
      <c r="J801" s="280"/>
      <c r="K801" s="103"/>
      <c r="L801" s="146"/>
      <c r="M801" s="103"/>
      <c r="N801" s="103"/>
      <c r="O801" s="103">
        <f t="shared" si="1"/>
        <v>0</v>
      </c>
      <c r="P801" s="104">
        <f t="shared" si="2"/>
        <v>0</v>
      </c>
      <c r="Q801" s="147"/>
      <c r="R801" s="103"/>
      <c r="S801" s="103">
        <f t="shared" si="3"/>
        <v>0</v>
      </c>
      <c r="U801" s="107" t="str">
        <f t="shared" si="4"/>
        <v>0</v>
      </c>
    </row>
    <row r="802" ht="15.75" customHeight="1">
      <c r="A802" s="279"/>
      <c r="B802" s="280"/>
      <c r="C802" s="280"/>
      <c r="D802" s="280"/>
      <c r="E802" s="281"/>
      <c r="F802" s="281"/>
      <c r="G802" s="280"/>
      <c r="H802" s="282"/>
      <c r="I802" s="283"/>
      <c r="J802" s="280"/>
      <c r="K802" s="103"/>
      <c r="L802" s="146"/>
      <c r="M802" s="103"/>
      <c r="N802" s="103"/>
      <c r="O802" s="103">
        <f t="shared" si="1"/>
        <v>0</v>
      </c>
      <c r="P802" s="104">
        <f t="shared" si="2"/>
        <v>0</v>
      </c>
      <c r="Q802" s="147"/>
      <c r="R802" s="103"/>
      <c r="S802" s="103">
        <f t="shared" si="3"/>
        <v>0</v>
      </c>
      <c r="U802" s="107" t="str">
        <f t="shared" si="4"/>
        <v>0</v>
      </c>
    </row>
    <row r="803" ht="15.75" customHeight="1">
      <c r="A803" s="279"/>
      <c r="B803" s="280"/>
      <c r="C803" s="280"/>
      <c r="D803" s="280"/>
      <c r="E803" s="281"/>
      <c r="F803" s="281"/>
      <c r="G803" s="280"/>
      <c r="H803" s="282"/>
      <c r="I803" s="283"/>
      <c r="J803" s="280"/>
      <c r="K803" s="103"/>
      <c r="L803" s="146"/>
      <c r="M803" s="103"/>
      <c r="N803" s="103"/>
      <c r="O803" s="103">
        <f t="shared" si="1"/>
        <v>0</v>
      </c>
      <c r="P803" s="104">
        <f t="shared" si="2"/>
        <v>0</v>
      </c>
      <c r="Q803" s="147"/>
      <c r="R803" s="103"/>
      <c r="S803" s="103">
        <f t="shared" si="3"/>
        <v>0</v>
      </c>
      <c r="U803" s="107" t="str">
        <f t="shared" si="4"/>
        <v>0</v>
      </c>
    </row>
    <row r="804" ht="15.75" customHeight="1">
      <c r="A804" s="279"/>
      <c r="B804" s="280"/>
      <c r="C804" s="280"/>
      <c r="D804" s="280"/>
      <c r="E804" s="281"/>
      <c r="F804" s="281"/>
      <c r="G804" s="280"/>
      <c r="H804" s="282"/>
      <c r="I804" s="283"/>
      <c r="J804" s="280"/>
      <c r="K804" s="103"/>
      <c r="L804" s="146"/>
      <c r="M804" s="103"/>
      <c r="N804" s="103"/>
      <c r="O804" s="103">
        <f t="shared" si="1"/>
        <v>0</v>
      </c>
      <c r="P804" s="104">
        <f t="shared" si="2"/>
        <v>0</v>
      </c>
      <c r="Q804" s="147"/>
      <c r="R804" s="103"/>
      <c r="S804" s="103">
        <f t="shared" si="3"/>
        <v>0</v>
      </c>
      <c r="U804" s="107" t="str">
        <f t="shared" si="4"/>
        <v>0</v>
      </c>
    </row>
    <row r="805" ht="15.75" customHeight="1">
      <c r="A805" s="279"/>
      <c r="B805" s="280"/>
      <c r="C805" s="280"/>
      <c r="D805" s="280"/>
      <c r="E805" s="281"/>
      <c r="F805" s="281"/>
      <c r="G805" s="280"/>
      <c r="H805" s="282"/>
      <c r="I805" s="283"/>
      <c r="J805" s="280"/>
      <c r="K805" s="103"/>
      <c r="L805" s="146"/>
      <c r="M805" s="103"/>
      <c r="N805" s="103"/>
      <c r="O805" s="103">
        <f t="shared" si="1"/>
        <v>0</v>
      </c>
      <c r="P805" s="104">
        <f t="shared" si="2"/>
        <v>0</v>
      </c>
      <c r="Q805" s="147"/>
      <c r="R805" s="103"/>
      <c r="S805" s="103">
        <f t="shared" si="3"/>
        <v>0</v>
      </c>
      <c r="U805" s="107" t="str">
        <f t="shared" si="4"/>
        <v>0</v>
      </c>
    </row>
    <row r="806" ht="15.75" customHeight="1">
      <c r="A806" s="279"/>
      <c r="B806" s="280"/>
      <c r="C806" s="280"/>
      <c r="D806" s="280"/>
      <c r="E806" s="281"/>
      <c r="F806" s="281"/>
      <c r="G806" s="280"/>
      <c r="H806" s="282"/>
      <c r="I806" s="283"/>
      <c r="J806" s="280"/>
      <c r="K806" s="103"/>
      <c r="L806" s="146"/>
      <c r="M806" s="103"/>
      <c r="N806" s="103"/>
      <c r="O806" s="103">
        <f t="shared" si="1"/>
        <v>0</v>
      </c>
      <c r="P806" s="104">
        <f t="shared" si="2"/>
        <v>0</v>
      </c>
      <c r="Q806" s="147"/>
      <c r="R806" s="103"/>
      <c r="S806" s="103">
        <f t="shared" si="3"/>
        <v>0</v>
      </c>
      <c r="U806" s="107" t="str">
        <f t="shared" si="4"/>
        <v>0</v>
      </c>
    </row>
    <row r="807" ht="15.75" customHeight="1">
      <c r="A807" s="279"/>
      <c r="B807" s="280"/>
      <c r="C807" s="280"/>
      <c r="D807" s="280"/>
      <c r="E807" s="281"/>
      <c r="F807" s="281"/>
      <c r="G807" s="280"/>
      <c r="H807" s="282"/>
      <c r="I807" s="283"/>
      <c r="J807" s="280"/>
      <c r="K807" s="103"/>
      <c r="L807" s="146"/>
      <c r="M807" s="103"/>
      <c r="N807" s="103"/>
      <c r="O807" s="103">
        <f t="shared" si="1"/>
        <v>0</v>
      </c>
      <c r="P807" s="104">
        <f t="shared" si="2"/>
        <v>0</v>
      </c>
      <c r="Q807" s="147"/>
      <c r="R807" s="103"/>
      <c r="S807" s="103">
        <f t="shared" si="3"/>
        <v>0</v>
      </c>
      <c r="U807" s="107" t="str">
        <f t="shared" si="4"/>
        <v>0</v>
      </c>
    </row>
    <row r="808" ht="15.75" customHeight="1">
      <c r="A808" s="279"/>
      <c r="B808" s="280"/>
      <c r="C808" s="280"/>
      <c r="D808" s="280"/>
      <c r="E808" s="281"/>
      <c r="F808" s="281"/>
      <c r="G808" s="280"/>
      <c r="H808" s="282"/>
      <c r="I808" s="283"/>
      <c r="J808" s="280"/>
      <c r="K808" s="103"/>
      <c r="L808" s="146"/>
      <c r="M808" s="103"/>
      <c r="N808" s="103"/>
      <c r="O808" s="103">
        <f t="shared" si="1"/>
        <v>0</v>
      </c>
      <c r="P808" s="104">
        <f t="shared" si="2"/>
        <v>0</v>
      </c>
      <c r="Q808" s="147"/>
      <c r="R808" s="103"/>
      <c r="S808" s="103">
        <f t="shared" si="3"/>
        <v>0</v>
      </c>
      <c r="U808" s="107" t="str">
        <f t="shared" si="4"/>
        <v>0</v>
      </c>
    </row>
    <row r="809" ht="15.75" customHeight="1">
      <c r="A809" s="279"/>
      <c r="B809" s="280"/>
      <c r="C809" s="280"/>
      <c r="D809" s="280"/>
      <c r="E809" s="281"/>
      <c r="F809" s="281"/>
      <c r="G809" s="280"/>
      <c r="H809" s="282"/>
      <c r="I809" s="283"/>
      <c r="J809" s="280"/>
      <c r="K809" s="103"/>
      <c r="L809" s="146"/>
      <c r="M809" s="103"/>
      <c r="N809" s="103"/>
      <c r="O809" s="103">
        <f t="shared" si="1"/>
        <v>0</v>
      </c>
      <c r="P809" s="104">
        <f t="shared" si="2"/>
        <v>0</v>
      </c>
      <c r="Q809" s="147"/>
      <c r="R809" s="103"/>
      <c r="S809" s="103">
        <f t="shared" si="3"/>
        <v>0</v>
      </c>
      <c r="U809" s="107" t="str">
        <f t="shared" si="4"/>
        <v>0</v>
      </c>
    </row>
    <row r="810" ht="15.75" customHeight="1">
      <c r="A810" s="279"/>
      <c r="B810" s="280"/>
      <c r="C810" s="280"/>
      <c r="D810" s="280"/>
      <c r="E810" s="281"/>
      <c r="F810" s="281"/>
      <c r="G810" s="280"/>
      <c r="H810" s="282"/>
      <c r="I810" s="283"/>
      <c r="J810" s="280"/>
      <c r="K810" s="103"/>
      <c r="L810" s="146"/>
      <c r="M810" s="103"/>
      <c r="N810" s="103"/>
      <c r="O810" s="103">
        <f t="shared" si="1"/>
        <v>0</v>
      </c>
      <c r="P810" s="104">
        <f t="shared" si="2"/>
        <v>0</v>
      </c>
      <c r="Q810" s="147"/>
      <c r="R810" s="103"/>
      <c r="S810" s="103">
        <f t="shared" si="3"/>
        <v>0</v>
      </c>
      <c r="U810" s="107" t="str">
        <f t="shared" si="4"/>
        <v>0</v>
      </c>
    </row>
    <row r="811" ht="15.75" customHeight="1">
      <c r="A811" s="279"/>
      <c r="B811" s="280"/>
      <c r="C811" s="280"/>
      <c r="D811" s="280"/>
      <c r="E811" s="281"/>
      <c r="F811" s="281"/>
      <c r="G811" s="280"/>
      <c r="H811" s="282"/>
      <c r="I811" s="283"/>
      <c r="J811" s="280"/>
      <c r="K811" s="103"/>
      <c r="L811" s="146"/>
      <c r="M811" s="103"/>
      <c r="N811" s="103"/>
      <c r="O811" s="103">
        <f t="shared" si="1"/>
        <v>0</v>
      </c>
      <c r="P811" s="104">
        <f t="shared" si="2"/>
        <v>0</v>
      </c>
      <c r="Q811" s="147"/>
      <c r="R811" s="103"/>
      <c r="S811" s="103">
        <f t="shared" si="3"/>
        <v>0</v>
      </c>
      <c r="U811" s="107" t="str">
        <f t="shared" si="4"/>
        <v>0</v>
      </c>
    </row>
    <row r="812" ht="15.75" customHeight="1">
      <c r="A812" s="279"/>
      <c r="B812" s="280"/>
      <c r="C812" s="280"/>
      <c r="D812" s="280"/>
      <c r="E812" s="281"/>
      <c r="F812" s="281"/>
      <c r="G812" s="280"/>
      <c r="H812" s="282"/>
      <c r="I812" s="283"/>
      <c r="J812" s="280"/>
      <c r="K812" s="103"/>
      <c r="L812" s="146"/>
      <c r="M812" s="103"/>
      <c r="N812" s="103"/>
      <c r="O812" s="103">
        <f t="shared" si="1"/>
        <v>0</v>
      </c>
      <c r="P812" s="104">
        <f t="shared" si="2"/>
        <v>0</v>
      </c>
      <c r="Q812" s="147"/>
      <c r="R812" s="103"/>
      <c r="S812" s="103">
        <f t="shared" si="3"/>
        <v>0</v>
      </c>
      <c r="U812" s="107" t="str">
        <f t="shared" si="4"/>
        <v>0</v>
      </c>
    </row>
    <row r="813" ht="15.75" customHeight="1">
      <c r="A813" s="279"/>
      <c r="B813" s="280"/>
      <c r="C813" s="280"/>
      <c r="D813" s="280"/>
      <c r="E813" s="281"/>
      <c r="F813" s="281"/>
      <c r="G813" s="280"/>
      <c r="H813" s="282"/>
      <c r="I813" s="283"/>
      <c r="J813" s="280"/>
      <c r="K813" s="103"/>
      <c r="L813" s="146"/>
      <c r="M813" s="103"/>
      <c r="N813" s="103"/>
      <c r="O813" s="103">
        <f t="shared" si="1"/>
        <v>0</v>
      </c>
      <c r="P813" s="104">
        <f t="shared" si="2"/>
        <v>0</v>
      </c>
      <c r="Q813" s="147"/>
      <c r="R813" s="103"/>
      <c r="S813" s="103">
        <f t="shared" si="3"/>
        <v>0</v>
      </c>
      <c r="U813" s="107" t="str">
        <f t="shared" si="4"/>
        <v>0</v>
      </c>
    </row>
    <row r="814" ht="15.75" customHeight="1">
      <c r="A814" s="279"/>
      <c r="B814" s="280"/>
      <c r="C814" s="280"/>
      <c r="D814" s="280"/>
      <c r="E814" s="281"/>
      <c r="F814" s="281"/>
      <c r="G814" s="280"/>
      <c r="H814" s="282"/>
      <c r="I814" s="283"/>
      <c r="J814" s="280"/>
      <c r="K814" s="103"/>
      <c r="L814" s="146"/>
      <c r="M814" s="103"/>
      <c r="N814" s="103"/>
      <c r="O814" s="103">
        <f t="shared" si="1"/>
        <v>0</v>
      </c>
      <c r="P814" s="104">
        <f t="shared" si="2"/>
        <v>0</v>
      </c>
      <c r="Q814" s="147"/>
      <c r="R814" s="103"/>
      <c r="S814" s="103">
        <f t="shared" si="3"/>
        <v>0</v>
      </c>
      <c r="U814" s="107" t="str">
        <f t="shared" si="4"/>
        <v>0</v>
      </c>
    </row>
    <row r="815" ht="15.75" customHeight="1">
      <c r="A815" s="279"/>
      <c r="B815" s="280"/>
      <c r="C815" s="280"/>
      <c r="D815" s="280"/>
      <c r="E815" s="281"/>
      <c r="F815" s="281"/>
      <c r="G815" s="280"/>
      <c r="H815" s="282"/>
      <c r="I815" s="283"/>
      <c r="J815" s="280"/>
      <c r="K815" s="103"/>
      <c r="L815" s="146"/>
      <c r="M815" s="103"/>
      <c r="N815" s="103"/>
      <c r="O815" s="103">
        <f t="shared" si="1"/>
        <v>0</v>
      </c>
      <c r="P815" s="104">
        <f t="shared" si="2"/>
        <v>0</v>
      </c>
      <c r="Q815" s="147"/>
      <c r="R815" s="103"/>
      <c r="S815" s="103">
        <f t="shared" si="3"/>
        <v>0</v>
      </c>
      <c r="U815" s="107" t="str">
        <f t="shared" si="4"/>
        <v>0</v>
      </c>
    </row>
    <row r="816" ht="15.75" customHeight="1">
      <c r="A816" s="279"/>
      <c r="B816" s="280"/>
      <c r="C816" s="280"/>
      <c r="D816" s="280"/>
      <c r="E816" s="281"/>
      <c r="F816" s="281"/>
      <c r="G816" s="280"/>
      <c r="H816" s="282"/>
      <c r="I816" s="283"/>
      <c r="J816" s="280"/>
      <c r="K816" s="103"/>
      <c r="L816" s="146"/>
      <c r="M816" s="103"/>
      <c r="N816" s="103"/>
      <c r="O816" s="103">
        <f t="shared" si="1"/>
        <v>0</v>
      </c>
      <c r="P816" s="104">
        <f t="shared" si="2"/>
        <v>0</v>
      </c>
      <c r="Q816" s="147"/>
      <c r="R816" s="103"/>
      <c r="S816" s="103">
        <f t="shared" si="3"/>
        <v>0</v>
      </c>
      <c r="U816" s="107" t="str">
        <f t="shared" si="4"/>
        <v>0</v>
      </c>
    </row>
    <row r="817" ht="15.75" customHeight="1">
      <c r="A817" s="279"/>
      <c r="B817" s="280"/>
      <c r="C817" s="280"/>
      <c r="D817" s="280"/>
      <c r="E817" s="281"/>
      <c r="F817" s="281"/>
      <c r="G817" s="280"/>
      <c r="H817" s="282"/>
      <c r="I817" s="283"/>
      <c r="J817" s="280"/>
      <c r="K817" s="103"/>
      <c r="L817" s="146"/>
      <c r="M817" s="103"/>
      <c r="N817" s="103"/>
      <c r="O817" s="103">
        <f t="shared" si="1"/>
        <v>0</v>
      </c>
      <c r="P817" s="104">
        <f t="shared" si="2"/>
        <v>0</v>
      </c>
      <c r="Q817" s="147"/>
      <c r="R817" s="103"/>
      <c r="S817" s="103">
        <f t="shared" si="3"/>
        <v>0</v>
      </c>
      <c r="U817" s="107" t="str">
        <f t="shared" si="4"/>
        <v>0</v>
      </c>
    </row>
    <row r="818" ht="15.75" customHeight="1">
      <c r="A818" s="279"/>
      <c r="B818" s="280"/>
      <c r="C818" s="280"/>
      <c r="D818" s="280"/>
      <c r="E818" s="281"/>
      <c r="F818" s="281"/>
      <c r="G818" s="280"/>
      <c r="H818" s="282"/>
      <c r="I818" s="283"/>
      <c r="J818" s="280"/>
      <c r="K818" s="103"/>
      <c r="L818" s="146"/>
      <c r="M818" s="103"/>
      <c r="N818" s="103"/>
      <c r="O818" s="103">
        <f t="shared" si="1"/>
        <v>0</v>
      </c>
      <c r="P818" s="104">
        <f t="shared" si="2"/>
        <v>0</v>
      </c>
      <c r="Q818" s="147"/>
      <c r="R818" s="103"/>
      <c r="S818" s="103">
        <f t="shared" si="3"/>
        <v>0</v>
      </c>
      <c r="U818" s="107" t="str">
        <f t="shared" si="4"/>
        <v>0</v>
      </c>
    </row>
    <row r="819" ht="15.75" customHeight="1">
      <c r="A819" s="279"/>
      <c r="B819" s="280"/>
      <c r="C819" s="280"/>
      <c r="D819" s="280"/>
      <c r="E819" s="281"/>
      <c r="F819" s="281"/>
      <c r="G819" s="280"/>
      <c r="H819" s="282"/>
      <c r="I819" s="283"/>
      <c r="J819" s="280"/>
      <c r="K819" s="103"/>
      <c r="L819" s="146"/>
      <c r="M819" s="103"/>
      <c r="N819" s="103"/>
      <c r="O819" s="103">
        <f t="shared" si="1"/>
        <v>0</v>
      </c>
      <c r="P819" s="104">
        <f t="shared" si="2"/>
        <v>0</v>
      </c>
      <c r="Q819" s="147"/>
      <c r="R819" s="103"/>
      <c r="S819" s="103">
        <f t="shared" si="3"/>
        <v>0</v>
      </c>
      <c r="U819" s="107" t="str">
        <f t="shared" si="4"/>
        <v>0</v>
      </c>
    </row>
    <row r="820" ht="15.75" customHeight="1">
      <c r="A820" s="279"/>
      <c r="B820" s="280"/>
      <c r="C820" s="280"/>
      <c r="D820" s="280"/>
      <c r="E820" s="281"/>
      <c r="F820" s="281"/>
      <c r="G820" s="280"/>
      <c r="H820" s="282"/>
      <c r="I820" s="283"/>
      <c r="J820" s="280"/>
      <c r="K820" s="103"/>
      <c r="L820" s="146"/>
      <c r="M820" s="103"/>
      <c r="N820" s="103"/>
      <c r="O820" s="103">
        <f t="shared" si="1"/>
        <v>0</v>
      </c>
      <c r="P820" s="104">
        <f t="shared" si="2"/>
        <v>0</v>
      </c>
      <c r="Q820" s="147"/>
      <c r="R820" s="103"/>
      <c r="S820" s="103">
        <f t="shared" si="3"/>
        <v>0</v>
      </c>
      <c r="U820" s="107" t="str">
        <f t="shared" si="4"/>
        <v>0</v>
      </c>
    </row>
    <row r="821" ht="15.75" customHeight="1">
      <c r="A821" s="279"/>
      <c r="B821" s="280"/>
      <c r="C821" s="280"/>
      <c r="D821" s="280"/>
      <c r="E821" s="281"/>
      <c r="F821" s="281"/>
      <c r="G821" s="280"/>
      <c r="H821" s="282"/>
      <c r="I821" s="283"/>
      <c r="J821" s="280"/>
      <c r="K821" s="103"/>
      <c r="L821" s="146"/>
      <c r="M821" s="103"/>
      <c r="N821" s="103"/>
      <c r="O821" s="103">
        <f t="shared" si="1"/>
        <v>0</v>
      </c>
      <c r="P821" s="104">
        <f t="shared" si="2"/>
        <v>0</v>
      </c>
      <c r="Q821" s="147"/>
      <c r="R821" s="103"/>
      <c r="S821" s="103">
        <f t="shared" si="3"/>
        <v>0</v>
      </c>
      <c r="U821" s="107" t="str">
        <f t="shared" si="4"/>
        <v>0</v>
      </c>
    </row>
    <row r="822" ht="15.75" customHeight="1">
      <c r="A822" s="279"/>
      <c r="B822" s="280"/>
      <c r="C822" s="280"/>
      <c r="D822" s="280"/>
      <c r="E822" s="281"/>
      <c r="F822" s="281"/>
      <c r="G822" s="280"/>
      <c r="H822" s="282"/>
      <c r="I822" s="283"/>
      <c r="J822" s="280"/>
      <c r="K822" s="103"/>
      <c r="L822" s="146"/>
      <c r="M822" s="103"/>
      <c r="N822" s="103"/>
      <c r="O822" s="103">
        <f t="shared" si="1"/>
        <v>0</v>
      </c>
      <c r="P822" s="104">
        <f t="shared" si="2"/>
        <v>0</v>
      </c>
      <c r="Q822" s="147"/>
      <c r="R822" s="103"/>
      <c r="S822" s="103">
        <f t="shared" si="3"/>
        <v>0</v>
      </c>
      <c r="U822" s="107" t="str">
        <f t="shared" si="4"/>
        <v>0</v>
      </c>
    </row>
    <row r="823" ht="15.75" customHeight="1">
      <c r="A823" s="279"/>
      <c r="B823" s="280"/>
      <c r="C823" s="280"/>
      <c r="D823" s="280"/>
      <c r="E823" s="281"/>
      <c r="F823" s="281"/>
      <c r="G823" s="280"/>
      <c r="H823" s="282"/>
      <c r="I823" s="283"/>
      <c r="J823" s="280"/>
      <c r="K823" s="103"/>
      <c r="L823" s="146"/>
      <c r="M823" s="103"/>
      <c r="N823" s="103"/>
      <c r="O823" s="103">
        <f t="shared" si="1"/>
        <v>0</v>
      </c>
      <c r="P823" s="104">
        <f t="shared" si="2"/>
        <v>0</v>
      </c>
      <c r="Q823" s="147"/>
      <c r="R823" s="103"/>
      <c r="S823" s="103">
        <f t="shared" si="3"/>
        <v>0</v>
      </c>
      <c r="U823" s="107" t="str">
        <f t="shared" si="4"/>
        <v>0</v>
      </c>
    </row>
    <row r="824" ht="15.75" customHeight="1">
      <c r="A824" s="279"/>
      <c r="B824" s="280"/>
      <c r="C824" s="280"/>
      <c r="D824" s="280"/>
      <c r="E824" s="281"/>
      <c r="F824" s="281"/>
      <c r="G824" s="280"/>
      <c r="H824" s="282"/>
      <c r="I824" s="283"/>
      <c r="J824" s="280"/>
      <c r="K824" s="103"/>
      <c r="L824" s="146"/>
      <c r="M824" s="103"/>
      <c r="N824" s="103"/>
      <c r="O824" s="103">
        <f t="shared" si="1"/>
        <v>0</v>
      </c>
      <c r="P824" s="104">
        <f t="shared" si="2"/>
        <v>0</v>
      </c>
      <c r="Q824" s="147"/>
      <c r="R824" s="103"/>
      <c r="S824" s="103">
        <f t="shared" si="3"/>
        <v>0</v>
      </c>
      <c r="U824" s="107" t="str">
        <f t="shared" si="4"/>
        <v>0</v>
      </c>
    </row>
    <row r="825" ht="15.75" customHeight="1">
      <c r="A825" s="279"/>
      <c r="B825" s="280"/>
      <c r="C825" s="280"/>
      <c r="D825" s="280"/>
      <c r="E825" s="281"/>
      <c r="F825" s="281"/>
      <c r="G825" s="280"/>
      <c r="H825" s="282"/>
      <c r="I825" s="283"/>
      <c r="J825" s="280"/>
      <c r="K825" s="103"/>
      <c r="L825" s="146"/>
      <c r="M825" s="103"/>
      <c r="N825" s="103"/>
      <c r="O825" s="103">
        <f t="shared" si="1"/>
        <v>0</v>
      </c>
      <c r="P825" s="104">
        <f t="shared" si="2"/>
        <v>0</v>
      </c>
      <c r="Q825" s="147"/>
      <c r="R825" s="103"/>
      <c r="S825" s="103">
        <f t="shared" si="3"/>
        <v>0</v>
      </c>
      <c r="U825" s="107" t="str">
        <f t="shared" si="4"/>
        <v>0</v>
      </c>
    </row>
    <row r="826" ht="15.75" customHeight="1">
      <c r="A826" s="279"/>
      <c r="B826" s="280"/>
      <c r="C826" s="280"/>
      <c r="D826" s="280"/>
      <c r="E826" s="281"/>
      <c r="F826" s="281"/>
      <c r="G826" s="280"/>
      <c r="H826" s="282"/>
      <c r="I826" s="283"/>
      <c r="J826" s="280"/>
      <c r="K826" s="103"/>
      <c r="L826" s="146"/>
      <c r="M826" s="103"/>
      <c r="N826" s="103"/>
      <c r="O826" s="103">
        <f t="shared" si="1"/>
        <v>0</v>
      </c>
      <c r="P826" s="104">
        <f t="shared" si="2"/>
        <v>0</v>
      </c>
      <c r="Q826" s="147"/>
      <c r="R826" s="103"/>
      <c r="S826" s="103">
        <f t="shared" si="3"/>
        <v>0</v>
      </c>
      <c r="U826" s="107" t="str">
        <f t="shared" si="4"/>
        <v>0</v>
      </c>
    </row>
    <row r="827" ht="15.75" customHeight="1">
      <c r="A827" s="279"/>
      <c r="B827" s="280"/>
      <c r="C827" s="280"/>
      <c r="D827" s="280"/>
      <c r="E827" s="281"/>
      <c r="F827" s="281"/>
      <c r="G827" s="280"/>
      <c r="H827" s="282"/>
      <c r="I827" s="283"/>
      <c r="J827" s="280"/>
      <c r="K827" s="103"/>
      <c r="L827" s="146"/>
      <c r="M827" s="103"/>
      <c r="N827" s="103"/>
      <c r="O827" s="103">
        <f t="shared" si="1"/>
        <v>0</v>
      </c>
      <c r="P827" s="104">
        <f t="shared" si="2"/>
        <v>0</v>
      </c>
      <c r="Q827" s="147"/>
      <c r="R827" s="103"/>
      <c r="S827" s="103">
        <f t="shared" si="3"/>
        <v>0</v>
      </c>
      <c r="U827" s="107" t="str">
        <f t="shared" si="4"/>
        <v>0</v>
      </c>
    </row>
    <row r="828" ht="15.75" customHeight="1">
      <c r="A828" s="279"/>
      <c r="B828" s="280"/>
      <c r="C828" s="280"/>
      <c r="D828" s="280"/>
      <c r="E828" s="281"/>
      <c r="F828" s="281"/>
      <c r="G828" s="280"/>
      <c r="H828" s="282"/>
      <c r="I828" s="283"/>
      <c r="J828" s="280"/>
      <c r="K828" s="103"/>
      <c r="L828" s="146"/>
      <c r="M828" s="103"/>
      <c r="N828" s="103"/>
      <c r="O828" s="103">
        <f t="shared" si="1"/>
        <v>0</v>
      </c>
      <c r="P828" s="104">
        <f t="shared" si="2"/>
        <v>0</v>
      </c>
      <c r="Q828" s="147"/>
      <c r="R828" s="103"/>
      <c r="S828" s="103">
        <f t="shared" si="3"/>
        <v>0</v>
      </c>
      <c r="U828" s="107" t="str">
        <f t="shared" si="4"/>
        <v>0</v>
      </c>
    </row>
    <row r="829" ht="15.75" customHeight="1">
      <c r="A829" s="279"/>
      <c r="B829" s="280"/>
      <c r="C829" s="280"/>
      <c r="D829" s="280"/>
      <c r="E829" s="281"/>
      <c r="F829" s="281"/>
      <c r="G829" s="280"/>
      <c r="H829" s="282"/>
      <c r="I829" s="283"/>
      <c r="J829" s="280"/>
      <c r="K829" s="103"/>
      <c r="L829" s="146"/>
      <c r="M829" s="103"/>
      <c r="N829" s="103"/>
      <c r="O829" s="103">
        <f t="shared" si="1"/>
        <v>0</v>
      </c>
      <c r="P829" s="104">
        <f t="shared" si="2"/>
        <v>0</v>
      </c>
      <c r="Q829" s="147"/>
      <c r="R829" s="103"/>
      <c r="S829" s="103">
        <f t="shared" si="3"/>
        <v>0</v>
      </c>
      <c r="U829" s="107" t="str">
        <f t="shared" si="4"/>
        <v>0</v>
      </c>
    </row>
    <row r="830" ht="15.75" customHeight="1">
      <c r="A830" s="279"/>
      <c r="B830" s="280"/>
      <c r="C830" s="280"/>
      <c r="D830" s="280"/>
      <c r="E830" s="281"/>
      <c r="F830" s="281"/>
      <c r="G830" s="280"/>
      <c r="H830" s="282"/>
      <c r="I830" s="283"/>
      <c r="J830" s="280"/>
      <c r="K830" s="103"/>
      <c r="L830" s="146"/>
      <c r="M830" s="103"/>
      <c r="N830" s="103"/>
      <c r="O830" s="103">
        <f t="shared" si="1"/>
        <v>0</v>
      </c>
      <c r="P830" s="104">
        <f t="shared" si="2"/>
        <v>0</v>
      </c>
      <c r="Q830" s="147"/>
      <c r="R830" s="103"/>
      <c r="S830" s="103">
        <f t="shared" si="3"/>
        <v>0</v>
      </c>
      <c r="U830" s="107" t="str">
        <f t="shared" si="4"/>
        <v>0</v>
      </c>
    </row>
    <row r="831" ht="15.75" customHeight="1">
      <c r="A831" s="279"/>
      <c r="B831" s="280"/>
      <c r="C831" s="280"/>
      <c r="D831" s="280"/>
      <c r="E831" s="281"/>
      <c r="F831" s="281"/>
      <c r="G831" s="280"/>
      <c r="H831" s="282"/>
      <c r="I831" s="283"/>
      <c r="J831" s="280"/>
      <c r="K831" s="103"/>
      <c r="L831" s="146"/>
      <c r="M831" s="103"/>
      <c r="N831" s="103"/>
      <c r="O831" s="103">
        <f t="shared" si="1"/>
        <v>0</v>
      </c>
      <c r="P831" s="104">
        <f t="shared" si="2"/>
        <v>0</v>
      </c>
      <c r="Q831" s="147"/>
      <c r="R831" s="103"/>
      <c r="S831" s="103">
        <f t="shared" si="3"/>
        <v>0</v>
      </c>
      <c r="U831" s="107" t="str">
        <f t="shared" si="4"/>
        <v>0</v>
      </c>
    </row>
    <row r="832" ht="15.75" customHeight="1">
      <c r="A832" s="279"/>
      <c r="B832" s="280"/>
      <c r="C832" s="280"/>
      <c r="D832" s="280"/>
      <c r="E832" s="281"/>
      <c r="F832" s="281"/>
      <c r="G832" s="280"/>
      <c r="H832" s="282"/>
      <c r="I832" s="283"/>
      <c r="J832" s="280"/>
      <c r="K832" s="103"/>
      <c r="L832" s="146"/>
      <c r="M832" s="103"/>
      <c r="N832" s="103"/>
      <c r="O832" s="103">
        <f t="shared" si="1"/>
        <v>0</v>
      </c>
      <c r="P832" s="104">
        <f t="shared" si="2"/>
        <v>0</v>
      </c>
      <c r="Q832" s="147"/>
      <c r="R832" s="103"/>
      <c r="S832" s="103">
        <f t="shared" si="3"/>
        <v>0</v>
      </c>
      <c r="U832" s="107" t="str">
        <f t="shared" si="4"/>
        <v>0</v>
      </c>
    </row>
    <row r="833" ht="15.75" customHeight="1">
      <c r="A833" s="279"/>
      <c r="B833" s="280"/>
      <c r="C833" s="280"/>
      <c r="D833" s="280"/>
      <c r="E833" s="281"/>
      <c r="F833" s="281"/>
      <c r="G833" s="280"/>
      <c r="H833" s="282"/>
      <c r="I833" s="283"/>
      <c r="J833" s="280"/>
      <c r="K833" s="103"/>
      <c r="L833" s="146"/>
      <c r="M833" s="103"/>
      <c r="N833" s="103"/>
      <c r="O833" s="103">
        <f t="shared" si="1"/>
        <v>0</v>
      </c>
      <c r="P833" s="104">
        <f t="shared" si="2"/>
        <v>0</v>
      </c>
      <c r="Q833" s="147"/>
      <c r="R833" s="103"/>
      <c r="S833" s="103">
        <f t="shared" si="3"/>
        <v>0</v>
      </c>
      <c r="U833" s="107" t="str">
        <f t="shared" si="4"/>
        <v>0</v>
      </c>
    </row>
    <row r="834" ht="15.75" customHeight="1">
      <c r="A834" s="279"/>
      <c r="B834" s="280"/>
      <c r="C834" s="280"/>
      <c r="D834" s="280"/>
      <c r="E834" s="281"/>
      <c r="F834" s="281"/>
      <c r="G834" s="280"/>
      <c r="H834" s="282"/>
      <c r="I834" s="283"/>
      <c r="J834" s="280"/>
      <c r="K834" s="103"/>
      <c r="L834" s="146"/>
      <c r="M834" s="103"/>
      <c r="N834" s="103"/>
      <c r="O834" s="103">
        <f t="shared" si="1"/>
        <v>0</v>
      </c>
      <c r="P834" s="104">
        <f t="shared" si="2"/>
        <v>0</v>
      </c>
      <c r="Q834" s="147"/>
      <c r="R834" s="103"/>
      <c r="S834" s="103">
        <f t="shared" si="3"/>
        <v>0</v>
      </c>
      <c r="U834" s="107" t="str">
        <f t="shared" si="4"/>
        <v>0</v>
      </c>
    </row>
    <row r="835" ht="15.75" customHeight="1">
      <c r="A835" s="279"/>
      <c r="B835" s="280"/>
      <c r="C835" s="280"/>
      <c r="D835" s="280"/>
      <c r="E835" s="281"/>
      <c r="F835" s="281"/>
      <c r="G835" s="280"/>
      <c r="H835" s="282"/>
      <c r="I835" s="283"/>
      <c r="J835" s="280"/>
      <c r="K835" s="103"/>
      <c r="L835" s="146"/>
      <c r="M835" s="103"/>
      <c r="N835" s="103"/>
      <c r="O835" s="103">
        <f t="shared" si="1"/>
        <v>0</v>
      </c>
      <c r="P835" s="104">
        <f t="shared" si="2"/>
        <v>0</v>
      </c>
      <c r="Q835" s="147"/>
      <c r="R835" s="103"/>
      <c r="S835" s="103">
        <f t="shared" si="3"/>
        <v>0</v>
      </c>
      <c r="U835" s="107" t="str">
        <f t="shared" si="4"/>
        <v>0</v>
      </c>
    </row>
    <row r="836" ht="15.75" customHeight="1">
      <c r="A836" s="279"/>
      <c r="B836" s="280"/>
      <c r="C836" s="280"/>
      <c r="D836" s="280"/>
      <c r="E836" s="281"/>
      <c r="F836" s="281"/>
      <c r="G836" s="280"/>
      <c r="H836" s="282"/>
      <c r="I836" s="283"/>
      <c r="J836" s="280"/>
      <c r="K836" s="103"/>
      <c r="L836" s="146"/>
      <c r="M836" s="103"/>
      <c r="N836" s="103"/>
      <c r="O836" s="103">
        <f t="shared" si="1"/>
        <v>0</v>
      </c>
      <c r="P836" s="104">
        <f t="shared" si="2"/>
        <v>0</v>
      </c>
      <c r="Q836" s="147"/>
      <c r="R836" s="103"/>
      <c r="S836" s="103">
        <f t="shared" si="3"/>
        <v>0</v>
      </c>
      <c r="U836" s="107" t="str">
        <f t="shared" si="4"/>
        <v>0</v>
      </c>
    </row>
    <row r="837" ht="15.75" customHeight="1">
      <c r="A837" s="279"/>
      <c r="B837" s="280"/>
      <c r="C837" s="280"/>
      <c r="D837" s="280"/>
      <c r="E837" s="281"/>
      <c r="F837" s="281"/>
      <c r="G837" s="280"/>
      <c r="H837" s="282"/>
      <c r="I837" s="283"/>
      <c r="J837" s="280"/>
      <c r="K837" s="103"/>
      <c r="L837" s="146"/>
      <c r="M837" s="103"/>
      <c r="N837" s="103"/>
      <c r="O837" s="103">
        <f t="shared" si="1"/>
        <v>0</v>
      </c>
      <c r="P837" s="104">
        <f t="shared" si="2"/>
        <v>0</v>
      </c>
      <c r="Q837" s="147"/>
      <c r="R837" s="103"/>
      <c r="S837" s="103">
        <f t="shared" si="3"/>
        <v>0</v>
      </c>
      <c r="U837" s="107" t="str">
        <f t="shared" si="4"/>
        <v>0</v>
      </c>
    </row>
    <row r="838" ht="15.75" customHeight="1">
      <c r="A838" s="279"/>
      <c r="B838" s="280"/>
      <c r="C838" s="280"/>
      <c r="D838" s="280"/>
      <c r="E838" s="281"/>
      <c r="F838" s="281"/>
      <c r="G838" s="280"/>
      <c r="H838" s="282"/>
      <c r="I838" s="283"/>
      <c r="J838" s="280"/>
      <c r="K838" s="103"/>
      <c r="L838" s="146"/>
      <c r="M838" s="103"/>
      <c r="N838" s="103"/>
      <c r="O838" s="103">
        <f t="shared" si="1"/>
        <v>0</v>
      </c>
      <c r="P838" s="104">
        <f t="shared" si="2"/>
        <v>0</v>
      </c>
      <c r="Q838" s="147"/>
      <c r="R838" s="103"/>
      <c r="S838" s="103">
        <f t="shared" si="3"/>
        <v>0</v>
      </c>
      <c r="U838" s="107" t="str">
        <f t="shared" si="4"/>
        <v>0</v>
      </c>
    </row>
    <row r="839" ht="15.75" customHeight="1">
      <c r="A839" s="279"/>
      <c r="B839" s="280"/>
      <c r="C839" s="280"/>
      <c r="D839" s="280"/>
      <c r="E839" s="281"/>
      <c r="F839" s="281"/>
      <c r="G839" s="280"/>
      <c r="H839" s="282"/>
      <c r="I839" s="283"/>
      <c r="J839" s="280"/>
      <c r="K839" s="103"/>
      <c r="L839" s="146"/>
      <c r="M839" s="103"/>
      <c r="N839" s="103"/>
      <c r="O839" s="103">
        <f t="shared" si="1"/>
        <v>0</v>
      </c>
      <c r="P839" s="104">
        <f t="shared" si="2"/>
        <v>0</v>
      </c>
      <c r="Q839" s="147"/>
      <c r="R839" s="103"/>
      <c r="S839" s="103">
        <f t="shared" si="3"/>
        <v>0</v>
      </c>
      <c r="U839" s="107" t="str">
        <f t="shared" si="4"/>
        <v>0</v>
      </c>
    </row>
    <row r="840" ht="15.75" customHeight="1">
      <c r="A840" s="279"/>
      <c r="B840" s="280"/>
      <c r="C840" s="280"/>
      <c r="D840" s="280"/>
      <c r="E840" s="281"/>
      <c r="F840" s="281"/>
      <c r="G840" s="280"/>
      <c r="H840" s="282"/>
      <c r="I840" s="283"/>
      <c r="J840" s="280"/>
      <c r="K840" s="103"/>
      <c r="L840" s="146"/>
      <c r="M840" s="103"/>
      <c r="N840" s="103"/>
      <c r="O840" s="103">
        <f t="shared" si="1"/>
        <v>0</v>
      </c>
      <c r="P840" s="104">
        <f t="shared" si="2"/>
        <v>0</v>
      </c>
      <c r="Q840" s="147"/>
      <c r="R840" s="103"/>
      <c r="S840" s="103">
        <f t="shared" si="3"/>
        <v>0</v>
      </c>
      <c r="U840" s="107" t="str">
        <f t="shared" si="4"/>
        <v>0</v>
      </c>
    </row>
    <row r="841" ht="15.75" customHeight="1">
      <c r="A841" s="279"/>
      <c r="B841" s="280"/>
      <c r="C841" s="280"/>
      <c r="D841" s="280"/>
      <c r="E841" s="281"/>
      <c r="F841" s="281"/>
      <c r="G841" s="280"/>
      <c r="H841" s="282"/>
      <c r="I841" s="283"/>
      <c r="J841" s="280"/>
      <c r="K841" s="103"/>
      <c r="L841" s="146"/>
      <c r="M841" s="103"/>
      <c r="N841" s="103"/>
      <c r="O841" s="103">
        <f t="shared" si="1"/>
        <v>0</v>
      </c>
      <c r="P841" s="104">
        <f t="shared" si="2"/>
        <v>0</v>
      </c>
      <c r="Q841" s="147"/>
      <c r="R841" s="103"/>
      <c r="S841" s="103">
        <f t="shared" si="3"/>
        <v>0</v>
      </c>
      <c r="U841" s="107" t="str">
        <f t="shared" si="4"/>
        <v>0</v>
      </c>
    </row>
    <row r="842" ht="15.75" customHeight="1">
      <c r="A842" s="279"/>
      <c r="B842" s="280"/>
      <c r="C842" s="280"/>
      <c r="D842" s="280"/>
      <c r="E842" s="281"/>
      <c r="F842" s="281"/>
      <c r="G842" s="280"/>
      <c r="H842" s="282"/>
      <c r="I842" s="283"/>
      <c r="J842" s="280"/>
      <c r="K842" s="103"/>
      <c r="L842" s="146"/>
      <c r="M842" s="103"/>
      <c r="N842" s="103"/>
      <c r="O842" s="103">
        <f t="shared" si="1"/>
        <v>0</v>
      </c>
      <c r="P842" s="104">
        <f t="shared" si="2"/>
        <v>0</v>
      </c>
      <c r="Q842" s="147"/>
      <c r="R842" s="103"/>
      <c r="S842" s="103">
        <f t="shared" si="3"/>
        <v>0</v>
      </c>
      <c r="U842" s="107" t="str">
        <f t="shared" si="4"/>
        <v>0</v>
      </c>
    </row>
    <row r="843" ht="15.75" customHeight="1">
      <c r="A843" s="279"/>
      <c r="B843" s="280"/>
      <c r="C843" s="280"/>
      <c r="D843" s="280"/>
      <c r="E843" s="281"/>
      <c r="F843" s="281"/>
      <c r="G843" s="280"/>
      <c r="H843" s="282"/>
      <c r="I843" s="283"/>
      <c r="J843" s="280"/>
      <c r="K843" s="103"/>
      <c r="L843" s="146"/>
      <c r="M843" s="103"/>
      <c r="N843" s="103"/>
      <c r="O843" s="103">
        <f t="shared" si="1"/>
        <v>0</v>
      </c>
      <c r="P843" s="104">
        <f t="shared" si="2"/>
        <v>0</v>
      </c>
      <c r="Q843" s="147"/>
      <c r="R843" s="103"/>
      <c r="S843" s="103">
        <f t="shared" si="3"/>
        <v>0</v>
      </c>
      <c r="U843" s="107" t="str">
        <f t="shared" si="4"/>
        <v>0</v>
      </c>
    </row>
    <row r="844" ht="15.75" customHeight="1">
      <c r="A844" s="279"/>
      <c r="B844" s="280"/>
      <c r="C844" s="280"/>
      <c r="D844" s="280"/>
      <c r="E844" s="281"/>
      <c r="F844" s="281"/>
      <c r="G844" s="280"/>
      <c r="H844" s="282"/>
      <c r="I844" s="283"/>
      <c r="J844" s="280"/>
      <c r="K844" s="103"/>
      <c r="L844" s="146"/>
      <c r="M844" s="103"/>
      <c r="N844" s="103"/>
      <c r="O844" s="103">
        <f t="shared" si="1"/>
        <v>0</v>
      </c>
      <c r="P844" s="104">
        <f t="shared" si="2"/>
        <v>0</v>
      </c>
      <c r="Q844" s="147"/>
      <c r="R844" s="103"/>
      <c r="S844" s="103">
        <f t="shared" si="3"/>
        <v>0</v>
      </c>
      <c r="U844" s="107" t="str">
        <f t="shared" si="4"/>
        <v>0</v>
      </c>
    </row>
    <row r="845" ht="15.75" customHeight="1">
      <c r="A845" s="279"/>
      <c r="B845" s="280"/>
      <c r="C845" s="280"/>
      <c r="D845" s="280"/>
      <c r="E845" s="281"/>
      <c r="F845" s="281"/>
      <c r="G845" s="280"/>
      <c r="H845" s="282"/>
      <c r="I845" s="283"/>
      <c r="J845" s="280"/>
      <c r="K845" s="103"/>
      <c r="L845" s="146"/>
      <c r="M845" s="103"/>
      <c r="N845" s="103"/>
      <c r="O845" s="103">
        <f t="shared" si="1"/>
        <v>0</v>
      </c>
      <c r="P845" s="104">
        <f t="shared" si="2"/>
        <v>0</v>
      </c>
      <c r="Q845" s="147"/>
      <c r="R845" s="103"/>
      <c r="S845" s="103">
        <f t="shared" si="3"/>
        <v>0</v>
      </c>
      <c r="U845" s="107" t="str">
        <f t="shared" si="4"/>
        <v>0</v>
      </c>
    </row>
    <row r="846" ht="15.75" customHeight="1">
      <c r="A846" s="279"/>
      <c r="B846" s="280"/>
      <c r="C846" s="280"/>
      <c r="D846" s="280"/>
      <c r="E846" s="281"/>
      <c r="F846" s="281"/>
      <c r="G846" s="280"/>
      <c r="H846" s="282"/>
      <c r="I846" s="283"/>
      <c r="J846" s="280"/>
      <c r="K846" s="103"/>
      <c r="L846" s="146"/>
      <c r="M846" s="103"/>
      <c r="N846" s="103"/>
      <c r="O846" s="103">
        <f t="shared" si="1"/>
        <v>0</v>
      </c>
      <c r="P846" s="104">
        <f t="shared" si="2"/>
        <v>0</v>
      </c>
      <c r="Q846" s="147"/>
      <c r="R846" s="103"/>
      <c r="S846" s="103">
        <f t="shared" si="3"/>
        <v>0</v>
      </c>
      <c r="U846" s="107" t="str">
        <f t="shared" si="4"/>
        <v>0</v>
      </c>
    </row>
    <row r="847" ht="15.75" customHeight="1">
      <c r="A847" s="279"/>
      <c r="B847" s="280"/>
      <c r="C847" s="280"/>
      <c r="D847" s="280"/>
      <c r="E847" s="281"/>
      <c r="F847" s="281"/>
      <c r="G847" s="280"/>
      <c r="H847" s="282"/>
      <c r="I847" s="283"/>
      <c r="J847" s="280"/>
      <c r="K847" s="103"/>
      <c r="L847" s="146"/>
      <c r="M847" s="103"/>
      <c r="N847" s="103"/>
      <c r="O847" s="103">
        <f t="shared" si="1"/>
        <v>0</v>
      </c>
      <c r="P847" s="104">
        <f t="shared" si="2"/>
        <v>0</v>
      </c>
      <c r="Q847" s="147"/>
      <c r="R847" s="103"/>
      <c r="S847" s="103">
        <f t="shared" si="3"/>
        <v>0</v>
      </c>
      <c r="U847" s="107" t="str">
        <f t="shared" si="4"/>
        <v>0</v>
      </c>
    </row>
    <row r="848" ht="15.75" customHeight="1">
      <c r="A848" s="279"/>
      <c r="B848" s="280"/>
      <c r="C848" s="280"/>
      <c r="D848" s="280"/>
      <c r="E848" s="281"/>
      <c r="F848" s="281"/>
      <c r="G848" s="280"/>
      <c r="H848" s="282"/>
      <c r="I848" s="283"/>
      <c r="J848" s="280"/>
      <c r="K848" s="103"/>
      <c r="L848" s="146"/>
      <c r="M848" s="103"/>
      <c r="N848" s="103"/>
      <c r="O848" s="103">
        <f t="shared" si="1"/>
        <v>0</v>
      </c>
      <c r="P848" s="104">
        <f t="shared" si="2"/>
        <v>0</v>
      </c>
      <c r="Q848" s="147"/>
      <c r="R848" s="103"/>
      <c r="S848" s="103">
        <f t="shared" si="3"/>
        <v>0</v>
      </c>
      <c r="U848" s="107" t="str">
        <f t="shared" si="4"/>
        <v>0</v>
      </c>
    </row>
    <row r="849" ht="15.75" customHeight="1">
      <c r="A849" s="279"/>
      <c r="B849" s="280"/>
      <c r="C849" s="280"/>
      <c r="D849" s="280"/>
      <c r="E849" s="281"/>
      <c r="F849" s="281"/>
      <c r="G849" s="280"/>
      <c r="H849" s="282"/>
      <c r="I849" s="283"/>
      <c r="J849" s="280"/>
      <c r="K849" s="103"/>
      <c r="L849" s="146"/>
      <c r="M849" s="103"/>
      <c r="N849" s="103"/>
      <c r="O849" s="103">
        <f t="shared" si="1"/>
        <v>0</v>
      </c>
      <c r="P849" s="104">
        <f t="shared" si="2"/>
        <v>0</v>
      </c>
      <c r="Q849" s="147"/>
      <c r="R849" s="103"/>
      <c r="S849" s="103">
        <f t="shared" si="3"/>
        <v>0</v>
      </c>
      <c r="U849" s="107" t="str">
        <f t="shared" si="4"/>
        <v>0</v>
      </c>
    </row>
    <row r="850" ht="15.75" customHeight="1">
      <c r="A850" s="279"/>
      <c r="B850" s="280"/>
      <c r="C850" s="280"/>
      <c r="D850" s="280"/>
      <c r="E850" s="281"/>
      <c r="F850" s="281"/>
      <c r="G850" s="280"/>
      <c r="H850" s="282"/>
      <c r="I850" s="283"/>
      <c r="J850" s="280"/>
      <c r="K850" s="103"/>
      <c r="L850" s="146"/>
      <c r="M850" s="103"/>
      <c r="N850" s="103"/>
      <c r="O850" s="103">
        <f t="shared" si="1"/>
        <v>0</v>
      </c>
      <c r="P850" s="104">
        <f t="shared" si="2"/>
        <v>0</v>
      </c>
      <c r="Q850" s="147"/>
      <c r="R850" s="103"/>
      <c r="S850" s="103">
        <f t="shared" si="3"/>
        <v>0</v>
      </c>
      <c r="U850" s="107" t="str">
        <f t="shared" si="4"/>
        <v>0</v>
      </c>
    </row>
    <row r="851" ht="15.75" customHeight="1">
      <c r="A851" s="279"/>
      <c r="B851" s="280"/>
      <c r="C851" s="280"/>
      <c r="D851" s="280"/>
      <c r="E851" s="281"/>
      <c r="F851" s="281"/>
      <c r="G851" s="280"/>
      <c r="H851" s="282"/>
      <c r="I851" s="283"/>
      <c r="J851" s="280"/>
      <c r="K851" s="103"/>
      <c r="L851" s="146"/>
      <c r="M851" s="103"/>
      <c r="N851" s="103"/>
      <c r="O851" s="103">
        <f t="shared" si="1"/>
        <v>0</v>
      </c>
      <c r="P851" s="104">
        <f t="shared" si="2"/>
        <v>0</v>
      </c>
      <c r="Q851" s="147"/>
      <c r="R851" s="103"/>
      <c r="S851" s="103">
        <f t="shared" si="3"/>
        <v>0</v>
      </c>
      <c r="U851" s="107" t="str">
        <f t="shared" si="4"/>
        <v>0</v>
      </c>
    </row>
    <row r="852" ht="15.75" customHeight="1">
      <c r="A852" s="279"/>
      <c r="B852" s="280"/>
      <c r="C852" s="280"/>
      <c r="D852" s="280"/>
      <c r="E852" s="281"/>
      <c r="F852" s="281"/>
      <c r="G852" s="280"/>
      <c r="H852" s="282"/>
      <c r="I852" s="283"/>
      <c r="J852" s="280"/>
      <c r="K852" s="103"/>
      <c r="L852" s="146"/>
      <c r="M852" s="103"/>
      <c r="N852" s="103"/>
      <c r="O852" s="103">
        <f t="shared" si="1"/>
        <v>0</v>
      </c>
      <c r="P852" s="104">
        <f t="shared" si="2"/>
        <v>0</v>
      </c>
      <c r="Q852" s="147"/>
      <c r="R852" s="103"/>
      <c r="S852" s="103">
        <f t="shared" si="3"/>
        <v>0</v>
      </c>
      <c r="U852" s="107" t="str">
        <f t="shared" si="4"/>
        <v>0</v>
      </c>
    </row>
    <row r="853" ht="15.75" customHeight="1">
      <c r="A853" s="279"/>
      <c r="B853" s="280"/>
      <c r="C853" s="280"/>
      <c r="D853" s="280"/>
      <c r="E853" s="281"/>
      <c r="F853" s="281"/>
      <c r="G853" s="280"/>
      <c r="H853" s="282"/>
      <c r="I853" s="283"/>
      <c r="J853" s="280"/>
      <c r="K853" s="103"/>
      <c r="L853" s="146"/>
      <c r="M853" s="103"/>
      <c r="N853" s="103"/>
      <c r="O853" s="103">
        <f t="shared" si="1"/>
        <v>0</v>
      </c>
      <c r="P853" s="104">
        <f t="shared" si="2"/>
        <v>0</v>
      </c>
      <c r="Q853" s="147"/>
      <c r="R853" s="103"/>
      <c r="S853" s="103">
        <f t="shared" si="3"/>
        <v>0</v>
      </c>
      <c r="U853" s="107" t="str">
        <f t="shared" si="4"/>
        <v>0</v>
      </c>
    </row>
    <row r="854" ht="15.75" customHeight="1">
      <c r="A854" s="279"/>
      <c r="B854" s="280"/>
      <c r="C854" s="280"/>
      <c r="D854" s="280"/>
      <c r="E854" s="281"/>
      <c r="F854" s="281"/>
      <c r="G854" s="280"/>
      <c r="H854" s="282"/>
      <c r="I854" s="283"/>
      <c r="J854" s="280"/>
      <c r="K854" s="103"/>
      <c r="L854" s="146"/>
      <c r="M854" s="103"/>
      <c r="N854" s="103"/>
      <c r="O854" s="103">
        <f t="shared" si="1"/>
        <v>0</v>
      </c>
      <c r="P854" s="104">
        <f t="shared" si="2"/>
        <v>0</v>
      </c>
      <c r="Q854" s="147"/>
      <c r="R854" s="103"/>
      <c r="S854" s="103">
        <f t="shared" si="3"/>
        <v>0</v>
      </c>
      <c r="U854" s="107" t="str">
        <f t="shared" si="4"/>
        <v>0</v>
      </c>
    </row>
    <row r="855" ht="15.75" customHeight="1">
      <c r="A855" s="279"/>
      <c r="B855" s="280"/>
      <c r="C855" s="280"/>
      <c r="D855" s="280"/>
      <c r="E855" s="281"/>
      <c r="F855" s="281"/>
      <c r="G855" s="280"/>
      <c r="H855" s="282"/>
      <c r="I855" s="283"/>
      <c r="J855" s="280"/>
      <c r="K855" s="103"/>
      <c r="L855" s="146"/>
      <c r="M855" s="103"/>
      <c r="N855" s="103"/>
      <c r="O855" s="103">
        <f t="shared" si="1"/>
        <v>0</v>
      </c>
      <c r="P855" s="104">
        <f t="shared" si="2"/>
        <v>0</v>
      </c>
      <c r="Q855" s="147"/>
      <c r="R855" s="103"/>
      <c r="S855" s="103">
        <f t="shared" si="3"/>
        <v>0</v>
      </c>
      <c r="U855" s="107" t="str">
        <f t="shared" si="4"/>
        <v>0</v>
      </c>
    </row>
    <row r="856" ht="15.75" customHeight="1">
      <c r="A856" s="279"/>
      <c r="B856" s="280"/>
      <c r="C856" s="280"/>
      <c r="D856" s="280"/>
      <c r="E856" s="281"/>
      <c r="F856" s="281"/>
      <c r="G856" s="280"/>
      <c r="H856" s="282"/>
      <c r="I856" s="283"/>
      <c r="J856" s="280"/>
      <c r="K856" s="103"/>
      <c r="L856" s="146"/>
      <c r="M856" s="103"/>
      <c r="N856" s="103"/>
      <c r="O856" s="103">
        <f t="shared" si="1"/>
        <v>0</v>
      </c>
      <c r="P856" s="104">
        <f t="shared" si="2"/>
        <v>0</v>
      </c>
      <c r="Q856" s="147"/>
      <c r="R856" s="103"/>
      <c r="S856" s="103">
        <f t="shared" si="3"/>
        <v>0</v>
      </c>
      <c r="U856" s="107" t="str">
        <f t="shared" si="4"/>
        <v>0</v>
      </c>
    </row>
    <row r="857" ht="15.75" customHeight="1">
      <c r="A857" s="279"/>
      <c r="B857" s="280"/>
      <c r="C857" s="280"/>
      <c r="D857" s="280"/>
      <c r="E857" s="281"/>
      <c r="F857" s="281"/>
      <c r="G857" s="280"/>
      <c r="H857" s="282"/>
      <c r="I857" s="283"/>
      <c r="J857" s="280"/>
      <c r="K857" s="103"/>
      <c r="L857" s="146"/>
      <c r="M857" s="103"/>
      <c r="N857" s="103"/>
      <c r="O857" s="103">
        <f t="shared" si="1"/>
        <v>0</v>
      </c>
      <c r="P857" s="104">
        <f t="shared" si="2"/>
        <v>0</v>
      </c>
      <c r="Q857" s="147"/>
      <c r="R857" s="103"/>
      <c r="S857" s="103">
        <f t="shared" si="3"/>
        <v>0</v>
      </c>
      <c r="U857" s="107" t="str">
        <f t="shared" si="4"/>
        <v>0</v>
      </c>
    </row>
    <row r="858" ht="15.75" customHeight="1">
      <c r="A858" s="279"/>
      <c r="B858" s="280"/>
      <c r="C858" s="280"/>
      <c r="D858" s="280"/>
      <c r="E858" s="281"/>
      <c r="F858" s="281"/>
      <c r="G858" s="280"/>
      <c r="H858" s="282"/>
      <c r="I858" s="283"/>
      <c r="J858" s="280"/>
      <c r="K858" s="103"/>
      <c r="L858" s="146"/>
      <c r="M858" s="103"/>
      <c r="N858" s="103"/>
      <c r="O858" s="103">
        <f t="shared" si="1"/>
        <v>0</v>
      </c>
      <c r="P858" s="104">
        <f t="shared" si="2"/>
        <v>0</v>
      </c>
      <c r="Q858" s="147"/>
      <c r="R858" s="103"/>
      <c r="S858" s="103">
        <f t="shared" si="3"/>
        <v>0</v>
      </c>
      <c r="U858" s="107" t="str">
        <f t="shared" si="4"/>
        <v>0</v>
      </c>
    </row>
    <row r="859" ht="15.75" customHeight="1">
      <c r="A859" s="279"/>
      <c r="B859" s="280"/>
      <c r="C859" s="280"/>
      <c r="D859" s="280"/>
      <c r="E859" s="281"/>
      <c r="F859" s="281"/>
      <c r="G859" s="280"/>
      <c r="H859" s="282"/>
      <c r="I859" s="283"/>
      <c r="J859" s="280"/>
      <c r="K859" s="103"/>
      <c r="L859" s="146"/>
      <c r="M859" s="103"/>
      <c r="N859" s="103"/>
      <c r="O859" s="103">
        <f t="shared" si="1"/>
        <v>0</v>
      </c>
      <c r="P859" s="104">
        <f t="shared" si="2"/>
        <v>0</v>
      </c>
      <c r="Q859" s="147"/>
      <c r="R859" s="103"/>
      <c r="S859" s="103">
        <f t="shared" si="3"/>
        <v>0</v>
      </c>
      <c r="U859" s="107" t="str">
        <f t="shared" si="4"/>
        <v>0</v>
      </c>
    </row>
    <row r="860" ht="15.75" customHeight="1">
      <c r="A860" s="279"/>
      <c r="B860" s="280"/>
      <c r="C860" s="280"/>
      <c r="D860" s="280"/>
      <c r="E860" s="281"/>
      <c r="F860" s="281"/>
      <c r="G860" s="280"/>
      <c r="H860" s="282"/>
      <c r="I860" s="283"/>
      <c r="J860" s="280"/>
      <c r="K860" s="103"/>
      <c r="L860" s="146"/>
      <c r="M860" s="103"/>
      <c r="N860" s="103"/>
      <c r="O860" s="103">
        <f t="shared" si="1"/>
        <v>0</v>
      </c>
      <c r="P860" s="104">
        <f t="shared" si="2"/>
        <v>0</v>
      </c>
      <c r="Q860" s="147"/>
      <c r="R860" s="103"/>
      <c r="S860" s="103">
        <f t="shared" si="3"/>
        <v>0</v>
      </c>
      <c r="U860" s="107" t="str">
        <f t="shared" si="4"/>
        <v>0</v>
      </c>
    </row>
    <row r="861" ht="15.75" customHeight="1">
      <c r="A861" s="279"/>
      <c r="B861" s="280"/>
      <c r="C861" s="280"/>
      <c r="D861" s="280"/>
      <c r="E861" s="281"/>
      <c r="F861" s="281"/>
      <c r="G861" s="280"/>
      <c r="H861" s="282"/>
      <c r="I861" s="283"/>
      <c r="J861" s="280"/>
      <c r="K861" s="103"/>
      <c r="L861" s="146"/>
      <c r="M861" s="103"/>
      <c r="N861" s="103"/>
      <c r="O861" s="103">
        <f t="shared" si="1"/>
        <v>0</v>
      </c>
      <c r="P861" s="104">
        <f t="shared" si="2"/>
        <v>0</v>
      </c>
      <c r="Q861" s="147"/>
      <c r="R861" s="103"/>
      <c r="S861" s="103">
        <f t="shared" si="3"/>
        <v>0</v>
      </c>
      <c r="U861" s="107" t="str">
        <f t="shared" si="4"/>
        <v>0</v>
      </c>
    </row>
    <row r="862" ht="15.75" customHeight="1">
      <c r="A862" s="279"/>
      <c r="B862" s="280"/>
      <c r="C862" s="280"/>
      <c r="D862" s="280"/>
      <c r="E862" s="281"/>
      <c r="F862" s="281"/>
      <c r="G862" s="280"/>
      <c r="H862" s="282"/>
      <c r="I862" s="283"/>
      <c r="J862" s="280"/>
      <c r="K862" s="103"/>
      <c r="L862" s="146"/>
      <c r="M862" s="103"/>
      <c r="N862" s="103"/>
      <c r="O862" s="103">
        <f t="shared" si="1"/>
        <v>0</v>
      </c>
      <c r="P862" s="104">
        <f t="shared" si="2"/>
        <v>0</v>
      </c>
      <c r="Q862" s="147"/>
      <c r="R862" s="103"/>
      <c r="S862" s="103">
        <f t="shared" si="3"/>
        <v>0</v>
      </c>
      <c r="U862" s="107" t="str">
        <f t="shared" si="4"/>
        <v>0</v>
      </c>
    </row>
    <row r="863" ht="15.75" customHeight="1">
      <c r="A863" s="279"/>
      <c r="B863" s="280"/>
      <c r="C863" s="280"/>
      <c r="D863" s="280"/>
      <c r="E863" s="281"/>
      <c r="F863" s="281"/>
      <c r="G863" s="280"/>
      <c r="H863" s="282"/>
      <c r="I863" s="283"/>
      <c r="J863" s="280"/>
      <c r="K863" s="103"/>
      <c r="L863" s="146"/>
      <c r="M863" s="103"/>
      <c r="N863" s="103"/>
      <c r="O863" s="103">
        <f t="shared" si="1"/>
        <v>0</v>
      </c>
      <c r="P863" s="104">
        <f t="shared" si="2"/>
        <v>0</v>
      </c>
      <c r="Q863" s="147"/>
      <c r="R863" s="103"/>
      <c r="S863" s="103">
        <f t="shared" si="3"/>
        <v>0</v>
      </c>
      <c r="U863" s="107" t="str">
        <f t="shared" si="4"/>
        <v>0</v>
      </c>
    </row>
    <row r="864" ht="15.75" customHeight="1">
      <c r="A864" s="279"/>
      <c r="B864" s="280"/>
      <c r="C864" s="280"/>
      <c r="D864" s="280"/>
      <c r="E864" s="281"/>
      <c r="F864" s="281"/>
      <c r="G864" s="280"/>
      <c r="H864" s="282"/>
      <c r="I864" s="283"/>
      <c r="J864" s="280"/>
      <c r="K864" s="103"/>
      <c r="L864" s="146"/>
      <c r="M864" s="103"/>
      <c r="N864" s="103"/>
      <c r="O864" s="103">
        <f t="shared" si="1"/>
        <v>0</v>
      </c>
      <c r="P864" s="104">
        <f t="shared" si="2"/>
        <v>0</v>
      </c>
      <c r="Q864" s="147"/>
      <c r="R864" s="103"/>
      <c r="S864" s="103">
        <f t="shared" si="3"/>
        <v>0</v>
      </c>
      <c r="U864" s="107" t="str">
        <f t="shared" si="4"/>
        <v>0</v>
      </c>
    </row>
    <row r="865" ht="15.75" customHeight="1">
      <c r="A865" s="279"/>
      <c r="B865" s="280"/>
      <c r="C865" s="280"/>
      <c r="D865" s="280"/>
      <c r="E865" s="281"/>
      <c r="F865" s="281"/>
      <c r="G865" s="280"/>
      <c r="H865" s="282"/>
      <c r="I865" s="283"/>
      <c r="J865" s="280"/>
      <c r="K865" s="103"/>
      <c r="L865" s="146"/>
      <c r="M865" s="103"/>
      <c r="N865" s="103"/>
      <c r="O865" s="103">
        <f t="shared" si="1"/>
        <v>0</v>
      </c>
      <c r="P865" s="104">
        <f t="shared" si="2"/>
        <v>0</v>
      </c>
      <c r="Q865" s="147"/>
      <c r="R865" s="103"/>
      <c r="S865" s="103">
        <f t="shared" si="3"/>
        <v>0</v>
      </c>
      <c r="U865" s="107" t="str">
        <f t="shared" si="4"/>
        <v>0</v>
      </c>
    </row>
    <row r="866" ht="15.75" customHeight="1">
      <c r="A866" s="279"/>
      <c r="B866" s="280"/>
      <c r="C866" s="280"/>
      <c r="D866" s="280"/>
      <c r="E866" s="281"/>
      <c r="F866" s="281"/>
      <c r="G866" s="280"/>
      <c r="H866" s="282"/>
      <c r="I866" s="283"/>
      <c r="J866" s="280"/>
      <c r="K866" s="103"/>
      <c r="L866" s="146"/>
      <c r="M866" s="103"/>
      <c r="N866" s="103"/>
      <c r="O866" s="103">
        <f t="shared" si="1"/>
        <v>0</v>
      </c>
      <c r="P866" s="104">
        <f t="shared" si="2"/>
        <v>0</v>
      </c>
      <c r="Q866" s="147"/>
      <c r="R866" s="103"/>
      <c r="S866" s="103">
        <f t="shared" si="3"/>
        <v>0</v>
      </c>
      <c r="U866" s="107" t="str">
        <f t="shared" si="4"/>
        <v>0</v>
      </c>
    </row>
    <row r="867" ht="15.75" customHeight="1">
      <c r="A867" s="279"/>
      <c r="B867" s="280"/>
      <c r="C867" s="280"/>
      <c r="D867" s="280"/>
      <c r="E867" s="281"/>
      <c r="F867" s="281"/>
      <c r="G867" s="280"/>
      <c r="H867" s="282"/>
      <c r="I867" s="283"/>
      <c r="J867" s="280"/>
      <c r="K867" s="103"/>
      <c r="L867" s="146"/>
      <c r="M867" s="103"/>
      <c r="N867" s="103"/>
      <c r="O867" s="103">
        <f t="shared" si="1"/>
        <v>0</v>
      </c>
      <c r="P867" s="104">
        <f t="shared" si="2"/>
        <v>0</v>
      </c>
      <c r="Q867" s="147"/>
      <c r="R867" s="103"/>
      <c r="S867" s="103">
        <f t="shared" si="3"/>
        <v>0</v>
      </c>
      <c r="U867" s="107" t="str">
        <f t="shared" si="4"/>
        <v>0</v>
      </c>
    </row>
    <row r="868" ht="15.75" customHeight="1">
      <c r="A868" s="279"/>
      <c r="B868" s="280"/>
      <c r="C868" s="280"/>
      <c r="D868" s="280"/>
      <c r="E868" s="281"/>
      <c r="F868" s="281"/>
      <c r="G868" s="280"/>
      <c r="H868" s="282"/>
      <c r="I868" s="283"/>
      <c r="J868" s="280"/>
      <c r="K868" s="103"/>
      <c r="L868" s="146"/>
      <c r="M868" s="103"/>
      <c r="N868" s="103"/>
      <c r="O868" s="103">
        <f t="shared" si="1"/>
        <v>0</v>
      </c>
      <c r="P868" s="104">
        <f t="shared" si="2"/>
        <v>0</v>
      </c>
      <c r="Q868" s="147"/>
      <c r="R868" s="103"/>
      <c r="S868" s="103">
        <f t="shared" si="3"/>
        <v>0</v>
      </c>
      <c r="U868" s="107" t="str">
        <f t="shared" si="4"/>
        <v>0</v>
      </c>
    </row>
    <row r="869" ht="15.75" customHeight="1">
      <c r="A869" s="279"/>
      <c r="B869" s="280"/>
      <c r="C869" s="280"/>
      <c r="D869" s="280"/>
      <c r="E869" s="281"/>
      <c r="F869" s="281"/>
      <c r="G869" s="280"/>
      <c r="H869" s="282"/>
      <c r="I869" s="283"/>
      <c r="J869" s="280"/>
      <c r="K869" s="103"/>
      <c r="L869" s="146"/>
      <c r="M869" s="103"/>
      <c r="N869" s="103"/>
      <c r="O869" s="103">
        <f t="shared" si="1"/>
        <v>0</v>
      </c>
      <c r="P869" s="104">
        <f t="shared" si="2"/>
        <v>0</v>
      </c>
      <c r="Q869" s="147"/>
      <c r="R869" s="103"/>
      <c r="S869" s="103">
        <f t="shared" si="3"/>
        <v>0</v>
      </c>
      <c r="U869" s="107" t="str">
        <f t="shared" si="4"/>
        <v>0</v>
      </c>
    </row>
    <row r="870" ht="15.75" customHeight="1">
      <c r="A870" s="279"/>
      <c r="B870" s="280"/>
      <c r="C870" s="280"/>
      <c r="D870" s="280"/>
      <c r="E870" s="281"/>
      <c r="F870" s="281"/>
      <c r="G870" s="280"/>
      <c r="H870" s="282"/>
      <c r="I870" s="283"/>
      <c r="J870" s="280"/>
      <c r="K870" s="103"/>
      <c r="L870" s="146"/>
      <c r="M870" s="103"/>
      <c r="N870" s="103"/>
      <c r="O870" s="103">
        <f t="shared" si="1"/>
        <v>0</v>
      </c>
      <c r="P870" s="104">
        <f t="shared" si="2"/>
        <v>0</v>
      </c>
      <c r="Q870" s="147"/>
      <c r="R870" s="103"/>
      <c r="S870" s="103">
        <f t="shared" si="3"/>
        <v>0</v>
      </c>
      <c r="U870" s="107" t="str">
        <f t="shared" si="4"/>
        <v>0</v>
      </c>
    </row>
    <row r="871" ht="15.75" customHeight="1">
      <c r="A871" s="279"/>
      <c r="B871" s="280"/>
      <c r="C871" s="280"/>
      <c r="D871" s="280"/>
      <c r="E871" s="281"/>
      <c r="F871" s="281"/>
      <c r="G871" s="280"/>
      <c r="H871" s="282"/>
      <c r="I871" s="283"/>
      <c r="J871" s="280"/>
      <c r="K871" s="103"/>
      <c r="L871" s="146"/>
      <c r="M871" s="103"/>
      <c r="N871" s="103"/>
      <c r="O871" s="103">
        <f t="shared" si="1"/>
        <v>0</v>
      </c>
      <c r="P871" s="104">
        <f t="shared" si="2"/>
        <v>0</v>
      </c>
      <c r="Q871" s="147"/>
      <c r="R871" s="103"/>
      <c r="S871" s="103">
        <f t="shared" si="3"/>
        <v>0</v>
      </c>
      <c r="U871" s="107" t="str">
        <f t="shared" si="4"/>
        <v>0</v>
      </c>
    </row>
    <row r="872" ht="15.75" customHeight="1">
      <c r="A872" s="279"/>
      <c r="B872" s="280"/>
      <c r="C872" s="280"/>
      <c r="D872" s="280"/>
      <c r="E872" s="281"/>
      <c r="F872" s="281"/>
      <c r="G872" s="280"/>
      <c r="H872" s="282"/>
      <c r="I872" s="283"/>
      <c r="J872" s="280"/>
      <c r="K872" s="103"/>
      <c r="L872" s="146"/>
      <c r="M872" s="103"/>
      <c r="N872" s="103"/>
      <c r="O872" s="103">
        <f t="shared" si="1"/>
        <v>0</v>
      </c>
      <c r="P872" s="104">
        <f t="shared" si="2"/>
        <v>0</v>
      </c>
      <c r="Q872" s="147"/>
      <c r="R872" s="103"/>
      <c r="S872" s="103">
        <f t="shared" si="3"/>
        <v>0</v>
      </c>
      <c r="U872" s="107" t="str">
        <f t="shared" si="4"/>
        <v>0</v>
      </c>
    </row>
    <row r="873" ht="15.75" customHeight="1">
      <c r="A873" s="279"/>
      <c r="B873" s="280"/>
      <c r="C873" s="280"/>
      <c r="D873" s="280"/>
      <c r="E873" s="281"/>
      <c r="F873" s="281"/>
      <c r="G873" s="280"/>
      <c r="H873" s="282"/>
      <c r="I873" s="283"/>
      <c r="J873" s="280"/>
      <c r="K873" s="103"/>
      <c r="L873" s="146"/>
      <c r="M873" s="103"/>
      <c r="N873" s="103"/>
      <c r="O873" s="103">
        <f t="shared" si="1"/>
        <v>0</v>
      </c>
      <c r="P873" s="104">
        <f t="shared" si="2"/>
        <v>0</v>
      </c>
      <c r="Q873" s="147"/>
      <c r="R873" s="103"/>
      <c r="S873" s="103">
        <f t="shared" si="3"/>
        <v>0</v>
      </c>
      <c r="U873" s="107" t="str">
        <f t="shared" si="4"/>
        <v>0</v>
      </c>
    </row>
    <row r="874" ht="15.75" customHeight="1">
      <c r="A874" s="279"/>
      <c r="B874" s="280"/>
      <c r="C874" s="280"/>
      <c r="D874" s="280"/>
      <c r="E874" s="281"/>
      <c r="F874" s="281"/>
      <c r="G874" s="280"/>
      <c r="H874" s="282"/>
      <c r="I874" s="283"/>
      <c r="J874" s="280"/>
      <c r="K874" s="103"/>
      <c r="L874" s="146"/>
      <c r="M874" s="103"/>
      <c r="N874" s="103"/>
      <c r="O874" s="103">
        <f t="shared" si="1"/>
        <v>0</v>
      </c>
      <c r="P874" s="104">
        <f t="shared" si="2"/>
        <v>0</v>
      </c>
      <c r="Q874" s="147"/>
      <c r="R874" s="103"/>
      <c r="S874" s="103">
        <f t="shared" si="3"/>
        <v>0</v>
      </c>
      <c r="U874" s="107" t="str">
        <f t="shared" si="4"/>
        <v>0</v>
      </c>
    </row>
    <row r="875" ht="15.75" customHeight="1">
      <c r="A875" s="279"/>
      <c r="B875" s="280"/>
      <c r="C875" s="280"/>
      <c r="D875" s="280"/>
      <c r="E875" s="281"/>
      <c r="F875" s="281"/>
      <c r="G875" s="280"/>
      <c r="H875" s="282"/>
      <c r="I875" s="283"/>
      <c r="J875" s="280"/>
      <c r="K875" s="103"/>
      <c r="L875" s="146"/>
      <c r="M875" s="103"/>
      <c r="N875" s="103"/>
      <c r="O875" s="103">
        <f t="shared" si="1"/>
        <v>0</v>
      </c>
      <c r="P875" s="104">
        <f t="shared" si="2"/>
        <v>0</v>
      </c>
      <c r="Q875" s="147"/>
      <c r="R875" s="103"/>
      <c r="S875" s="103">
        <f t="shared" si="3"/>
        <v>0</v>
      </c>
      <c r="U875" s="107" t="str">
        <f t="shared" si="4"/>
        <v>0</v>
      </c>
    </row>
    <row r="876" ht="15.75" customHeight="1">
      <c r="A876" s="279"/>
      <c r="B876" s="280"/>
      <c r="C876" s="280"/>
      <c r="D876" s="280"/>
      <c r="E876" s="281"/>
      <c r="F876" s="281"/>
      <c r="G876" s="280"/>
      <c r="H876" s="282"/>
      <c r="I876" s="283"/>
      <c r="J876" s="280"/>
      <c r="K876" s="103"/>
      <c r="L876" s="146"/>
      <c r="M876" s="103"/>
      <c r="N876" s="103"/>
      <c r="O876" s="103">
        <f t="shared" si="1"/>
        <v>0</v>
      </c>
      <c r="P876" s="104">
        <f t="shared" si="2"/>
        <v>0</v>
      </c>
      <c r="Q876" s="147"/>
      <c r="R876" s="103"/>
      <c r="S876" s="103">
        <f t="shared" si="3"/>
        <v>0</v>
      </c>
      <c r="U876" s="107" t="str">
        <f t="shared" si="4"/>
        <v>0</v>
      </c>
    </row>
    <row r="877" ht="15.75" customHeight="1">
      <c r="A877" s="279"/>
      <c r="B877" s="280"/>
      <c r="C877" s="280"/>
      <c r="D877" s="280"/>
      <c r="E877" s="281"/>
      <c r="F877" s="281"/>
      <c r="G877" s="280"/>
      <c r="H877" s="282"/>
      <c r="I877" s="283"/>
      <c r="J877" s="280"/>
      <c r="K877" s="103"/>
      <c r="L877" s="146"/>
      <c r="M877" s="103"/>
      <c r="N877" s="103"/>
      <c r="O877" s="103">
        <f t="shared" si="1"/>
        <v>0</v>
      </c>
      <c r="P877" s="104">
        <f t="shared" si="2"/>
        <v>0</v>
      </c>
      <c r="Q877" s="147"/>
      <c r="R877" s="103"/>
      <c r="S877" s="103">
        <f t="shared" si="3"/>
        <v>0</v>
      </c>
      <c r="U877" s="107" t="str">
        <f t="shared" si="4"/>
        <v>0</v>
      </c>
    </row>
    <row r="878" ht="15.75" customHeight="1">
      <c r="A878" s="279"/>
      <c r="B878" s="280"/>
      <c r="C878" s="280"/>
      <c r="D878" s="280"/>
      <c r="E878" s="281"/>
      <c r="F878" s="281"/>
      <c r="G878" s="280"/>
      <c r="H878" s="282"/>
      <c r="I878" s="283"/>
      <c r="J878" s="280"/>
      <c r="K878" s="103"/>
      <c r="L878" s="146"/>
      <c r="M878" s="103"/>
      <c r="N878" s="103"/>
      <c r="O878" s="103">
        <f t="shared" si="1"/>
        <v>0</v>
      </c>
      <c r="P878" s="104">
        <f t="shared" si="2"/>
        <v>0</v>
      </c>
      <c r="Q878" s="147"/>
      <c r="R878" s="103"/>
      <c r="S878" s="103">
        <f t="shared" si="3"/>
        <v>0</v>
      </c>
      <c r="U878" s="107" t="str">
        <f t="shared" si="4"/>
        <v>0</v>
      </c>
    </row>
    <row r="879" ht="15.75" customHeight="1">
      <c r="A879" s="279"/>
      <c r="B879" s="280"/>
      <c r="C879" s="280"/>
      <c r="D879" s="280"/>
      <c r="E879" s="281"/>
      <c r="F879" s="281"/>
      <c r="G879" s="280"/>
      <c r="H879" s="282"/>
      <c r="I879" s="283"/>
      <c r="J879" s="280"/>
      <c r="K879" s="103"/>
      <c r="L879" s="146"/>
      <c r="M879" s="103"/>
      <c r="N879" s="103"/>
      <c r="O879" s="103">
        <f t="shared" si="1"/>
        <v>0</v>
      </c>
      <c r="P879" s="104">
        <f t="shared" si="2"/>
        <v>0</v>
      </c>
      <c r="Q879" s="147"/>
      <c r="R879" s="103"/>
      <c r="S879" s="103">
        <f t="shared" si="3"/>
        <v>0</v>
      </c>
      <c r="U879" s="107" t="str">
        <f t="shared" si="4"/>
        <v>0</v>
      </c>
    </row>
    <row r="880" ht="15.75" customHeight="1">
      <c r="A880" s="279"/>
      <c r="B880" s="280"/>
      <c r="C880" s="280"/>
      <c r="D880" s="280"/>
      <c r="E880" s="281"/>
      <c r="F880" s="281"/>
      <c r="G880" s="280"/>
      <c r="H880" s="282"/>
      <c r="I880" s="283"/>
      <c r="J880" s="280"/>
      <c r="K880" s="103"/>
      <c r="L880" s="146"/>
      <c r="M880" s="103"/>
      <c r="N880" s="103"/>
      <c r="O880" s="103">
        <f t="shared" si="1"/>
        <v>0</v>
      </c>
      <c r="P880" s="104">
        <f t="shared" si="2"/>
        <v>0</v>
      </c>
      <c r="Q880" s="147"/>
      <c r="R880" s="103"/>
      <c r="S880" s="103">
        <f t="shared" si="3"/>
        <v>0</v>
      </c>
      <c r="U880" s="107" t="str">
        <f t="shared" si="4"/>
        <v>0</v>
      </c>
    </row>
    <row r="881" ht="15.75" customHeight="1">
      <c r="A881" s="279"/>
      <c r="B881" s="280"/>
      <c r="C881" s="280"/>
      <c r="D881" s="280"/>
      <c r="E881" s="281"/>
      <c r="F881" s="281"/>
      <c r="G881" s="280"/>
      <c r="H881" s="282"/>
      <c r="I881" s="283"/>
      <c r="J881" s="280"/>
      <c r="K881" s="103"/>
      <c r="L881" s="146"/>
      <c r="M881" s="103"/>
      <c r="N881" s="103"/>
      <c r="O881" s="103">
        <f t="shared" si="1"/>
        <v>0</v>
      </c>
      <c r="P881" s="104">
        <f t="shared" si="2"/>
        <v>0</v>
      </c>
      <c r="Q881" s="147"/>
      <c r="R881" s="103"/>
      <c r="S881" s="103">
        <f t="shared" si="3"/>
        <v>0</v>
      </c>
      <c r="U881" s="107" t="str">
        <f t="shared" si="4"/>
        <v>0</v>
      </c>
    </row>
    <row r="882" ht="15.75" customHeight="1">
      <c r="A882" s="279"/>
      <c r="B882" s="280"/>
      <c r="C882" s="280"/>
      <c r="D882" s="280"/>
      <c r="E882" s="281"/>
      <c r="F882" s="281"/>
      <c r="G882" s="280"/>
      <c r="H882" s="282"/>
      <c r="I882" s="283"/>
      <c r="J882" s="280"/>
      <c r="K882" s="103"/>
      <c r="L882" s="146"/>
      <c r="M882" s="103"/>
      <c r="N882" s="103"/>
      <c r="O882" s="103">
        <f t="shared" si="1"/>
        <v>0</v>
      </c>
      <c r="P882" s="104">
        <f t="shared" si="2"/>
        <v>0</v>
      </c>
      <c r="Q882" s="147"/>
      <c r="R882" s="103"/>
      <c r="S882" s="103">
        <f t="shared" si="3"/>
        <v>0</v>
      </c>
      <c r="U882" s="107" t="str">
        <f t="shared" si="4"/>
        <v>0</v>
      </c>
    </row>
    <row r="883" ht="15.75" customHeight="1">
      <c r="A883" s="279"/>
      <c r="B883" s="280"/>
      <c r="C883" s="280"/>
      <c r="D883" s="280"/>
      <c r="E883" s="281"/>
      <c r="F883" s="281"/>
      <c r="G883" s="280"/>
      <c r="H883" s="282"/>
      <c r="I883" s="283"/>
      <c r="J883" s="280"/>
      <c r="K883" s="103"/>
      <c r="L883" s="146"/>
      <c r="M883" s="103"/>
      <c r="N883" s="103"/>
      <c r="O883" s="103">
        <f t="shared" si="1"/>
        <v>0</v>
      </c>
      <c r="P883" s="104">
        <f t="shared" si="2"/>
        <v>0</v>
      </c>
      <c r="Q883" s="147"/>
      <c r="R883" s="103"/>
      <c r="S883" s="103">
        <f t="shared" si="3"/>
        <v>0</v>
      </c>
      <c r="U883" s="107" t="str">
        <f t="shared" si="4"/>
        <v>0</v>
      </c>
    </row>
    <row r="884" ht="15.75" customHeight="1">
      <c r="A884" s="279"/>
      <c r="B884" s="280"/>
      <c r="C884" s="280"/>
      <c r="D884" s="280"/>
      <c r="E884" s="281"/>
      <c r="F884" s="281"/>
      <c r="G884" s="280"/>
      <c r="H884" s="282"/>
      <c r="I884" s="283"/>
      <c r="J884" s="280"/>
      <c r="K884" s="103"/>
      <c r="L884" s="146"/>
      <c r="M884" s="103"/>
      <c r="N884" s="103"/>
      <c r="O884" s="103">
        <f t="shared" si="1"/>
        <v>0</v>
      </c>
      <c r="P884" s="104">
        <f t="shared" si="2"/>
        <v>0</v>
      </c>
      <c r="Q884" s="147"/>
      <c r="R884" s="103"/>
      <c r="S884" s="103">
        <f t="shared" si="3"/>
        <v>0</v>
      </c>
      <c r="U884" s="107" t="str">
        <f t="shared" si="4"/>
        <v>0</v>
      </c>
    </row>
    <row r="885" ht="15.75" customHeight="1">
      <c r="A885" s="279"/>
      <c r="B885" s="280"/>
      <c r="C885" s="280"/>
      <c r="D885" s="280"/>
      <c r="E885" s="281"/>
      <c r="F885" s="281"/>
      <c r="G885" s="280"/>
      <c r="H885" s="282"/>
      <c r="I885" s="283"/>
      <c r="J885" s="280"/>
      <c r="K885" s="103"/>
      <c r="L885" s="146"/>
      <c r="M885" s="103"/>
      <c r="N885" s="103"/>
      <c r="O885" s="103">
        <f t="shared" si="1"/>
        <v>0</v>
      </c>
      <c r="P885" s="104">
        <f t="shared" si="2"/>
        <v>0</v>
      </c>
      <c r="Q885" s="147"/>
      <c r="R885" s="103"/>
      <c r="S885" s="103">
        <f t="shared" si="3"/>
        <v>0</v>
      </c>
      <c r="U885" s="107" t="str">
        <f t="shared" si="4"/>
        <v>0</v>
      </c>
    </row>
    <row r="886" ht="15.75" customHeight="1">
      <c r="A886" s="279"/>
      <c r="B886" s="280"/>
      <c r="C886" s="280"/>
      <c r="D886" s="280"/>
      <c r="E886" s="281"/>
      <c r="F886" s="281"/>
      <c r="G886" s="280"/>
      <c r="H886" s="282"/>
      <c r="I886" s="283"/>
      <c r="J886" s="280"/>
      <c r="K886" s="103"/>
      <c r="L886" s="146"/>
      <c r="M886" s="103"/>
      <c r="N886" s="103"/>
      <c r="O886" s="103">
        <f t="shared" si="1"/>
        <v>0</v>
      </c>
      <c r="P886" s="104">
        <f t="shared" si="2"/>
        <v>0</v>
      </c>
      <c r="Q886" s="147"/>
      <c r="R886" s="103"/>
      <c r="S886" s="103">
        <f t="shared" si="3"/>
        <v>0</v>
      </c>
      <c r="U886" s="107" t="str">
        <f t="shared" si="4"/>
        <v>0</v>
      </c>
    </row>
    <row r="887" ht="15.75" customHeight="1">
      <c r="A887" s="279"/>
      <c r="B887" s="280"/>
      <c r="C887" s="280"/>
      <c r="D887" s="280"/>
      <c r="E887" s="281"/>
      <c r="F887" s="281"/>
      <c r="G887" s="280"/>
      <c r="H887" s="282"/>
      <c r="I887" s="283"/>
      <c r="J887" s="280"/>
      <c r="K887" s="103"/>
      <c r="L887" s="146"/>
      <c r="M887" s="103"/>
      <c r="N887" s="103"/>
      <c r="O887" s="103">
        <f t="shared" si="1"/>
        <v>0</v>
      </c>
      <c r="P887" s="104">
        <f t="shared" si="2"/>
        <v>0</v>
      </c>
      <c r="Q887" s="147"/>
      <c r="R887" s="103"/>
      <c r="S887" s="103">
        <f t="shared" si="3"/>
        <v>0</v>
      </c>
      <c r="U887" s="107" t="str">
        <f t="shared" si="4"/>
        <v>0</v>
      </c>
    </row>
    <row r="888" ht="15.75" customHeight="1">
      <c r="A888" s="279"/>
      <c r="B888" s="280"/>
      <c r="C888" s="280"/>
      <c r="D888" s="280"/>
      <c r="E888" s="281"/>
      <c r="F888" s="281"/>
      <c r="G888" s="280"/>
      <c r="H888" s="282"/>
      <c r="I888" s="283"/>
      <c r="J888" s="280"/>
      <c r="K888" s="103"/>
      <c r="L888" s="146"/>
      <c r="M888" s="103"/>
      <c r="N888" s="103"/>
      <c r="O888" s="103">
        <f t="shared" si="1"/>
        <v>0</v>
      </c>
      <c r="P888" s="104">
        <f t="shared" si="2"/>
        <v>0</v>
      </c>
      <c r="Q888" s="147"/>
      <c r="R888" s="103"/>
      <c r="S888" s="103">
        <f t="shared" si="3"/>
        <v>0</v>
      </c>
      <c r="U888" s="107" t="str">
        <f t="shared" si="4"/>
        <v>0</v>
      </c>
    </row>
    <row r="889" ht="15.75" customHeight="1">
      <c r="A889" s="279"/>
      <c r="B889" s="280"/>
      <c r="C889" s="280"/>
      <c r="D889" s="280"/>
      <c r="E889" s="281"/>
      <c r="F889" s="281"/>
      <c r="G889" s="280"/>
      <c r="H889" s="282"/>
      <c r="I889" s="283"/>
      <c r="J889" s="280"/>
      <c r="K889" s="103"/>
      <c r="L889" s="146"/>
      <c r="M889" s="103"/>
      <c r="N889" s="103"/>
      <c r="O889" s="103">
        <f t="shared" si="1"/>
        <v>0</v>
      </c>
      <c r="P889" s="104">
        <f t="shared" si="2"/>
        <v>0</v>
      </c>
      <c r="Q889" s="147"/>
      <c r="R889" s="103"/>
      <c r="S889" s="103">
        <f t="shared" si="3"/>
        <v>0</v>
      </c>
      <c r="U889" s="107" t="str">
        <f t="shared" si="4"/>
        <v>0</v>
      </c>
    </row>
    <row r="890" ht="15.75" customHeight="1">
      <c r="A890" s="279"/>
      <c r="B890" s="280"/>
      <c r="C890" s="280"/>
      <c r="D890" s="280"/>
      <c r="E890" s="281"/>
      <c r="F890" s="281"/>
      <c r="G890" s="280"/>
      <c r="H890" s="282"/>
      <c r="I890" s="283"/>
      <c r="J890" s="280"/>
      <c r="K890" s="103"/>
      <c r="L890" s="146"/>
      <c r="M890" s="103"/>
      <c r="N890" s="103"/>
      <c r="O890" s="103">
        <f t="shared" si="1"/>
        <v>0</v>
      </c>
      <c r="P890" s="104">
        <f t="shared" si="2"/>
        <v>0</v>
      </c>
      <c r="Q890" s="147"/>
      <c r="R890" s="103"/>
      <c r="S890" s="103">
        <f t="shared" si="3"/>
        <v>0</v>
      </c>
      <c r="U890" s="107" t="str">
        <f t="shared" si="4"/>
        <v>0</v>
      </c>
    </row>
    <row r="891" ht="15.75" customHeight="1">
      <c r="A891" s="279"/>
      <c r="B891" s="280"/>
      <c r="C891" s="280"/>
      <c r="D891" s="280"/>
      <c r="E891" s="281"/>
      <c r="F891" s="281"/>
      <c r="G891" s="280"/>
      <c r="H891" s="282"/>
      <c r="I891" s="283"/>
      <c r="J891" s="280"/>
      <c r="K891" s="103"/>
      <c r="L891" s="146"/>
      <c r="M891" s="103"/>
      <c r="N891" s="103"/>
      <c r="O891" s="103">
        <f t="shared" si="1"/>
        <v>0</v>
      </c>
      <c r="P891" s="104">
        <f t="shared" si="2"/>
        <v>0</v>
      </c>
      <c r="Q891" s="147"/>
      <c r="R891" s="103"/>
      <c r="S891" s="103">
        <f t="shared" si="3"/>
        <v>0</v>
      </c>
      <c r="U891" s="107" t="str">
        <f t="shared" si="4"/>
        <v>0</v>
      </c>
    </row>
    <row r="892" ht="15.75" customHeight="1">
      <c r="A892" s="279"/>
      <c r="B892" s="280"/>
      <c r="C892" s="280"/>
      <c r="D892" s="280"/>
      <c r="E892" s="281"/>
      <c r="F892" s="281"/>
      <c r="G892" s="280"/>
      <c r="H892" s="282"/>
      <c r="I892" s="283"/>
      <c r="J892" s="280"/>
      <c r="K892" s="103"/>
      <c r="L892" s="146"/>
      <c r="M892" s="103"/>
      <c r="N892" s="103"/>
      <c r="O892" s="103">
        <f t="shared" si="1"/>
        <v>0</v>
      </c>
      <c r="P892" s="104">
        <f t="shared" si="2"/>
        <v>0</v>
      </c>
      <c r="Q892" s="147"/>
      <c r="R892" s="103"/>
      <c r="S892" s="103">
        <f t="shared" si="3"/>
        <v>0</v>
      </c>
      <c r="U892" s="107" t="str">
        <f t="shared" si="4"/>
        <v>0</v>
      </c>
    </row>
    <row r="893" ht="15.75" customHeight="1">
      <c r="A893" s="279"/>
      <c r="B893" s="280"/>
      <c r="C893" s="280"/>
      <c r="D893" s="280"/>
      <c r="E893" s="281"/>
      <c r="F893" s="281"/>
      <c r="G893" s="280"/>
      <c r="H893" s="282"/>
      <c r="I893" s="283"/>
      <c r="J893" s="280"/>
      <c r="K893" s="103"/>
      <c r="L893" s="146"/>
      <c r="M893" s="103"/>
      <c r="N893" s="103"/>
      <c r="O893" s="103">
        <f t="shared" si="1"/>
        <v>0</v>
      </c>
      <c r="P893" s="104">
        <f t="shared" si="2"/>
        <v>0</v>
      </c>
      <c r="Q893" s="147"/>
      <c r="R893" s="103"/>
      <c r="S893" s="103">
        <f t="shared" si="3"/>
        <v>0</v>
      </c>
      <c r="U893" s="107" t="str">
        <f t="shared" si="4"/>
        <v>0</v>
      </c>
    </row>
    <row r="894" ht="15.75" customHeight="1">
      <c r="A894" s="279"/>
      <c r="B894" s="280"/>
      <c r="C894" s="280"/>
      <c r="D894" s="280"/>
      <c r="E894" s="281"/>
      <c r="F894" s="281"/>
      <c r="G894" s="280"/>
      <c r="H894" s="282"/>
      <c r="I894" s="283"/>
      <c r="J894" s="280"/>
      <c r="K894" s="103"/>
      <c r="L894" s="146"/>
      <c r="M894" s="103"/>
      <c r="N894" s="103"/>
      <c r="O894" s="103">
        <f t="shared" si="1"/>
        <v>0</v>
      </c>
      <c r="P894" s="104">
        <f t="shared" si="2"/>
        <v>0</v>
      </c>
      <c r="Q894" s="147"/>
      <c r="R894" s="103"/>
      <c r="S894" s="103">
        <f t="shared" si="3"/>
        <v>0</v>
      </c>
      <c r="U894" s="107" t="str">
        <f t="shared" si="4"/>
        <v>0</v>
      </c>
    </row>
    <row r="895" ht="15.75" customHeight="1">
      <c r="A895" s="279"/>
      <c r="B895" s="280"/>
      <c r="C895" s="280"/>
      <c r="D895" s="280"/>
      <c r="E895" s="281"/>
      <c r="F895" s="281"/>
      <c r="G895" s="280"/>
      <c r="H895" s="282"/>
      <c r="I895" s="283"/>
      <c r="J895" s="280"/>
      <c r="K895" s="103"/>
      <c r="L895" s="146"/>
      <c r="M895" s="103"/>
      <c r="N895" s="103"/>
      <c r="O895" s="103">
        <f t="shared" si="1"/>
        <v>0</v>
      </c>
      <c r="P895" s="104">
        <f t="shared" si="2"/>
        <v>0</v>
      </c>
      <c r="Q895" s="147"/>
      <c r="R895" s="103"/>
      <c r="S895" s="103">
        <f t="shared" si="3"/>
        <v>0</v>
      </c>
      <c r="U895" s="107" t="str">
        <f t="shared" si="4"/>
        <v>0</v>
      </c>
    </row>
    <row r="896" ht="15.75" customHeight="1">
      <c r="A896" s="279"/>
      <c r="B896" s="280"/>
      <c r="C896" s="280"/>
      <c r="D896" s="280"/>
      <c r="E896" s="281"/>
      <c r="F896" s="281"/>
      <c r="G896" s="280"/>
      <c r="H896" s="282"/>
      <c r="I896" s="283"/>
      <c r="J896" s="280"/>
      <c r="K896" s="103"/>
      <c r="L896" s="146"/>
      <c r="M896" s="103"/>
      <c r="N896" s="103"/>
      <c r="O896" s="103">
        <f t="shared" si="1"/>
        <v>0</v>
      </c>
      <c r="P896" s="104">
        <f t="shared" si="2"/>
        <v>0</v>
      </c>
      <c r="Q896" s="147"/>
      <c r="R896" s="103"/>
      <c r="S896" s="103">
        <f t="shared" si="3"/>
        <v>0</v>
      </c>
      <c r="U896" s="107" t="str">
        <f t="shared" si="4"/>
        <v>0</v>
      </c>
    </row>
    <row r="897" ht="15.75" customHeight="1">
      <c r="A897" s="279"/>
      <c r="B897" s="280"/>
      <c r="C897" s="280"/>
      <c r="D897" s="280"/>
      <c r="E897" s="281"/>
      <c r="F897" s="281"/>
      <c r="G897" s="280"/>
      <c r="H897" s="282"/>
      <c r="I897" s="283"/>
      <c r="J897" s="280"/>
      <c r="K897" s="103"/>
      <c r="L897" s="146"/>
      <c r="M897" s="103"/>
      <c r="N897" s="103"/>
      <c r="O897" s="103">
        <f t="shared" si="1"/>
        <v>0</v>
      </c>
      <c r="P897" s="104">
        <f t="shared" si="2"/>
        <v>0</v>
      </c>
      <c r="Q897" s="147"/>
      <c r="R897" s="103"/>
      <c r="S897" s="103">
        <f t="shared" si="3"/>
        <v>0</v>
      </c>
      <c r="U897" s="107" t="str">
        <f t="shared" si="4"/>
        <v>0</v>
      </c>
    </row>
    <row r="898" ht="15.75" customHeight="1">
      <c r="A898" s="279"/>
      <c r="B898" s="280"/>
      <c r="C898" s="280"/>
      <c r="D898" s="280"/>
      <c r="E898" s="281"/>
      <c r="F898" s="281"/>
      <c r="G898" s="280"/>
      <c r="H898" s="282"/>
      <c r="I898" s="283"/>
      <c r="J898" s="280"/>
      <c r="K898" s="103"/>
      <c r="L898" s="146"/>
      <c r="M898" s="103"/>
      <c r="N898" s="103"/>
      <c r="O898" s="103">
        <f t="shared" si="1"/>
        <v>0</v>
      </c>
      <c r="P898" s="104">
        <f t="shared" si="2"/>
        <v>0</v>
      </c>
      <c r="Q898" s="147"/>
      <c r="R898" s="103"/>
      <c r="S898" s="103">
        <f t="shared" si="3"/>
        <v>0</v>
      </c>
      <c r="U898" s="107" t="str">
        <f t="shared" si="4"/>
        <v>0</v>
      </c>
    </row>
    <row r="899" ht="15.75" customHeight="1">
      <c r="A899" s="279"/>
      <c r="B899" s="280"/>
      <c r="C899" s="280"/>
      <c r="D899" s="280"/>
      <c r="E899" s="281"/>
      <c r="F899" s="281"/>
      <c r="G899" s="280"/>
      <c r="H899" s="282"/>
      <c r="I899" s="283"/>
      <c r="J899" s="280"/>
      <c r="K899" s="103"/>
      <c r="L899" s="146"/>
      <c r="M899" s="103"/>
      <c r="N899" s="103"/>
      <c r="O899" s="103">
        <f t="shared" si="1"/>
        <v>0</v>
      </c>
      <c r="P899" s="104">
        <f t="shared" si="2"/>
        <v>0</v>
      </c>
      <c r="Q899" s="147"/>
      <c r="R899" s="103"/>
      <c r="S899" s="103">
        <f t="shared" si="3"/>
        <v>0</v>
      </c>
      <c r="U899" s="107" t="str">
        <f t="shared" si="4"/>
        <v>0</v>
      </c>
    </row>
    <row r="900" ht="15.75" customHeight="1">
      <c r="A900" s="279"/>
      <c r="B900" s="280"/>
      <c r="C900" s="280"/>
      <c r="D900" s="280"/>
      <c r="E900" s="281"/>
      <c r="F900" s="281"/>
      <c r="G900" s="280"/>
      <c r="H900" s="282"/>
      <c r="I900" s="283"/>
      <c r="J900" s="280"/>
      <c r="K900" s="103"/>
      <c r="L900" s="146"/>
      <c r="M900" s="103"/>
      <c r="N900" s="103"/>
      <c r="O900" s="103">
        <f t="shared" si="1"/>
        <v>0</v>
      </c>
      <c r="P900" s="104">
        <f t="shared" si="2"/>
        <v>0</v>
      </c>
      <c r="Q900" s="147"/>
      <c r="R900" s="103"/>
      <c r="S900" s="103">
        <f t="shared" si="3"/>
        <v>0</v>
      </c>
      <c r="U900" s="107" t="str">
        <f t="shared" si="4"/>
        <v>0</v>
      </c>
    </row>
    <row r="901" ht="15.75" customHeight="1">
      <c r="A901" s="279"/>
      <c r="B901" s="280"/>
      <c r="C901" s="280"/>
      <c r="D901" s="280"/>
      <c r="E901" s="281"/>
      <c r="F901" s="281"/>
      <c r="G901" s="280"/>
      <c r="H901" s="282"/>
      <c r="I901" s="283"/>
      <c r="J901" s="280"/>
      <c r="K901" s="103"/>
      <c r="L901" s="146"/>
      <c r="M901" s="103"/>
      <c r="N901" s="103"/>
      <c r="O901" s="103">
        <f t="shared" si="1"/>
        <v>0</v>
      </c>
      <c r="P901" s="104">
        <f t="shared" si="2"/>
        <v>0</v>
      </c>
      <c r="Q901" s="147"/>
      <c r="R901" s="103"/>
      <c r="S901" s="103">
        <f t="shared" si="3"/>
        <v>0</v>
      </c>
      <c r="U901" s="107" t="str">
        <f t="shared" si="4"/>
        <v>0</v>
      </c>
    </row>
    <row r="902" ht="15.75" customHeight="1">
      <c r="A902" s="279"/>
      <c r="B902" s="280"/>
      <c r="C902" s="280"/>
      <c r="D902" s="280"/>
      <c r="E902" s="281"/>
      <c r="F902" s="281"/>
      <c r="G902" s="280"/>
      <c r="H902" s="282"/>
      <c r="I902" s="283"/>
      <c r="J902" s="280"/>
      <c r="K902" s="103"/>
      <c r="L902" s="146"/>
      <c r="M902" s="103"/>
      <c r="N902" s="103"/>
      <c r="O902" s="103">
        <f t="shared" si="1"/>
        <v>0</v>
      </c>
      <c r="P902" s="104">
        <f t="shared" si="2"/>
        <v>0</v>
      </c>
      <c r="Q902" s="147"/>
      <c r="R902" s="103"/>
      <c r="S902" s="103">
        <f t="shared" si="3"/>
        <v>0</v>
      </c>
      <c r="U902" s="107" t="str">
        <f t="shared" si="4"/>
        <v>0</v>
      </c>
    </row>
    <row r="903" ht="15.75" customHeight="1">
      <c r="A903" s="279"/>
      <c r="B903" s="280"/>
      <c r="C903" s="280"/>
      <c r="D903" s="280"/>
      <c r="E903" s="281"/>
      <c r="F903" s="281"/>
      <c r="G903" s="280"/>
      <c r="H903" s="282"/>
      <c r="I903" s="283"/>
      <c r="J903" s="280"/>
      <c r="K903" s="103"/>
      <c r="L903" s="146"/>
      <c r="M903" s="103"/>
      <c r="N903" s="103"/>
      <c r="O903" s="103">
        <f t="shared" si="1"/>
        <v>0</v>
      </c>
      <c r="P903" s="104">
        <f t="shared" si="2"/>
        <v>0</v>
      </c>
      <c r="Q903" s="147"/>
      <c r="R903" s="103"/>
      <c r="S903" s="103">
        <f t="shared" si="3"/>
        <v>0</v>
      </c>
      <c r="U903" s="107" t="str">
        <f t="shared" si="4"/>
        <v>0</v>
      </c>
    </row>
    <row r="904" ht="15.75" customHeight="1">
      <c r="A904" s="279"/>
      <c r="B904" s="280"/>
      <c r="C904" s="280"/>
      <c r="D904" s="280"/>
      <c r="E904" s="281"/>
      <c r="F904" s="281"/>
      <c r="G904" s="280"/>
      <c r="H904" s="282"/>
      <c r="I904" s="283"/>
      <c r="J904" s="280"/>
      <c r="K904" s="103"/>
      <c r="L904" s="146"/>
      <c r="M904" s="103"/>
      <c r="N904" s="103"/>
      <c r="O904" s="103">
        <f t="shared" si="1"/>
        <v>0</v>
      </c>
      <c r="P904" s="104">
        <f t="shared" si="2"/>
        <v>0</v>
      </c>
      <c r="Q904" s="147"/>
      <c r="R904" s="103"/>
      <c r="S904" s="103">
        <f t="shared" si="3"/>
        <v>0</v>
      </c>
      <c r="U904" s="107" t="str">
        <f t="shared" si="4"/>
        <v>0</v>
      </c>
    </row>
    <row r="905" ht="15.75" customHeight="1">
      <c r="A905" s="279"/>
      <c r="B905" s="280"/>
      <c r="C905" s="280"/>
      <c r="D905" s="280"/>
      <c r="E905" s="281"/>
      <c r="F905" s="281"/>
      <c r="G905" s="280"/>
      <c r="H905" s="282"/>
      <c r="I905" s="283"/>
      <c r="J905" s="280"/>
      <c r="K905" s="103"/>
      <c r="L905" s="146"/>
      <c r="M905" s="103"/>
      <c r="N905" s="103"/>
      <c r="O905" s="103">
        <f t="shared" si="1"/>
        <v>0</v>
      </c>
      <c r="P905" s="104">
        <f t="shared" si="2"/>
        <v>0</v>
      </c>
      <c r="Q905" s="147"/>
      <c r="R905" s="103"/>
      <c r="S905" s="103">
        <f t="shared" si="3"/>
        <v>0</v>
      </c>
      <c r="U905" s="107" t="str">
        <f t="shared" si="4"/>
        <v>0</v>
      </c>
    </row>
    <row r="906" ht="15.75" customHeight="1">
      <c r="A906" s="279"/>
      <c r="B906" s="280"/>
      <c r="C906" s="280"/>
      <c r="D906" s="280"/>
      <c r="E906" s="281"/>
      <c r="F906" s="281"/>
      <c r="G906" s="280"/>
      <c r="H906" s="282"/>
      <c r="I906" s="283"/>
      <c r="J906" s="280"/>
      <c r="K906" s="103"/>
      <c r="L906" s="146"/>
      <c r="M906" s="103"/>
      <c r="N906" s="103"/>
      <c r="O906" s="103">
        <f t="shared" si="1"/>
        <v>0</v>
      </c>
      <c r="P906" s="104">
        <f t="shared" si="2"/>
        <v>0</v>
      </c>
      <c r="Q906" s="147"/>
      <c r="R906" s="103"/>
      <c r="S906" s="103">
        <f t="shared" si="3"/>
        <v>0</v>
      </c>
      <c r="U906" s="107" t="str">
        <f t="shared" si="4"/>
        <v>0</v>
      </c>
    </row>
    <row r="907" ht="15.75" customHeight="1">
      <c r="A907" s="279"/>
      <c r="B907" s="280"/>
      <c r="C907" s="280"/>
      <c r="D907" s="280"/>
      <c r="E907" s="281"/>
      <c r="F907" s="281"/>
      <c r="G907" s="280"/>
      <c r="H907" s="282"/>
      <c r="I907" s="283"/>
      <c r="J907" s="280"/>
      <c r="K907" s="103"/>
      <c r="L907" s="146"/>
      <c r="M907" s="103"/>
      <c r="N907" s="103"/>
      <c r="O907" s="103">
        <f t="shared" si="1"/>
        <v>0</v>
      </c>
      <c r="P907" s="104">
        <f t="shared" si="2"/>
        <v>0</v>
      </c>
      <c r="Q907" s="147"/>
      <c r="R907" s="103"/>
      <c r="S907" s="103">
        <f t="shared" si="3"/>
        <v>0</v>
      </c>
      <c r="U907" s="107" t="str">
        <f t="shared" si="4"/>
        <v>0</v>
      </c>
    </row>
    <row r="908" ht="15.75" customHeight="1">
      <c r="A908" s="279"/>
      <c r="B908" s="280"/>
      <c r="C908" s="280"/>
      <c r="D908" s="280"/>
      <c r="E908" s="281"/>
      <c r="F908" s="281"/>
      <c r="G908" s="280"/>
      <c r="H908" s="282"/>
      <c r="I908" s="283"/>
      <c r="J908" s="280"/>
      <c r="K908" s="103"/>
      <c r="L908" s="146"/>
      <c r="M908" s="103"/>
      <c r="N908" s="103"/>
      <c r="O908" s="103">
        <f t="shared" si="1"/>
        <v>0</v>
      </c>
      <c r="P908" s="104">
        <f t="shared" si="2"/>
        <v>0</v>
      </c>
      <c r="Q908" s="147"/>
      <c r="R908" s="103"/>
      <c r="S908" s="103">
        <f t="shared" si="3"/>
        <v>0</v>
      </c>
      <c r="U908" s="107" t="str">
        <f t="shared" si="4"/>
        <v>0</v>
      </c>
    </row>
    <row r="909" ht="15.75" customHeight="1">
      <c r="A909" s="279"/>
      <c r="B909" s="280"/>
      <c r="C909" s="280"/>
      <c r="D909" s="280"/>
      <c r="E909" s="281"/>
      <c r="F909" s="281"/>
      <c r="G909" s="280"/>
      <c r="H909" s="282"/>
      <c r="I909" s="283"/>
      <c r="J909" s="280"/>
      <c r="K909" s="103"/>
      <c r="L909" s="146"/>
      <c r="M909" s="103"/>
      <c r="N909" s="103"/>
      <c r="O909" s="103">
        <f t="shared" si="1"/>
        <v>0</v>
      </c>
      <c r="P909" s="104">
        <f t="shared" si="2"/>
        <v>0</v>
      </c>
      <c r="Q909" s="147"/>
      <c r="R909" s="103"/>
      <c r="S909" s="103">
        <f t="shared" si="3"/>
        <v>0</v>
      </c>
      <c r="U909" s="107" t="str">
        <f t="shared" si="4"/>
        <v>0</v>
      </c>
    </row>
    <row r="910" ht="15.75" customHeight="1">
      <c r="A910" s="279"/>
      <c r="B910" s="280"/>
      <c r="C910" s="280"/>
      <c r="D910" s="280"/>
      <c r="E910" s="281"/>
      <c r="F910" s="281"/>
      <c r="G910" s="280"/>
      <c r="H910" s="282"/>
      <c r="I910" s="283"/>
      <c r="J910" s="280"/>
      <c r="K910" s="103"/>
      <c r="L910" s="146"/>
      <c r="M910" s="103"/>
      <c r="N910" s="103"/>
      <c r="O910" s="103">
        <f t="shared" si="1"/>
        <v>0</v>
      </c>
      <c r="P910" s="104">
        <f t="shared" si="2"/>
        <v>0</v>
      </c>
      <c r="Q910" s="147"/>
      <c r="R910" s="103"/>
      <c r="S910" s="103">
        <f t="shared" si="3"/>
        <v>0</v>
      </c>
      <c r="U910" s="107" t="str">
        <f t="shared" si="4"/>
        <v>0</v>
      </c>
    </row>
    <row r="911" ht="15.75" customHeight="1">
      <c r="A911" s="279"/>
      <c r="B911" s="280"/>
      <c r="C911" s="280"/>
      <c r="D911" s="280"/>
      <c r="E911" s="281"/>
      <c r="F911" s="281"/>
      <c r="G911" s="280"/>
      <c r="H911" s="282"/>
      <c r="I911" s="283"/>
      <c r="J911" s="280"/>
      <c r="K911" s="103"/>
      <c r="L911" s="146"/>
      <c r="M911" s="103"/>
      <c r="N911" s="103"/>
      <c r="O911" s="103">
        <f t="shared" si="1"/>
        <v>0</v>
      </c>
      <c r="P911" s="104">
        <f t="shared" si="2"/>
        <v>0</v>
      </c>
      <c r="Q911" s="147"/>
      <c r="R911" s="103"/>
      <c r="S911" s="103">
        <f t="shared" si="3"/>
        <v>0</v>
      </c>
      <c r="U911" s="107" t="str">
        <f t="shared" si="4"/>
        <v>0</v>
      </c>
    </row>
    <row r="912" ht="15.75" customHeight="1">
      <c r="A912" s="279"/>
      <c r="B912" s="280"/>
      <c r="C912" s="280"/>
      <c r="D912" s="280"/>
      <c r="E912" s="281"/>
      <c r="F912" s="281"/>
      <c r="G912" s="280"/>
      <c r="H912" s="282"/>
      <c r="I912" s="283"/>
      <c r="J912" s="280"/>
      <c r="K912" s="103"/>
      <c r="L912" s="146"/>
      <c r="M912" s="103"/>
      <c r="N912" s="103"/>
      <c r="O912" s="103">
        <f t="shared" si="1"/>
        <v>0</v>
      </c>
      <c r="P912" s="104">
        <f t="shared" si="2"/>
        <v>0</v>
      </c>
      <c r="Q912" s="147"/>
      <c r="R912" s="103"/>
      <c r="S912" s="103">
        <f t="shared" si="3"/>
        <v>0</v>
      </c>
      <c r="U912" s="107" t="str">
        <f t="shared" si="4"/>
        <v>0</v>
      </c>
    </row>
    <row r="913" ht="15.75" customHeight="1">
      <c r="A913" s="279"/>
      <c r="B913" s="280"/>
      <c r="C913" s="280"/>
      <c r="D913" s="280"/>
      <c r="E913" s="281"/>
      <c r="F913" s="281"/>
      <c r="G913" s="280"/>
      <c r="H913" s="282"/>
      <c r="I913" s="283"/>
      <c r="J913" s="280"/>
      <c r="K913" s="103"/>
      <c r="L913" s="146"/>
      <c r="M913" s="103"/>
      <c r="N913" s="103"/>
      <c r="O913" s="103">
        <f t="shared" si="1"/>
        <v>0</v>
      </c>
      <c r="P913" s="104">
        <f t="shared" si="2"/>
        <v>0</v>
      </c>
      <c r="Q913" s="147"/>
      <c r="R913" s="103"/>
      <c r="S913" s="103">
        <f t="shared" si="3"/>
        <v>0</v>
      </c>
      <c r="U913" s="107" t="str">
        <f t="shared" si="4"/>
        <v>0</v>
      </c>
    </row>
    <row r="914" ht="15.75" customHeight="1">
      <c r="A914" s="279"/>
      <c r="B914" s="280"/>
      <c r="C914" s="280"/>
      <c r="D914" s="280"/>
      <c r="E914" s="281"/>
      <c r="F914" s="281"/>
      <c r="G914" s="280"/>
      <c r="H914" s="282"/>
      <c r="I914" s="283"/>
      <c r="J914" s="280"/>
      <c r="K914" s="103"/>
      <c r="L914" s="146"/>
      <c r="M914" s="103"/>
      <c r="N914" s="103"/>
      <c r="O914" s="103">
        <f t="shared" si="1"/>
        <v>0</v>
      </c>
      <c r="P914" s="104">
        <f t="shared" si="2"/>
        <v>0</v>
      </c>
      <c r="Q914" s="147"/>
      <c r="R914" s="103"/>
      <c r="S914" s="103">
        <f t="shared" si="3"/>
        <v>0</v>
      </c>
      <c r="U914" s="107" t="str">
        <f t="shared" si="4"/>
        <v>0</v>
      </c>
    </row>
    <row r="915" ht="15.75" customHeight="1">
      <c r="A915" s="279"/>
      <c r="B915" s="280"/>
      <c r="C915" s="280"/>
      <c r="D915" s="280"/>
      <c r="E915" s="281"/>
      <c r="F915" s="281"/>
      <c r="G915" s="280"/>
      <c r="H915" s="282"/>
      <c r="I915" s="283"/>
      <c r="J915" s="280"/>
      <c r="K915" s="103"/>
      <c r="L915" s="146"/>
      <c r="M915" s="103"/>
      <c r="N915" s="103"/>
      <c r="O915" s="103">
        <f t="shared" si="1"/>
        <v>0</v>
      </c>
      <c r="P915" s="104">
        <f t="shared" si="2"/>
        <v>0</v>
      </c>
      <c r="Q915" s="147"/>
      <c r="R915" s="103"/>
      <c r="S915" s="103">
        <f t="shared" si="3"/>
        <v>0</v>
      </c>
      <c r="U915" s="107" t="str">
        <f t="shared" si="4"/>
        <v>0</v>
      </c>
    </row>
    <row r="916" ht="15.75" customHeight="1">
      <c r="A916" s="279"/>
      <c r="B916" s="280"/>
      <c r="C916" s="280"/>
      <c r="D916" s="280"/>
      <c r="E916" s="281"/>
      <c r="F916" s="281"/>
      <c r="G916" s="280"/>
      <c r="H916" s="282"/>
      <c r="I916" s="283"/>
      <c r="J916" s="280"/>
      <c r="K916" s="103"/>
      <c r="L916" s="146"/>
      <c r="M916" s="103"/>
      <c r="N916" s="103"/>
      <c r="O916" s="103">
        <f t="shared" si="1"/>
        <v>0</v>
      </c>
      <c r="P916" s="104">
        <f t="shared" si="2"/>
        <v>0</v>
      </c>
      <c r="Q916" s="147"/>
      <c r="R916" s="103"/>
      <c r="S916" s="103">
        <f t="shared" si="3"/>
        <v>0</v>
      </c>
      <c r="U916" s="107" t="str">
        <f t="shared" si="4"/>
        <v>0</v>
      </c>
    </row>
    <row r="917" ht="15.75" customHeight="1">
      <c r="A917" s="279"/>
      <c r="B917" s="280"/>
      <c r="C917" s="280"/>
      <c r="D917" s="280"/>
      <c r="E917" s="281"/>
      <c r="F917" s="281"/>
      <c r="G917" s="280"/>
      <c r="H917" s="282"/>
      <c r="I917" s="283"/>
      <c r="J917" s="280"/>
      <c r="K917" s="103"/>
      <c r="L917" s="146"/>
      <c r="M917" s="103"/>
      <c r="N917" s="103"/>
      <c r="O917" s="103">
        <f t="shared" si="1"/>
        <v>0</v>
      </c>
      <c r="P917" s="104">
        <f t="shared" si="2"/>
        <v>0</v>
      </c>
      <c r="Q917" s="147"/>
      <c r="R917" s="103"/>
      <c r="S917" s="103">
        <f t="shared" si="3"/>
        <v>0</v>
      </c>
      <c r="U917" s="107" t="str">
        <f t="shared" si="4"/>
        <v>0</v>
      </c>
    </row>
    <row r="918" ht="15.75" customHeight="1">
      <c r="A918" s="279"/>
      <c r="B918" s="280"/>
      <c r="C918" s="280"/>
      <c r="D918" s="280"/>
      <c r="E918" s="281"/>
      <c r="F918" s="281"/>
      <c r="G918" s="280"/>
      <c r="H918" s="282"/>
      <c r="I918" s="283"/>
      <c r="J918" s="280"/>
      <c r="K918" s="103"/>
      <c r="L918" s="146"/>
      <c r="M918" s="103"/>
      <c r="N918" s="103"/>
      <c r="O918" s="103">
        <f t="shared" si="1"/>
        <v>0</v>
      </c>
      <c r="P918" s="104">
        <f t="shared" si="2"/>
        <v>0</v>
      </c>
      <c r="Q918" s="147"/>
      <c r="R918" s="103"/>
      <c r="S918" s="103">
        <f t="shared" si="3"/>
        <v>0</v>
      </c>
      <c r="U918" s="107" t="str">
        <f t="shared" si="4"/>
        <v>0</v>
      </c>
    </row>
    <row r="919" ht="15.75" customHeight="1">
      <c r="A919" s="279"/>
      <c r="B919" s="280"/>
      <c r="C919" s="280"/>
      <c r="D919" s="280"/>
      <c r="E919" s="281"/>
      <c r="F919" s="281"/>
      <c r="G919" s="280"/>
      <c r="H919" s="282"/>
      <c r="I919" s="283"/>
      <c r="J919" s="280"/>
      <c r="K919" s="103"/>
      <c r="L919" s="146"/>
      <c r="M919" s="103"/>
      <c r="N919" s="103"/>
      <c r="O919" s="103">
        <f t="shared" si="1"/>
        <v>0</v>
      </c>
      <c r="P919" s="104">
        <f t="shared" si="2"/>
        <v>0</v>
      </c>
      <c r="Q919" s="147"/>
      <c r="R919" s="103"/>
      <c r="S919" s="103">
        <f t="shared" si="3"/>
        <v>0</v>
      </c>
      <c r="U919" s="107" t="str">
        <f t="shared" si="4"/>
        <v>0</v>
      </c>
    </row>
    <row r="920" ht="15.75" customHeight="1">
      <c r="A920" s="279"/>
      <c r="B920" s="280"/>
      <c r="C920" s="280"/>
      <c r="D920" s="280"/>
      <c r="E920" s="281"/>
      <c r="F920" s="281"/>
      <c r="G920" s="280"/>
      <c r="H920" s="282"/>
      <c r="I920" s="283"/>
      <c r="J920" s="280"/>
      <c r="K920" s="103"/>
      <c r="L920" s="146"/>
      <c r="M920" s="103"/>
      <c r="N920" s="103"/>
      <c r="O920" s="103">
        <f t="shared" si="1"/>
        <v>0</v>
      </c>
      <c r="P920" s="104">
        <f t="shared" si="2"/>
        <v>0</v>
      </c>
      <c r="Q920" s="147"/>
      <c r="R920" s="103"/>
      <c r="S920" s="103">
        <f t="shared" si="3"/>
        <v>0</v>
      </c>
      <c r="U920" s="107" t="str">
        <f t="shared" si="4"/>
        <v>0</v>
      </c>
    </row>
    <row r="921" ht="15.75" customHeight="1">
      <c r="A921" s="279"/>
      <c r="B921" s="280"/>
      <c r="C921" s="280"/>
      <c r="D921" s="280"/>
      <c r="E921" s="281"/>
      <c r="F921" s="281"/>
      <c r="G921" s="280"/>
      <c r="H921" s="282"/>
      <c r="I921" s="283"/>
      <c r="J921" s="280"/>
      <c r="K921" s="103"/>
      <c r="L921" s="146"/>
      <c r="M921" s="103"/>
      <c r="N921" s="103"/>
      <c r="O921" s="103">
        <f t="shared" si="1"/>
        <v>0</v>
      </c>
      <c r="P921" s="104">
        <f t="shared" si="2"/>
        <v>0</v>
      </c>
      <c r="Q921" s="147"/>
      <c r="R921" s="103"/>
      <c r="S921" s="103">
        <f t="shared" si="3"/>
        <v>0</v>
      </c>
      <c r="U921" s="107" t="str">
        <f t="shared" si="4"/>
        <v>0</v>
      </c>
    </row>
    <row r="922" ht="15.75" customHeight="1">
      <c r="A922" s="279"/>
      <c r="B922" s="280"/>
      <c r="C922" s="280"/>
      <c r="D922" s="280"/>
      <c r="E922" s="281"/>
      <c r="F922" s="281"/>
      <c r="G922" s="280"/>
      <c r="H922" s="282"/>
      <c r="I922" s="283"/>
      <c r="J922" s="280"/>
      <c r="K922" s="103"/>
      <c r="L922" s="146"/>
      <c r="M922" s="103"/>
      <c r="N922" s="103"/>
      <c r="O922" s="103">
        <f t="shared" si="1"/>
        <v>0</v>
      </c>
      <c r="P922" s="104">
        <f t="shared" si="2"/>
        <v>0</v>
      </c>
      <c r="Q922" s="147"/>
      <c r="R922" s="103"/>
      <c r="S922" s="103">
        <f t="shared" si="3"/>
        <v>0</v>
      </c>
      <c r="U922" s="107" t="str">
        <f t="shared" si="4"/>
        <v>0</v>
      </c>
    </row>
    <row r="923" ht="15.75" customHeight="1">
      <c r="A923" s="279"/>
      <c r="B923" s="280"/>
      <c r="C923" s="280"/>
      <c r="D923" s="280"/>
      <c r="E923" s="281"/>
      <c r="F923" s="281"/>
      <c r="G923" s="280"/>
      <c r="H923" s="282"/>
      <c r="I923" s="283"/>
      <c r="J923" s="280"/>
      <c r="K923" s="103"/>
      <c r="L923" s="146"/>
      <c r="M923" s="103"/>
      <c r="N923" s="103"/>
      <c r="O923" s="103">
        <f t="shared" si="1"/>
        <v>0</v>
      </c>
      <c r="P923" s="104">
        <f t="shared" si="2"/>
        <v>0</v>
      </c>
      <c r="Q923" s="147"/>
      <c r="R923" s="103"/>
      <c r="S923" s="103">
        <f t="shared" si="3"/>
        <v>0</v>
      </c>
      <c r="U923" s="107" t="str">
        <f t="shared" si="4"/>
        <v>0</v>
      </c>
    </row>
    <row r="924" ht="15.75" customHeight="1">
      <c r="A924" s="279"/>
      <c r="B924" s="280"/>
      <c r="C924" s="280"/>
      <c r="D924" s="280"/>
      <c r="E924" s="281"/>
      <c r="F924" s="281"/>
      <c r="G924" s="280"/>
      <c r="H924" s="282"/>
      <c r="I924" s="283"/>
      <c r="J924" s="280"/>
      <c r="K924" s="103"/>
      <c r="L924" s="146"/>
      <c r="M924" s="103"/>
      <c r="N924" s="103"/>
      <c r="O924" s="103">
        <f t="shared" si="1"/>
        <v>0</v>
      </c>
      <c r="P924" s="104">
        <f t="shared" si="2"/>
        <v>0</v>
      </c>
      <c r="Q924" s="147"/>
      <c r="R924" s="103"/>
      <c r="S924" s="103">
        <f t="shared" si="3"/>
        <v>0</v>
      </c>
      <c r="U924" s="107" t="str">
        <f t="shared" si="4"/>
        <v>0</v>
      </c>
    </row>
    <row r="925" ht="15.75" customHeight="1">
      <c r="A925" s="279"/>
      <c r="B925" s="280"/>
      <c r="C925" s="280"/>
      <c r="D925" s="280"/>
      <c r="E925" s="281"/>
      <c r="F925" s="281"/>
      <c r="G925" s="280"/>
      <c r="H925" s="282"/>
      <c r="I925" s="283"/>
      <c r="J925" s="280"/>
      <c r="K925" s="103"/>
      <c r="L925" s="146"/>
      <c r="M925" s="103"/>
      <c r="N925" s="103"/>
      <c r="O925" s="103">
        <f t="shared" si="1"/>
        <v>0</v>
      </c>
      <c r="P925" s="104">
        <f t="shared" si="2"/>
        <v>0</v>
      </c>
      <c r="Q925" s="147"/>
      <c r="R925" s="103"/>
      <c r="S925" s="103">
        <f t="shared" si="3"/>
        <v>0</v>
      </c>
      <c r="U925" s="107" t="str">
        <f t="shared" si="4"/>
        <v>0</v>
      </c>
    </row>
    <row r="926" ht="15.75" customHeight="1">
      <c r="A926" s="279"/>
      <c r="B926" s="280"/>
      <c r="C926" s="280"/>
      <c r="D926" s="280"/>
      <c r="E926" s="281"/>
      <c r="F926" s="281"/>
      <c r="G926" s="280"/>
      <c r="H926" s="282"/>
      <c r="I926" s="283"/>
      <c r="J926" s="280"/>
      <c r="K926" s="103"/>
      <c r="L926" s="146"/>
      <c r="M926" s="103"/>
      <c r="N926" s="103"/>
      <c r="O926" s="103">
        <f t="shared" si="1"/>
        <v>0</v>
      </c>
      <c r="P926" s="104">
        <f t="shared" si="2"/>
        <v>0</v>
      </c>
      <c r="Q926" s="147"/>
      <c r="R926" s="103"/>
      <c r="S926" s="103">
        <f t="shared" si="3"/>
        <v>0</v>
      </c>
      <c r="U926" s="107" t="str">
        <f t="shared" si="4"/>
        <v>0</v>
      </c>
    </row>
    <row r="927" ht="15.75" customHeight="1">
      <c r="A927" s="279"/>
      <c r="B927" s="280"/>
      <c r="C927" s="280"/>
      <c r="D927" s="280"/>
      <c r="E927" s="281"/>
      <c r="F927" s="281"/>
      <c r="G927" s="280"/>
      <c r="H927" s="282"/>
      <c r="I927" s="283"/>
      <c r="J927" s="280"/>
      <c r="K927" s="103"/>
      <c r="L927" s="146"/>
      <c r="M927" s="103"/>
      <c r="N927" s="103"/>
      <c r="O927" s="103">
        <f t="shared" si="1"/>
        <v>0</v>
      </c>
      <c r="P927" s="104">
        <f t="shared" si="2"/>
        <v>0</v>
      </c>
      <c r="Q927" s="147"/>
      <c r="R927" s="103"/>
      <c r="S927" s="103">
        <f t="shared" si="3"/>
        <v>0</v>
      </c>
      <c r="U927" s="107" t="str">
        <f t="shared" si="4"/>
        <v>0</v>
      </c>
    </row>
    <row r="928" ht="15.75" customHeight="1">
      <c r="A928" s="279"/>
      <c r="B928" s="280"/>
      <c r="C928" s="280"/>
      <c r="D928" s="280"/>
      <c r="E928" s="281"/>
      <c r="F928" s="281"/>
      <c r="G928" s="280"/>
      <c r="H928" s="282"/>
      <c r="I928" s="283"/>
      <c r="J928" s="280"/>
      <c r="K928" s="103"/>
      <c r="L928" s="146"/>
      <c r="M928" s="103"/>
      <c r="N928" s="103"/>
      <c r="O928" s="103">
        <f t="shared" si="1"/>
        <v>0</v>
      </c>
      <c r="P928" s="104">
        <f t="shared" si="2"/>
        <v>0</v>
      </c>
      <c r="Q928" s="147"/>
      <c r="R928" s="103"/>
      <c r="S928" s="103">
        <f t="shared" si="3"/>
        <v>0</v>
      </c>
      <c r="U928" s="107" t="str">
        <f t="shared" si="4"/>
        <v>0</v>
      </c>
    </row>
    <row r="929" ht="15.75" customHeight="1">
      <c r="A929" s="279"/>
      <c r="B929" s="280"/>
      <c r="C929" s="280"/>
      <c r="D929" s="280"/>
      <c r="E929" s="281"/>
      <c r="F929" s="281"/>
      <c r="G929" s="280"/>
      <c r="H929" s="282"/>
      <c r="I929" s="283"/>
      <c r="J929" s="280"/>
      <c r="K929" s="103"/>
      <c r="L929" s="146"/>
      <c r="M929" s="103"/>
      <c r="N929" s="103"/>
      <c r="O929" s="103">
        <f t="shared" si="1"/>
        <v>0</v>
      </c>
      <c r="P929" s="104">
        <f t="shared" si="2"/>
        <v>0</v>
      </c>
      <c r="Q929" s="147"/>
      <c r="R929" s="103"/>
      <c r="S929" s="103">
        <f t="shared" si="3"/>
        <v>0</v>
      </c>
      <c r="U929" s="107" t="str">
        <f t="shared" si="4"/>
        <v>0</v>
      </c>
    </row>
    <row r="930" ht="15.75" customHeight="1">
      <c r="A930" s="279"/>
      <c r="B930" s="280"/>
      <c r="C930" s="280"/>
      <c r="D930" s="280"/>
      <c r="E930" s="281"/>
      <c r="F930" s="281"/>
      <c r="G930" s="280"/>
      <c r="H930" s="282"/>
      <c r="I930" s="283"/>
      <c r="J930" s="280"/>
      <c r="K930" s="103"/>
      <c r="L930" s="146"/>
      <c r="M930" s="103"/>
      <c r="N930" s="103"/>
      <c r="O930" s="103">
        <f t="shared" si="1"/>
        <v>0</v>
      </c>
      <c r="P930" s="104">
        <f t="shared" si="2"/>
        <v>0</v>
      </c>
      <c r="Q930" s="147"/>
      <c r="R930" s="103"/>
      <c r="S930" s="103">
        <f t="shared" si="3"/>
        <v>0</v>
      </c>
      <c r="U930" s="107" t="str">
        <f t="shared" si="4"/>
        <v>0</v>
      </c>
    </row>
    <row r="931" ht="15.75" customHeight="1">
      <c r="A931" s="279"/>
      <c r="B931" s="280"/>
      <c r="C931" s="280"/>
      <c r="D931" s="280"/>
      <c r="E931" s="281"/>
      <c r="F931" s="281"/>
      <c r="G931" s="280"/>
      <c r="H931" s="282"/>
      <c r="I931" s="283"/>
      <c r="J931" s="280"/>
      <c r="K931" s="103"/>
      <c r="L931" s="146"/>
      <c r="M931" s="103"/>
      <c r="N931" s="103"/>
      <c r="O931" s="103">
        <f t="shared" si="1"/>
        <v>0</v>
      </c>
      <c r="P931" s="104">
        <f t="shared" si="2"/>
        <v>0</v>
      </c>
      <c r="Q931" s="147"/>
      <c r="R931" s="103"/>
      <c r="S931" s="103">
        <f t="shared" si="3"/>
        <v>0</v>
      </c>
      <c r="U931" s="107" t="str">
        <f t="shared" si="4"/>
        <v>0</v>
      </c>
    </row>
    <row r="932" ht="15.75" customHeight="1">
      <c r="A932" s="279"/>
      <c r="B932" s="280"/>
      <c r="C932" s="280"/>
      <c r="D932" s="280"/>
      <c r="E932" s="281"/>
      <c r="F932" s="281"/>
      <c r="G932" s="280"/>
      <c r="H932" s="282"/>
      <c r="I932" s="283"/>
      <c r="J932" s="280"/>
      <c r="K932" s="103"/>
      <c r="L932" s="146"/>
      <c r="M932" s="103"/>
      <c r="N932" s="103"/>
      <c r="O932" s="103">
        <f t="shared" si="1"/>
        <v>0</v>
      </c>
      <c r="P932" s="104">
        <f t="shared" si="2"/>
        <v>0</v>
      </c>
      <c r="Q932" s="147"/>
      <c r="R932" s="103"/>
      <c r="S932" s="103">
        <f t="shared" si="3"/>
        <v>0</v>
      </c>
      <c r="U932" s="107" t="str">
        <f t="shared" si="4"/>
        <v>0</v>
      </c>
    </row>
    <row r="933" ht="15.75" customHeight="1">
      <c r="A933" s="279"/>
      <c r="B933" s="280"/>
      <c r="C933" s="280"/>
      <c r="D933" s="280"/>
      <c r="E933" s="281"/>
      <c r="F933" s="281"/>
      <c r="G933" s="280"/>
      <c r="H933" s="282"/>
      <c r="I933" s="283"/>
      <c r="J933" s="280"/>
      <c r="K933" s="103"/>
      <c r="L933" s="146"/>
      <c r="M933" s="103"/>
      <c r="N933" s="103"/>
      <c r="O933" s="103">
        <f t="shared" si="1"/>
        <v>0</v>
      </c>
      <c r="P933" s="104">
        <f t="shared" si="2"/>
        <v>0</v>
      </c>
      <c r="Q933" s="147"/>
      <c r="R933" s="103"/>
      <c r="S933" s="103">
        <f t="shared" si="3"/>
        <v>0</v>
      </c>
      <c r="U933" s="107" t="str">
        <f t="shared" si="4"/>
        <v>0</v>
      </c>
    </row>
    <row r="934" ht="15.75" customHeight="1">
      <c r="A934" s="279"/>
      <c r="B934" s="280"/>
      <c r="C934" s="280"/>
      <c r="D934" s="280"/>
      <c r="E934" s="281"/>
      <c r="F934" s="281"/>
      <c r="G934" s="280"/>
      <c r="H934" s="282"/>
      <c r="I934" s="283"/>
      <c r="J934" s="280"/>
      <c r="K934" s="103"/>
      <c r="L934" s="146"/>
      <c r="M934" s="103"/>
      <c r="N934" s="103"/>
      <c r="O934" s="103">
        <f t="shared" si="1"/>
        <v>0</v>
      </c>
      <c r="P934" s="104">
        <f t="shared" si="2"/>
        <v>0</v>
      </c>
      <c r="Q934" s="147"/>
      <c r="R934" s="103"/>
      <c r="S934" s="103">
        <f t="shared" si="3"/>
        <v>0</v>
      </c>
      <c r="U934" s="107" t="str">
        <f t="shared" si="4"/>
        <v>0</v>
      </c>
    </row>
    <row r="935" ht="15.75" customHeight="1">
      <c r="A935" s="279"/>
      <c r="B935" s="280"/>
      <c r="C935" s="280"/>
      <c r="D935" s="280"/>
      <c r="E935" s="281"/>
      <c r="F935" s="281"/>
      <c r="G935" s="280"/>
      <c r="H935" s="282"/>
      <c r="I935" s="283"/>
      <c r="J935" s="280"/>
      <c r="K935" s="103"/>
      <c r="L935" s="146"/>
      <c r="M935" s="103"/>
      <c r="N935" s="103"/>
      <c r="O935" s="103">
        <f t="shared" si="1"/>
        <v>0</v>
      </c>
      <c r="P935" s="104">
        <f t="shared" si="2"/>
        <v>0</v>
      </c>
      <c r="Q935" s="147"/>
      <c r="R935" s="103"/>
      <c r="S935" s="103">
        <f t="shared" si="3"/>
        <v>0</v>
      </c>
      <c r="U935" s="107" t="str">
        <f t="shared" si="4"/>
        <v>0</v>
      </c>
    </row>
    <row r="936" ht="15.75" customHeight="1">
      <c r="A936" s="279"/>
      <c r="B936" s="280"/>
      <c r="C936" s="280"/>
      <c r="D936" s="280"/>
      <c r="E936" s="281"/>
      <c r="F936" s="281"/>
      <c r="G936" s="280"/>
      <c r="H936" s="282"/>
      <c r="I936" s="283"/>
      <c r="J936" s="280"/>
      <c r="K936" s="103"/>
      <c r="L936" s="146"/>
      <c r="M936" s="103"/>
      <c r="N936" s="103"/>
      <c r="O936" s="103">
        <f t="shared" si="1"/>
        <v>0</v>
      </c>
      <c r="P936" s="104">
        <f t="shared" si="2"/>
        <v>0</v>
      </c>
      <c r="Q936" s="147"/>
      <c r="R936" s="103"/>
      <c r="S936" s="103">
        <f t="shared" si="3"/>
        <v>0</v>
      </c>
      <c r="U936" s="107" t="str">
        <f t="shared" si="4"/>
        <v>0</v>
      </c>
    </row>
    <row r="937" ht="15.75" customHeight="1">
      <c r="A937" s="279"/>
      <c r="B937" s="280"/>
      <c r="C937" s="280"/>
      <c r="D937" s="280"/>
      <c r="E937" s="281"/>
      <c r="F937" s="281"/>
      <c r="G937" s="280"/>
      <c r="H937" s="282"/>
      <c r="I937" s="283"/>
      <c r="J937" s="280"/>
      <c r="K937" s="103"/>
      <c r="L937" s="146"/>
      <c r="M937" s="103"/>
      <c r="N937" s="103"/>
      <c r="O937" s="103">
        <f t="shared" si="1"/>
        <v>0</v>
      </c>
      <c r="P937" s="104">
        <f t="shared" si="2"/>
        <v>0</v>
      </c>
      <c r="Q937" s="147"/>
      <c r="R937" s="103"/>
      <c r="S937" s="103">
        <f t="shared" si="3"/>
        <v>0</v>
      </c>
      <c r="U937" s="107" t="str">
        <f t="shared" si="4"/>
        <v>0</v>
      </c>
    </row>
    <row r="938" ht="15.75" customHeight="1">
      <c r="A938" s="279"/>
      <c r="B938" s="280"/>
      <c r="C938" s="280"/>
      <c r="D938" s="280"/>
      <c r="E938" s="281"/>
      <c r="F938" s="281"/>
      <c r="G938" s="280"/>
      <c r="H938" s="282"/>
      <c r="I938" s="283"/>
      <c r="J938" s="280"/>
      <c r="K938" s="103"/>
      <c r="L938" s="146"/>
      <c r="M938" s="103"/>
      <c r="N938" s="103"/>
      <c r="O938" s="103">
        <f t="shared" si="1"/>
        <v>0</v>
      </c>
      <c r="P938" s="104">
        <f t="shared" si="2"/>
        <v>0</v>
      </c>
      <c r="Q938" s="147"/>
      <c r="R938" s="103"/>
      <c r="S938" s="103">
        <f t="shared" si="3"/>
        <v>0</v>
      </c>
      <c r="U938" s="107" t="str">
        <f t="shared" si="4"/>
        <v>0</v>
      </c>
    </row>
    <row r="939" ht="15.75" customHeight="1">
      <c r="A939" s="279"/>
      <c r="B939" s="280"/>
      <c r="C939" s="280"/>
      <c r="D939" s="280"/>
      <c r="E939" s="281"/>
      <c r="F939" s="281"/>
      <c r="G939" s="280"/>
      <c r="H939" s="282"/>
      <c r="I939" s="283"/>
      <c r="J939" s="280"/>
      <c r="K939" s="103"/>
      <c r="L939" s="146"/>
      <c r="M939" s="103"/>
      <c r="N939" s="103"/>
      <c r="O939" s="103">
        <f t="shared" si="1"/>
        <v>0</v>
      </c>
      <c r="P939" s="104">
        <f t="shared" si="2"/>
        <v>0</v>
      </c>
      <c r="Q939" s="147"/>
      <c r="R939" s="103"/>
      <c r="S939" s="103">
        <f t="shared" si="3"/>
        <v>0</v>
      </c>
      <c r="U939" s="107" t="str">
        <f t="shared" si="4"/>
        <v>0</v>
      </c>
    </row>
    <row r="940" ht="15.75" customHeight="1">
      <c r="A940" s="279"/>
      <c r="B940" s="280"/>
      <c r="C940" s="280"/>
      <c r="D940" s="280"/>
      <c r="E940" s="281"/>
      <c r="F940" s="281"/>
      <c r="G940" s="280"/>
      <c r="H940" s="282"/>
      <c r="I940" s="283"/>
      <c r="J940" s="280"/>
      <c r="K940" s="103"/>
      <c r="L940" s="146"/>
      <c r="M940" s="103"/>
      <c r="N940" s="103"/>
      <c r="O940" s="103">
        <f t="shared" si="1"/>
        <v>0</v>
      </c>
      <c r="P940" s="104">
        <f t="shared" si="2"/>
        <v>0</v>
      </c>
      <c r="Q940" s="147"/>
      <c r="R940" s="103"/>
      <c r="S940" s="103">
        <f t="shared" si="3"/>
        <v>0</v>
      </c>
      <c r="U940" s="107" t="str">
        <f t="shared" si="4"/>
        <v>0</v>
      </c>
    </row>
    <row r="941" ht="15.75" customHeight="1">
      <c r="A941" s="279"/>
      <c r="B941" s="280"/>
      <c r="C941" s="280"/>
      <c r="D941" s="280"/>
      <c r="E941" s="281"/>
      <c r="F941" s="281"/>
      <c r="G941" s="280"/>
      <c r="H941" s="282"/>
      <c r="I941" s="283"/>
      <c r="J941" s="280"/>
      <c r="K941" s="103"/>
      <c r="L941" s="146"/>
      <c r="M941" s="103"/>
      <c r="N941" s="103"/>
      <c r="O941" s="103">
        <f t="shared" si="1"/>
        <v>0</v>
      </c>
      <c r="P941" s="104">
        <f t="shared" si="2"/>
        <v>0</v>
      </c>
      <c r="Q941" s="147"/>
      <c r="R941" s="103"/>
      <c r="S941" s="103">
        <f t="shared" si="3"/>
        <v>0</v>
      </c>
      <c r="U941" s="107" t="str">
        <f t="shared" si="4"/>
        <v>0</v>
      </c>
    </row>
    <row r="942" ht="15.75" customHeight="1">
      <c r="A942" s="279"/>
      <c r="B942" s="280"/>
      <c r="C942" s="280"/>
      <c r="D942" s="280"/>
      <c r="E942" s="281"/>
      <c r="F942" s="281"/>
      <c r="G942" s="280"/>
      <c r="H942" s="282"/>
      <c r="I942" s="283"/>
      <c r="J942" s="280"/>
      <c r="K942" s="103"/>
      <c r="L942" s="146"/>
      <c r="M942" s="103"/>
      <c r="N942" s="103"/>
      <c r="O942" s="103">
        <f t="shared" si="1"/>
        <v>0</v>
      </c>
      <c r="P942" s="104">
        <f t="shared" si="2"/>
        <v>0</v>
      </c>
      <c r="Q942" s="147"/>
      <c r="R942" s="103"/>
      <c r="S942" s="103">
        <f t="shared" si="3"/>
        <v>0</v>
      </c>
      <c r="U942" s="107" t="str">
        <f t="shared" si="4"/>
        <v>0</v>
      </c>
    </row>
    <row r="943" ht="15.75" customHeight="1">
      <c r="A943" s="279"/>
      <c r="B943" s="280"/>
      <c r="C943" s="280"/>
      <c r="D943" s="280"/>
      <c r="E943" s="281"/>
      <c r="F943" s="281"/>
      <c r="G943" s="280"/>
      <c r="H943" s="282"/>
      <c r="I943" s="283"/>
      <c r="J943" s="280"/>
      <c r="K943" s="103"/>
      <c r="L943" s="146"/>
      <c r="M943" s="103"/>
      <c r="N943" s="103"/>
      <c r="O943" s="103">
        <f t="shared" si="1"/>
        <v>0</v>
      </c>
      <c r="P943" s="104">
        <f t="shared" si="2"/>
        <v>0</v>
      </c>
      <c r="Q943" s="147"/>
      <c r="R943" s="103"/>
      <c r="S943" s="103">
        <f t="shared" si="3"/>
        <v>0</v>
      </c>
      <c r="U943" s="107" t="str">
        <f t="shared" si="4"/>
        <v>0</v>
      </c>
    </row>
    <row r="944" ht="15.75" customHeight="1">
      <c r="A944" s="279"/>
      <c r="B944" s="280"/>
      <c r="C944" s="280"/>
      <c r="D944" s="280"/>
      <c r="E944" s="281"/>
      <c r="F944" s="281"/>
      <c r="G944" s="280"/>
      <c r="H944" s="282"/>
      <c r="I944" s="283"/>
      <c r="J944" s="280"/>
      <c r="K944" s="103"/>
      <c r="L944" s="146"/>
      <c r="M944" s="103"/>
      <c r="N944" s="103"/>
      <c r="O944" s="103">
        <f t="shared" si="1"/>
        <v>0</v>
      </c>
      <c r="P944" s="104">
        <f t="shared" si="2"/>
        <v>0</v>
      </c>
      <c r="Q944" s="147"/>
      <c r="R944" s="103"/>
      <c r="S944" s="103">
        <f t="shared" si="3"/>
        <v>0</v>
      </c>
      <c r="U944" s="107" t="str">
        <f t="shared" si="4"/>
        <v>0</v>
      </c>
    </row>
    <row r="945" ht="15.75" customHeight="1">
      <c r="A945" s="279"/>
      <c r="B945" s="280"/>
      <c r="C945" s="280"/>
      <c r="D945" s="280"/>
      <c r="E945" s="281"/>
      <c r="F945" s="281"/>
      <c r="G945" s="280"/>
      <c r="H945" s="282"/>
      <c r="I945" s="283"/>
      <c r="J945" s="280"/>
      <c r="K945" s="103"/>
      <c r="L945" s="146"/>
      <c r="M945" s="103"/>
      <c r="N945" s="103"/>
      <c r="O945" s="103">
        <f t="shared" si="1"/>
        <v>0</v>
      </c>
      <c r="P945" s="104">
        <f t="shared" si="2"/>
        <v>0</v>
      </c>
      <c r="Q945" s="147"/>
      <c r="R945" s="103"/>
      <c r="S945" s="103">
        <f t="shared" si="3"/>
        <v>0</v>
      </c>
      <c r="U945" s="107" t="str">
        <f t="shared" si="4"/>
        <v>0</v>
      </c>
    </row>
    <row r="946" ht="15.75" customHeight="1">
      <c r="A946" s="279"/>
      <c r="B946" s="280"/>
      <c r="C946" s="280"/>
      <c r="D946" s="280"/>
      <c r="E946" s="281"/>
      <c r="F946" s="281"/>
      <c r="G946" s="280"/>
      <c r="H946" s="282"/>
      <c r="I946" s="283"/>
      <c r="J946" s="280"/>
      <c r="K946" s="103"/>
      <c r="L946" s="146"/>
      <c r="M946" s="103"/>
      <c r="N946" s="103"/>
      <c r="O946" s="103">
        <f t="shared" si="1"/>
        <v>0</v>
      </c>
      <c r="P946" s="104">
        <f t="shared" si="2"/>
        <v>0</v>
      </c>
      <c r="Q946" s="147"/>
      <c r="R946" s="103"/>
      <c r="S946" s="103">
        <f t="shared" si="3"/>
        <v>0</v>
      </c>
      <c r="U946" s="107" t="str">
        <f t="shared" si="4"/>
        <v>0</v>
      </c>
    </row>
    <row r="947" ht="15.75" customHeight="1">
      <c r="A947" s="279"/>
      <c r="B947" s="280"/>
      <c r="C947" s="280"/>
      <c r="D947" s="280"/>
      <c r="E947" s="281"/>
      <c r="F947" s="281"/>
      <c r="G947" s="280"/>
      <c r="H947" s="282"/>
      <c r="I947" s="283"/>
      <c r="J947" s="280"/>
      <c r="K947" s="103"/>
      <c r="L947" s="146"/>
      <c r="M947" s="103"/>
      <c r="N947" s="103"/>
      <c r="O947" s="103">
        <f t="shared" si="1"/>
        <v>0</v>
      </c>
      <c r="P947" s="104">
        <f t="shared" si="2"/>
        <v>0</v>
      </c>
      <c r="Q947" s="147"/>
      <c r="R947" s="103"/>
      <c r="S947" s="103">
        <f t="shared" si="3"/>
        <v>0</v>
      </c>
      <c r="U947" s="107" t="str">
        <f t="shared" si="4"/>
        <v>0</v>
      </c>
    </row>
    <row r="948" ht="15.75" customHeight="1">
      <c r="A948" s="279"/>
      <c r="B948" s="280"/>
      <c r="C948" s="280"/>
      <c r="D948" s="280"/>
      <c r="E948" s="281"/>
      <c r="F948" s="281"/>
      <c r="G948" s="280"/>
      <c r="H948" s="282"/>
      <c r="I948" s="283"/>
      <c r="J948" s="280"/>
      <c r="K948" s="103"/>
      <c r="L948" s="146"/>
      <c r="M948" s="103"/>
      <c r="N948" s="103"/>
      <c r="O948" s="103">
        <f t="shared" si="1"/>
        <v>0</v>
      </c>
      <c r="P948" s="104">
        <f t="shared" si="2"/>
        <v>0</v>
      </c>
      <c r="Q948" s="147"/>
      <c r="R948" s="103"/>
      <c r="S948" s="103">
        <f t="shared" si="3"/>
        <v>0</v>
      </c>
      <c r="U948" s="107" t="str">
        <f t="shared" si="4"/>
        <v>0</v>
      </c>
    </row>
    <row r="949" ht="15.75" customHeight="1">
      <c r="A949" s="279"/>
      <c r="B949" s="280"/>
      <c r="C949" s="280"/>
      <c r="D949" s="280"/>
      <c r="E949" s="281"/>
      <c r="F949" s="281"/>
      <c r="G949" s="280"/>
      <c r="H949" s="282"/>
      <c r="I949" s="283"/>
      <c r="J949" s="280"/>
      <c r="K949" s="103"/>
      <c r="L949" s="146"/>
      <c r="M949" s="103"/>
      <c r="N949" s="103"/>
      <c r="O949" s="103">
        <f t="shared" si="1"/>
        <v>0</v>
      </c>
      <c r="P949" s="104">
        <f t="shared" si="2"/>
        <v>0</v>
      </c>
      <c r="Q949" s="147"/>
      <c r="R949" s="103"/>
      <c r="S949" s="103">
        <f t="shared" si="3"/>
        <v>0</v>
      </c>
      <c r="U949" s="107" t="str">
        <f t="shared" si="4"/>
        <v>0</v>
      </c>
    </row>
    <row r="950" ht="15.75" customHeight="1">
      <c r="A950" s="279"/>
      <c r="B950" s="280"/>
      <c r="C950" s="280"/>
      <c r="D950" s="280"/>
      <c r="E950" s="281"/>
      <c r="F950" s="281"/>
      <c r="G950" s="280"/>
      <c r="H950" s="282"/>
      <c r="I950" s="283"/>
      <c r="J950" s="280"/>
      <c r="K950" s="103"/>
      <c r="L950" s="146"/>
      <c r="M950" s="103"/>
      <c r="N950" s="103"/>
      <c r="O950" s="103">
        <f t="shared" si="1"/>
        <v>0</v>
      </c>
      <c r="P950" s="104">
        <f t="shared" si="2"/>
        <v>0</v>
      </c>
      <c r="Q950" s="147"/>
      <c r="R950" s="103"/>
      <c r="S950" s="103">
        <f t="shared" si="3"/>
        <v>0</v>
      </c>
      <c r="U950" s="107" t="str">
        <f t="shared" si="4"/>
        <v>0</v>
      </c>
    </row>
    <row r="951" ht="15.75" customHeight="1">
      <c r="A951" s="279"/>
      <c r="B951" s="280"/>
      <c r="C951" s="280"/>
      <c r="D951" s="280"/>
      <c r="E951" s="281"/>
      <c r="F951" s="281"/>
      <c r="G951" s="280"/>
      <c r="H951" s="282"/>
      <c r="I951" s="283"/>
      <c r="J951" s="280"/>
      <c r="K951" s="103"/>
      <c r="L951" s="146"/>
      <c r="M951" s="103"/>
      <c r="N951" s="103"/>
      <c r="O951" s="103">
        <f t="shared" si="1"/>
        <v>0</v>
      </c>
      <c r="P951" s="104">
        <f t="shared" si="2"/>
        <v>0</v>
      </c>
      <c r="Q951" s="147"/>
      <c r="R951" s="103"/>
      <c r="S951" s="103">
        <f t="shared" si="3"/>
        <v>0</v>
      </c>
      <c r="U951" s="107" t="str">
        <f t="shared" si="4"/>
        <v>0</v>
      </c>
    </row>
    <row r="952" ht="15.75" customHeight="1">
      <c r="A952" s="279"/>
      <c r="B952" s="280"/>
      <c r="C952" s="280"/>
      <c r="D952" s="280"/>
      <c r="E952" s="281"/>
      <c r="F952" s="281"/>
      <c r="G952" s="280"/>
      <c r="H952" s="282"/>
      <c r="I952" s="283"/>
      <c r="J952" s="280"/>
      <c r="K952" s="103"/>
      <c r="L952" s="146"/>
      <c r="M952" s="103"/>
      <c r="N952" s="103"/>
      <c r="O952" s="103">
        <f t="shared" si="1"/>
        <v>0</v>
      </c>
      <c r="P952" s="104">
        <f t="shared" si="2"/>
        <v>0</v>
      </c>
      <c r="Q952" s="147"/>
      <c r="R952" s="103"/>
      <c r="S952" s="103">
        <f t="shared" si="3"/>
        <v>0</v>
      </c>
      <c r="U952" s="107" t="str">
        <f t="shared" si="4"/>
        <v>0</v>
      </c>
    </row>
    <row r="953" ht="15.75" customHeight="1">
      <c r="A953" s="279"/>
      <c r="B953" s="280"/>
      <c r="C953" s="280"/>
      <c r="D953" s="280"/>
      <c r="E953" s="281"/>
      <c r="F953" s="281"/>
      <c r="G953" s="280"/>
      <c r="H953" s="282"/>
      <c r="I953" s="283"/>
      <c r="J953" s="280"/>
      <c r="K953" s="103"/>
      <c r="L953" s="146"/>
      <c r="M953" s="103"/>
      <c r="N953" s="103"/>
      <c r="O953" s="103">
        <f t="shared" si="1"/>
        <v>0</v>
      </c>
      <c r="P953" s="104">
        <f t="shared" si="2"/>
        <v>0</v>
      </c>
      <c r="Q953" s="147"/>
      <c r="R953" s="103"/>
      <c r="S953" s="103">
        <f t="shared" si="3"/>
        <v>0</v>
      </c>
      <c r="U953" s="107" t="str">
        <f t="shared" si="4"/>
        <v>0</v>
      </c>
    </row>
    <row r="954" ht="15.75" customHeight="1">
      <c r="A954" s="279"/>
      <c r="B954" s="280"/>
      <c r="C954" s="280"/>
      <c r="D954" s="280"/>
      <c r="E954" s="281"/>
      <c r="F954" s="281"/>
      <c r="G954" s="280"/>
      <c r="H954" s="282"/>
      <c r="I954" s="283"/>
      <c r="J954" s="280"/>
      <c r="K954" s="103"/>
      <c r="L954" s="146"/>
      <c r="M954" s="103"/>
      <c r="N954" s="103"/>
      <c r="O954" s="103">
        <f t="shared" si="1"/>
        <v>0</v>
      </c>
      <c r="P954" s="104">
        <f t="shared" si="2"/>
        <v>0</v>
      </c>
      <c r="Q954" s="147"/>
      <c r="R954" s="103"/>
      <c r="S954" s="103">
        <f t="shared" si="3"/>
        <v>0</v>
      </c>
      <c r="U954" s="107" t="str">
        <f t="shared" si="4"/>
        <v>0</v>
      </c>
    </row>
    <row r="955" ht="15.75" customHeight="1">
      <c r="A955" s="279"/>
      <c r="B955" s="280"/>
      <c r="C955" s="280"/>
      <c r="D955" s="280"/>
      <c r="E955" s="281"/>
      <c r="F955" s="281"/>
      <c r="G955" s="280"/>
      <c r="H955" s="282"/>
      <c r="I955" s="283"/>
      <c r="J955" s="280"/>
      <c r="K955" s="103"/>
      <c r="L955" s="146"/>
      <c r="M955" s="103"/>
      <c r="N955" s="103"/>
      <c r="O955" s="103">
        <f t="shared" si="1"/>
        <v>0</v>
      </c>
      <c r="P955" s="104">
        <f t="shared" si="2"/>
        <v>0</v>
      </c>
      <c r="Q955" s="147"/>
      <c r="R955" s="103"/>
      <c r="S955" s="103">
        <f t="shared" si="3"/>
        <v>0</v>
      </c>
      <c r="U955" s="107" t="str">
        <f t="shared" si="4"/>
        <v>0</v>
      </c>
    </row>
    <row r="956" ht="15.75" customHeight="1">
      <c r="A956" s="279"/>
      <c r="B956" s="280"/>
      <c r="C956" s="280"/>
      <c r="D956" s="280"/>
      <c r="E956" s="281"/>
      <c r="F956" s="281"/>
      <c r="G956" s="280"/>
      <c r="H956" s="282"/>
      <c r="I956" s="283"/>
      <c r="J956" s="280"/>
      <c r="K956" s="103"/>
      <c r="L956" s="146"/>
      <c r="M956" s="103"/>
      <c r="N956" s="103"/>
      <c r="O956" s="103">
        <f t="shared" si="1"/>
        <v>0</v>
      </c>
      <c r="P956" s="104">
        <f t="shared" si="2"/>
        <v>0</v>
      </c>
      <c r="Q956" s="147"/>
      <c r="R956" s="103"/>
      <c r="S956" s="103">
        <f t="shared" si="3"/>
        <v>0</v>
      </c>
      <c r="U956" s="107" t="str">
        <f t="shared" si="4"/>
        <v>0</v>
      </c>
    </row>
    <row r="957" ht="15.75" customHeight="1">
      <c r="A957" s="279"/>
      <c r="B957" s="280"/>
      <c r="C957" s="280"/>
      <c r="D957" s="280"/>
      <c r="E957" s="281"/>
      <c r="F957" s="281"/>
      <c r="G957" s="280"/>
      <c r="H957" s="282"/>
      <c r="I957" s="283"/>
      <c r="J957" s="280"/>
      <c r="K957" s="103"/>
      <c r="L957" s="146"/>
      <c r="M957" s="103"/>
      <c r="N957" s="103"/>
      <c r="O957" s="103">
        <f t="shared" si="1"/>
        <v>0</v>
      </c>
      <c r="P957" s="104">
        <f t="shared" si="2"/>
        <v>0</v>
      </c>
      <c r="Q957" s="147"/>
      <c r="R957" s="103"/>
      <c r="S957" s="103">
        <f t="shared" si="3"/>
        <v>0</v>
      </c>
      <c r="U957" s="107" t="str">
        <f t="shared" si="4"/>
        <v>0</v>
      </c>
    </row>
    <row r="958" ht="15.75" customHeight="1">
      <c r="A958" s="279"/>
      <c r="B958" s="280"/>
      <c r="C958" s="280"/>
      <c r="D958" s="280"/>
      <c r="E958" s="281"/>
      <c r="F958" s="281"/>
      <c r="G958" s="280"/>
      <c r="H958" s="282"/>
      <c r="I958" s="283"/>
      <c r="J958" s="280"/>
      <c r="K958" s="103"/>
      <c r="L958" s="146"/>
      <c r="M958" s="103"/>
      <c r="N958" s="103"/>
      <c r="O958" s="103">
        <f t="shared" si="1"/>
        <v>0</v>
      </c>
      <c r="P958" s="104">
        <f t="shared" si="2"/>
        <v>0</v>
      </c>
      <c r="Q958" s="147"/>
      <c r="R958" s="103"/>
      <c r="S958" s="103">
        <f t="shared" si="3"/>
        <v>0</v>
      </c>
      <c r="U958" s="107" t="str">
        <f t="shared" si="4"/>
        <v>0</v>
      </c>
    </row>
    <row r="959" ht="15.75" customHeight="1">
      <c r="A959" s="279"/>
      <c r="B959" s="280"/>
      <c r="C959" s="280"/>
      <c r="D959" s="280"/>
      <c r="E959" s="281"/>
      <c r="F959" s="281"/>
      <c r="G959" s="280"/>
      <c r="H959" s="282"/>
      <c r="I959" s="283"/>
      <c r="J959" s="280"/>
      <c r="K959" s="103"/>
      <c r="L959" s="146"/>
      <c r="M959" s="103"/>
      <c r="N959" s="103"/>
      <c r="O959" s="103">
        <f t="shared" si="1"/>
        <v>0</v>
      </c>
      <c r="P959" s="104">
        <f t="shared" si="2"/>
        <v>0</v>
      </c>
      <c r="Q959" s="147"/>
      <c r="R959" s="103"/>
      <c r="S959" s="103">
        <f t="shared" si="3"/>
        <v>0</v>
      </c>
      <c r="U959" s="107" t="str">
        <f t="shared" si="4"/>
        <v>0</v>
      </c>
    </row>
    <row r="960" ht="15.75" customHeight="1">
      <c r="A960" s="279"/>
      <c r="B960" s="280"/>
      <c r="C960" s="280"/>
      <c r="D960" s="280"/>
      <c r="E960" s="281"/>
      <c r="F960" s="281"/>
      <c r="G960" s="280"/>
      <c r="H960" s="282"/>
      <c r="I960" s="283"/>
      <c r="J960" s="280"/>
      <c r="K960" s="103"/>
      <c r="L960" s="146"/>
      <c r="M960" s="103"/>
      <c r="N960" s="103"/>
      <c r="O960" s="103">
        <f t="shared" si="1"/>
        <v>0</v>
      </c>
      <c r="P960" s="104">
        <f t="shared" si="2"/>
        <v>0</v>
      </c>
      <c r="Q960" s="147"/>
      <c r="R960" s="103"/>
      <c r="S960" s="103">
        <f t="shared" si="3"/>
        <v>0</v>
      </c>
      <c r="U960" s="107" t="str">
        <f t="shared" si="4"/>
        <v>0</v>
      </c>
    </row>
    <row r="961" ht="15.75" customHeight="1">
      <c r="A961" s="279"/>
      <c r="B961" s="280"/>
      <c r="C961" s="280"/>
      <c r="D961" s="280"/>
      <c r="E961" s="281"/>
      <c r="F961" s="281"/>
      <c r="G961" s="280"/>
      <c r="H961" s="282"/>
      <c r="I961" s="283"/>
      <c r="J961" s="280"/>
      <c r="K961" s="103"/>
      <c r="L961" s="146"/>
      <c r="M961" s="103"/>
      <c r="N961" s="103"/>
      <c r="O961" s="103">
        <f t="shared" si="1"/>
        <v>0</v>
      </c>
      <c r="P961" s="104">
        <f t="shared" si="2"/>
        <v>0</v>
      </c>
      <c r="Q961" s="147"/>
      <c r="R961" s="103"/>
      <c r="S961" s="103">
        <f t="shared" si="3"/>
        <v>0</v>
      </c>
      <c r="U961" s="107" t="str">
        <f t="shared" si="4"/>
        <v>0</v>
      </c>
    </row>
    <row r="962" ht="15.75" customHeight="1">
      <c r="A962" s="279"/>
      <c r="B962" s="280"/>
      <c r="C962" s="280"/>
      <c r="D962" s="280"/>
      <c r="E962" s="281"/>
      <c r="F962" s="281"/>
      <c r="G962" s="280"/>
      <c r="H962" s="282"/>
      <c r="I962" s="283"/>
      <c r="J962" s="280"/>
      <c r="K962" s="103"/>
      <c r="L962" s="146"/>
      <c r="M962" s="103"/>
      <c r="N962" s="103"/>
      <c r="O962" s="103">
        <f t="shared" si="1"/>
        <v>0</v>
      </c>
      <c r="P962" s="104">
        <f t="shared" si="2"/>
        <v>0</v>
      </c>
      <c r="Q962" s="147"/>
      <c r="R962" s="103"/>
      <c r="S962" s="103">
        <f t="shared" si="3"/>
        <v>0</v>
      </c>
      <c r="U962" s="107" t="str">
        <f t="shared" si="4"/>
        <v>0</v>
      </c>
    </row>
    <row r="963" ht="15.75" customHeight="1">
      <c r="A963" s="279"/>
      <c r="B963" s="280"/>
      <c r="C963" s="280"/>
      <c r="D963" s="280"/>
      <c r="E963" s="281"/>
      <c r="F963" s="281"/>
      <c r="G963" s="280"/>
      <c r="H963" s="282"/>
      <c r="I963" s="283"/>
      <c r="J963" s="280"/>
      <c r="K963" s="103"/>
      <c r="L963" s="146"/>
      <c r="M963" s="103"/>
      <c r="N963" s="103"/>
      <c r="O963" s="103">
        <f t="shared" si="1"/>
        <v>0</v>
      </c>
      <c r="P963" s="104">
        <f t="shared" si="2"/>
        <v>0</v>
      </c>
      <c r="Q963" s="147"/>
      <c r="R963" s="103"/>
      <c r="S963" s="103">
        <f t="shared" si="3"/>
        <v>0</v>
      </c>
      <c r="U963" s="107" t="str">
        <f t="shared" si="4"/>
        <v>0</v>
      </c>
    </row>
    <row r="964" ht="15.75" customHeight="1">
      <c r="A964" s="279"/>
      <c r="B964" s="280"/>
      <c r="C964" s="280"/>
      <c r="D964" s="280"/>
      <c r="E964" s="281"/>
      <c r="F964" s="281"/>
      <c r="G964" s="280"/>
      <c r="H964" s="282"/>
      <c r="I964" s="283"/>
      <c r="J964" s="280"/>
      <c r="K964" s="103"/>
      <c r="L964" s="146"/>
      <c r="M964" s="103"/>
      <c r="N964" s="103"/>
      <c r="O964" s="103">
        <f t="shared" si="1"/>
        <v>0</v>
      </c>
      <c r="P964" s="104">
        <f t="shared" si="2"/>
        <v>0</v>
      </c>
      <c r="Q964" s="147"/>
      <c r="R964" s="103"/>
      <c r="S964" s="103">
        <f t="shared" si="3"/>
        <v>0</v>
      </c>
      <c r="U964" s="107" t="str">
        <f t="shared" si="4"/>
        <v>0</v>
      </c>
    </row>
    <row r="965" ht="15.75" customHeight="1">
      <c r="A965" s="279"/>
      <c r="B965" s="280"/>
      <c r="C965" s="280"/>
      <c r="D965" s="280"/>
      <c r="E965" s="281"/>
      <c r="F965" s="281"/>
      <c r="G965" s="280"/>
      <c r="H965" s="282"/>
      <c r="I965" s="283"/>
      <c r="J965" s="280"/>
      <c r="K965" s="103"/>
      <c r="L965" s="146"/>
      <c r="M965" s="103"/>
      <c r="N965" s="103"/>
      <c r="O965" s="103">
        <f t="shared" si="1"/>
        <v>0</v>
      </c>
      <c r="P965" s="104">
        <f t="shared" si="2"/>
        <v>0</v>
      </c>
      <c r="Q965" s="147"/>
      <c r="R965" s="103"/>
      <c r="S965" s="103">
        <f t="shared" si="3"/>
        <v>0</v>
      </c>
      <c r="U965" s="107" t="str">
        <f t="shared" si="4"/>
        <v>0</v>
      </c>
    </row>
    <row r="966" ht="15.75" customHeight="1">
      <c r="A966" s="279"/>
      <c r="B966" s="280"/>
      <c r="C966" s="280"/>
      <c r="D966" s="280"/>
      <c r="E966" s="281"/>
      <c r="F966" s="281"/>
      <c r="G966" s="280"/>
      <c r="H966" s="282"/>
      <c r="I966" s="283"/>
      <c r="J966" s="280"/>
      <c r="K966" s="103"/>
      <c r="L966" s="146"/>
      <c r="M966" s="103"/>
      <c r="N966" s="103"/>
      <c r="O966" s="103">
        <f t="shared" si="1"/>
        <v>0</v>
      </c>
      <c r="P966" s="104">
        <f t="shared" si="2"/>
        <v>0</v>
      </c>
      <c r="Q966" s="147"/>
      <c r="R966" s="103"/>
      <c r="S966" s="103">
        <f t="shared" si="3"/>
        <v>0</v>
      </c>
      <c r="U966" s="107" t="str">
        <f t="shared" si="4"/>
        <v>0</v>
      </c>
    </row>
    <row r="967" ht="15.75" customHeight="1">
      <c r="A967" s="279"/>
      <c r="B967" s="280"/>
      <c r="C967" s="280"/>
      <c r="D967" s="280"/>
      <c r="E967" s="281"/>
      <c r="F967" s="281"/>
      <c r="G967" s="280"/>
      <c r="H967" s="282"/>
      <c r="I967" s="283"/>
      <c r="J967" s="280"/>
      <c r="K967" s="103"/>
      <c r="L967" s="146"/>
      <c r="M967" s="103"/>
      <c r="N967" s="103"/>
      <c r="O967" s="103">
        <f t="shared" si="1"/>
        <v>0</v>
      </c>
      <c r="P967" s="104">
        <f t="shared" si="2"/>
        <v>0</v>
      </c>
      <c r="Q967" s="147"/>
      <c r="R967" s="103"/>
      <c r="S967" s="103">
        <f t="shared" si="3"/>
        <v>0</v>
      </c>
      <c r="U967" s="107" t="str">
        <f t="shared" si="4"/>
        <v>0</v>
      </c>
    </row>
    <row r="968" ht="15.75" customHeight="1">
      <c r="A968" s="279"/>
      <c r="B968" s="280"/>
      <c r="C968" s="280"/>
      <c r="D968" s="280"/>
      <c r="E968" s="281"/>
      <c r="F968" s="281"/>
      <c r="G968" s="280"/>
      <c r="H968" s="282"/>
      <c r="I968" s="283"/>
      <c r="J968" s="280"/>
      <c r="K968" s="103"/>
      <c r="L968" s="146"/>
      <c r="M968" s="103"/>
      <c r="N968" s="103"/>
      <c r="O968" s="103">
        <f t="shared" si="1"/>
        <v>0</v>
      </c>
      <c r="P968" s="104">
        <f t="shared" si="2"/>
        <v>0</v>
      </c>
      <c r="Q968" s="147"/>
      <c r="R968" s="103"/>
      <c r="S968" s="103">
        <f t="shared" si="3"/>
        <v>0</v>
      </c>
      <c r="U968" s="107" t="str">
        <f t="shared" si="4"/>
        <v>0</v>
      </c>
    </row>
    <row r="969" ht="15.75" customHeight="1">
      <c r="A969" s="279"/>
      <c r="B969" s="280"/>
      <c r="C969" s="280"/>
      <c r="D969" s="280"/>
      <c r="E969" s="281"/>
      <c r="F969" s="281"/>
      <c r="G969" s="280"/>
      <c r="H969" s="282"/>
      <c r="I969" s="283"/>
      <c r="J969" s="280"/>
      <c r="K969" s="103"/>
      <c r="L969" s="146"/>
      <c r="M969" s="103"/>
      <c r="N969" s="103"/>
      <c r="O969" s="103">
        <f t="shared" si="1"/>
        <v>0</v>
      </c>
      <c r="P969" s="104">
        <f t="shared" si="2"/>
        <v>0</v>
      </c>
      <c r="Q969" s="147"/>
      <c r="R969" s="103"/>
      <c r="S969" s="103">
        <f t="shared" si="3"/>
        <v>0</v>
      </c>
      <c r="U969" s="107" t="str">
        <f t="shared" si="4"/>
        <v>0</v>
      </c>
    </row>
    <row r="970" ht="15.75" customHeight="1">
      <c r="A970" s="279"/>
      <c r="B970" s="280"/>
      <c r="C970" s="280"/>
      <c r="D970" s="280"/>
      <c r="E970" s="281"/>
      <c r="F970" s="281"/>
      <c r="G970" s="280"/>
      <c r="H970" s="282"/>
      <c r="I970" s="283"/>
      <c r="J970" s="280"/>
      <c r="K970" s="103"/>
      <c r="L970" s="146"/>
      <c r="M970" s="103"/>
      <c r="N970" s="103"/>
      <c r="O970" s="103">
        <f t="shared" si="1"/>
        <v>0</v>
      </c>
      <c r="P970" s="104">
        <f t="shared" si="2"/>
        <v>0</v>
      </c>
      <c r="Q970" s="147"/>
      <c r="R970" s="103"/>
      <c r="S970" s="103">
        <f t="shared" si="3"/>
        <v>0</v>
      </c>
      <c r="U970" s="107" t="str">
        <f t="shared" si="4"/>
        <v>0</v>
      </c>
    </row>
    <row r="971" ht="15.75" customHeight="1">
      <c r="A971" s="279"/>
      <c r="B971" s="280"/>
      <c r="C971" s="280"/>
      <c r="D971" s="280"/>
      <c r="E971" s="281"/>
      <c r="F971" s="281"/>
      <c r="G971" s="280"/>
      <c r="H971" s="282"/>
      <c r="I971" s="283"/>
      <c r="J971" s="280"/>
      <c r="K971" s="103"/>
      <c r="L971" s="146"/>
      <c r="M971" s="103"/>
      <c r="N971" s="103"/>
      <c r="O971" s="103">
        <f t="shared" si="1"/>
        <v>0</v>
      </c>
      <c r="P971" s="104">
        <f t="shared" si="2"/>
        <v>0</v>
      </c>
      <c r="Q971" s="147"/>
      <c r="R971" s="103"/>
      <c r="S971" s="103">
        <f t="shared" si="3"/>
        <v>0</v>
      </c>
      <c r="U971" s="107" t="str">
        <f t="shared" si="4"/>
        <v>0</v>
      </c>
    </row>
    <row r="972" ht="15.75" customHeight="1">
      <c r="A972" s="279"/>
      <c r="B972" s="280"/>
      <c r="C972" s="280"/>
      <c r="D972" s="280"/>
      <c r="E972" s="281"/>
      <c r="F972" s="281"/>
      <c r="G972" s="280"/>
      <c r="H972" s="282"/>
      <c r="I972" s="283"/>
      <c r="J972" s="280"/>
      <c r="K972" s="103"/>
      <c r="L972" s="146"/>
      <c r="M972" s="103"/>
      <c r="N972" s="103"/>
      <c r="O972" s="103">
        <f t="shared" si="1"/>
        <v>0</v>
      </c>
      <c r="P972" s="104">
        <f t="shared" si="2"/>
        <v>0</v>
      </c>
      <c r="Q972" s="147"/>
      <c r="R972" s="103"/>
      <c r="S972" s="103">
        <f t="shared" si="3"/>
        <v>0</v>
      </c>
      <c r="U972" s="107" t="str">
        <f t="shared" si="4"/>
        <v>0</v>
      </c>
    </row>
    <row r="973" ht="15.75" customHeight="1">
      <c r="A973" s="279"/>
      <c r="B973" s="280"/>
      <c r="C973" s="280"/>
      <c r="D973" s="280"/>
      <c r="E973" s="281"/>
      <c r="F973" s="281"/>
      <c r="G973" s="280"/>
      <c r="H973" s="282"/>
      <c r="I973" s="283"/>
      <c r="J973" s="280"/>
      <c r="K973" s="103"/>
      <c r="L973" s="146"/>
      <c r="M973" s="103"/>
      <c r="N973" s="103"/>
      <c r="O973" s="103">
        <f t="shared" si="1"/>
        <v>0</v>
      </c>
      <c r="P973" s="104">
        <f t="shared" si="2"/>
        <v>0</v>
      </c>
      <c r="Q973" s="147"/>
      <c r="R973" s="103"/>
      <c r="S973" s="103">
        <f t="shared" si="3"/>
        <v>0</v>
      </c>
      <c r="U973" s="107" t="str">
        <f t="shared" si="4"/>
        <v>0</v>
      </c>
    </row>
    <row r="974" ht="15.75" customHeight="1">
      <c r="A974" s="279"/>
      <c r="B974" s="280"/>
      <c r="C974" s="280"/>
      <c r="D974" s="280"/>
      <c r="E974" s="281"/>
      <c r="F974" s="281"/>
      <c r="G974" s="280"/>
      <c r="H974" s="282"/>
      <c r="I974" s="283"/>
      <c r="J974" s="280"/>
      <c r="K974" s="103"/>
      <c r="L974" s="146"/>
      <c r="M974" s="103"/>
      <c r="N974" s="103"/>
      <c r="O974" s="103">
        <f t="shared" si="1"/>
        <v>0</v>
      </c>
      <c r="P974" s="104">
        <f t="shared" si="2"/>
        <v>0</v>
      </c>
      <c r="Q974" s="147"/>
      <c r="R974" s="103"/>
      <c r="S974" s="103">
        <f t="shared" si="3"/>
        <v>0</v>
      </c>
      <c r="U974" s="107" t="str">
        <f t="shared" si="4"/>
        <v>0</v>
      </c>
    </row>
    <row r="975" ht="15.75" customHeight="1">
      <c r="A975" s="279"/>
      <c r="B975" s="280"/>
      <c r="C975" s="280"/>
      <c r="D975" s="280"/>
      <c r="E975" s="281"/>
      <c r="F975" s="281"/>
      <c r="G975" s="280"/>
      <c r="H975" s="282"/>
      <c r="I975" s="283"/>
      <c r="J975" s="280"/>
      <c r="K975" s="103"/>
      <c r="L975" s="146"/>
      <c r="M975" s="103"/>
      <c r="N975" s="103"/>
      <c r="O975" s="103">
        <f t="shared" si="1"/>
        <v>0</v>
      </c>
      <c r="P975" s="104">
        <f t="shared" si="2"/>
        <v>0</v>
      </c>
      <c r="Q975" s="147"/>
      <c r="R975" s="103"/>
      <c r="S975" s="103">
        <f t="shared" si="3"/>
        <v>0</v>
      </c>
      <c r="U975" s="107" t="str">
        <f t="shared" si="4"/>
        <v>0</v>
      </c>
    </row>
    <row r="976" ht="15.75" customHeight="1">
      <c r="A976" s="279"/>
      <c r="B976" s="280"/>
      <c r="C976" s="280"/>
      <c r="D976" s="280"/>
      <c r="E976" s="281"/>
      <c r="F976" s="281"/>
      <c r="G976" s="280"/>
      <c r="H976" s="282"/>
      <c r="I976" s="283"/>
      <c r="J976" s="280"/>
      <c r="K976" s="103"/>
      <c r="L976" s="146"/>
      <c r="M976" s="103"/>
      <c r="N976" s="103"/>
      <c r="O976" s="103">
        <f t="shared" si="1"/>
        <v>0</v>
      </c>
      <c r="P976" s="104">
        <f t="shared" si="2"/>
        <v>0</v>
      </c>
      <c r="Q976" s="147"/>
      <c r="R976" s="103"/>
      <c r="S976" s="103">
        <f t="shared" si="3"/>
        <v>0</v>
      </c>
      <c r="U976" s="107" t="str">
        <f t="shared" si="4"/>
        <v>0</v>
      </c>
    </row>
    <row r="977" ht="15.75" customHeight="1">
      <c r="A977" s="279"/>
      <c r="B977" s="280"/>
      <c r="C977" s="280"/>
      <c r="D977" s="280"/>
      <c r="E977" s="281"/>
      <c r="F977" s="281"/>
      <c r="G977" s="280"/>
      <c r="H977" s="282"/>
      <c r="I977" s="283"/>
      <c r="J977" s="280"/>
      <c r="K977" s="103"/>
      <c r="L977" s="146"/>
      <c r="M977" s="103"/>
      <c r="N977" s="103"/>
      <c r="O977" s="103">
        <f t="shared" si="1"/>
        <v>0</v>
      </c>
      <c r="P977" s="104">
        <f t="shared" si="2"/>
        <v>0</v>
      </c>
      <c r="Q977" s="147"/>
      <c r="R977" s="103"/>
      <c r="S977" s="103">
        <f t="shared" si="3"/>
        <v>0</v>
      </c>
      <c r="U977" s="107" t="str">
        <f t="shared" si="4"/>
        <v>0</v>
      </c>
    </row>
    <row r="978" ht="15.75" customHeight="1">
      <c r="A978" s="279"/>
      <c r="B978" s="280"/>
      <c r="C978" s="280"/>
      <c r="D978" s="280"/>
      <c r="E978" s="281"/>
      <c r="F978" s="281"/>
      <c r="G978" s="280"/>
      <c r="H978" s="282"/>
      <c r="I978" s="283"/>
      <c r="J978" s="280"/>
      <c r="K978" s="103"/>
      <c r="L978" s="146"/>
      <c r="M978" s="103"/>
      <c r="N978" s="103"/>
      <c r="O978" s="103">
        <f t="shared" si="1"/>
        <v>0</v>
      </c>
      <c r="P978" s="104">
        <f t="shared" si="2"/>
        <v>0</v>
      </c>
      <c r="Q978" s="147"/>
      <c r="R978" s="103"/>
      <c r="S978" s="103">
        <f t="shared" si="3"/>
        <v>0</v>
      </c>
      <c r="U978" s="107" t="str">
        <f t="shared" si="4"/>
        <v>0</v>
      </c>
    </row>
    <row r="979" ht="15.75" customHeight="1">
      <c r="A979" s="279"/>
      <c r="B979" s="280"/>
      <c r="C979" s="280"/>
      <c r="D979" s="280"/>
      <c r="E979" s="281"/>
      <c r="F979" s="281"/>
      <c r="G979" s="280"/>
      <c r="H979" s="282"/>
      <c r="I979" s="283"/>
      <c r="J979" s="280"/>
      <c r="K979" s="103"/>
      <c r="L979" s="146"/>
      <c r="M979" s="103"/>
      <c r="N979" s="103"/>
      <c r="O979" s="103">
        <f t="shared" si="1"/>
        <v>0</v>
      </c>
      <c r="P979" s="104">
        <f t="shared" si="2"/>
        <v>0</v>
      </c>
      <c r="Q979" s="147"/>
      <c r="R979" s="103"/>
      <c r="S979" s="103">
        <f t="shared" si="3"/>
        <v>0</v>
      </c>
      <c r="U979" s="107" t="str">
        <f t="shared" si="4"/>
        <v>0</v>
      </c>
    </row>
    <row r="980" ht="15.75" customHeight="1">
      <c r="A980" s="279"/>
      <c r="B980" s="280"/>
      <c r="C980" s="280"/>
      <c r="D980" s="280"/>
      <c r="E980" s="281"/>
      <c r="F980" s="281"/>
      <c r="G980" s="280"/>
      <c r="H980" s="282"/>
      <c r="I980" s="283"/>
      <c r="J980" s="280"/>
      <c r="K980" s="103"/>
      <c r="L980" s="146"/>
      <c r="M980" s="103"/>
      <c r="N980" s="103"/>
      <c r="O980" s="103">
        <f t="shared" si="1"/>
        <v>0</v>
      </c>
      <c r="P980" s="104">
        <f t="shared" si="2"/>
        <v>0</v>
      </c>
      <c r="Q980" s="147"/>
      <c r="R980" s="103"/>
      <c r="S980" s="103">
        <f t="shared" si="3"/>
        <v>0</v>
      </c>
      <c r="U980" s="107" t="str">
        <f t="shared" si="4"/>
        <v>0</v>
      </c>
    </row>
    <row r="981" ht="15.75" customHeight="1">
      <c r="A981" s="279"/>
      <c r="B981" s="280"/>
      <c r="C981" s="280"/>
      <c r="D981" s="280"/>
      <c r="E981" s="281"/>
      <c r="F981" s="281"/>
      <c r="G981" s="280"/>
      <c r="H981" s="282"/>
      <c r="I981" s="283"/>
      <c r="J981" s="280"/>
      <c r="K981" s="103"/>
      <c r="L981" s="146"/>
      <c r="M981" s="103"/>
      <c r="N981" s="103"/>
      <c r="O981" s="103">
        <f t="shared" si="1"/>
        <v>0</v>
      </c>
      <c r="P981" s="104">
        <f t="shared" si="2"/>
        <v>0</v>
      </c>
      <c r="Q981" s="147"/>
      <c r="R981" s="103"/>
      <c r="S981" s="103">
        <f t="shared" si="3"/>
        <v>0</v>
      </c>
      <c r="U981" s="107" t="str">
        <f t="shared" si="4"/>
        <v>0</v>
      </c>
    </row>
    <row r="982" ht="15.75" customHeight="1">
      <c r="A982" s="279"/>
      <c r="B982" s="280"/>
      <c r="C982" s="280"/>
      <c r="D982" s="280"/>
      <c r="E982" s="281"/>
      <c r="F982" s="281"/>
      <c r="G982" s="280"/>
      <c r="H982" s="282"/>
      <c r="I982" s="283"/>
      <c r="J982" s="280"/>
      <c r="K982" s="103"/>
      <c r="L982" s="146"/>
      <c r="M982" s="103"/>
      <c r="N982" s="103"/>
      <c r="O982" s="103">
        <f t="shared" si="1"/>
        <v>0</v>
      </c>
      <c r="P982" s="104">
        <f t="shared" si="2"/>
        <v>0</v>
      </c>
      <c r="Q982" s="147"/>
      <c r="R982" s="103"/>
      <c r="S982" s="103">
        <f t="shared" si="3"/>
        <v>0</v>
      </c>
      <c r="U982" s="107" t="str">
        <f t="shared" si="4"/>
        <v>0</v>
      </c>
    </row>
    <row r="983" ht="15.75" customHeight="1">
      <c r="A983" s="279"/>
      <c r="B983" s="280"/>
      <c r="C983" s="280"/>
      <c r="D983" s="280"/>
      <c r="E983" s="281"/>
      <c r="F983" s="281"/>
      <c r="G983" s="280"/>
      <c r="H983" s="282"/>
      <c r="I983" s="283"/>
      <c r="J983" s="280"/>
      <c r="K983" s="103"/>
      <c r="L983" s="146"/>
      <c r="M983" s="103"/>
      <c r="N983" s="103"/>
      <c r="O983" s="103">
        <f t="shared" si="1"/>
        <v>0</v>
      </c>
      <c r="P983" s="104">
        <f t="shared" si="2"/>
        <v>0</v>
      </c>
      <c r="Q983" s="147"/>
      <c r="R983" s="103"/>
      <c r="S983" s="103">
        <f t="shared" si="3"/>
        <v>0</v>
      </c>
      <c r="U983" s="107" t="str">
        <f t="shared" si="4"/>
        <v>0</v>
      </c>
    </row>
    <row r="984" ht="15.75" customHeight="1">
      <c r="A984" s="279"/>
      <c r="B984" s="280"/>
      <c r="C984" s="280"/>
      <c r="D984" s="280"/>
      <c r="E984" s="281"/>
      <c r="F984" s="281"/>
      <c r="G984" s="280"/>
      <c r="H984" s="282"/>
      <c r="I984" s="283"/>
      <c r="J984" s="280"/>
      <c r="K984" s="103"/>
      <c r="L984" s="146"/>
      <c r="M984" s="103"/>
      <c r="N984" s="103"/>
      <c r="O984" s="103">
        <f t="shared" si="1"/>
        <v>0</v>
      </c>
      <c r="P984" s="104">
        <f t="shared" si="2"/>
        <v>0</v>
      </c>
      <c r="Q984" s="147"/>
      <c r="R984" s="103"/>
      <c r="S984" s="103">
        <f t="shared" si="3"/>
        <v>0</v>
      </c>
      <c r="U984" s="107" t="str">
        <f t="shared" si="4"/>
        <v>0</v>
      </c>
    </row>
    <row r="985" ht="15.75" customHeight="1">
      <c r="A985" s="279"/>
      <c r="B985" s="280"/>
      <c r="C985" s="280"/>
      <c r="D985" s="280"/>
      <c r="E985" s="281"/>
      <c r="F985" s="281"/>
      <c r="G985" s="280"/>
      <c r="H985" s="282"/>
      <c r="I985" s="283"/>
      <c r="J985" s="280"/>
      <c r="K985" s="103"/>
      <c r="L985" s="146"/>
      <c r="M985" s="103"/>
      <c r="N985" s="103"/>
      <c r="O985" s="103">
        <f t="shared" si="1"/>
        <v>0</v>
      </c>
      <c r="P985" s="104">
        <f t="shared" si="2"/>
        <v>0</v>
      </c>
      <c r="Q985" s="147"/>
      <c r="R985" s="103"/>
      <c r="S985" s="103">
        <f t="shared" si="3"/>
        <v>0</v>
      </c>
      <c r="U985" s="107" t="str">
        <f t="shared" si="4"/>
        <v>0</v>
      </c>
    </row>
    <row r="986" ht="15.75" customHeight="1">
      <c r="A986" s="279"/>
      <c r="B986" s="280"/>
      <c r="C986" s="280"/>
      <c r="D986" s="280"/>
      <c r="E986" s="281"/>
      <c r="F986" s="281"/>
      <c r="G986" s="280"/>
      <c r="H986" s="282"/>
      <c r="I986" s="283"/>
      <c r="J986" s="280"/>
      <c r="K986" s="103"/>
      <c r="L986" s="146"/>
      <c r="M986" s="103"/>
      <c r="N986" s="103"/>
      <c r="O986" s="103">
        <f t="shared" si="1"/>
        <v>0</v>
      </c>
      <c r="P986" s="104">
        <f t="shared" si="2"/>
        <v>0</v>
      </c>
      <c r="Q986" s="147"/>
      <c r="R986" s="103"/>
      <c r="S986" s="103">
        <f t="shared" si="3"/>
        <v>0</v>
      </c>
      <c r="U986" s="107" t="str">
        <f t="shared" si="4"/>
        <v>0</v>
      </c>
    </row>
    <row r="987" ht="15.75" customHeight="1">
      <c r="A987" s="279"/>
      <c r="B987" s="280"/>
      <c r="C987" s="280"/>
      <c r="D987" s="280"/>
      <c r="E987" s="281"/>
      <c r="F987" s="281"/>
      <c r="G987" s="280"/>
      <c r="H987" s="282"/>
      <c r="I987" s="283"/>
      <c r="J987" s="280"/>
      <c r="K987" s="103"/>
      <c r="L987" s="146"/>
      <c r="M987" s="103"/>
      <c r="N987" s="103"/>
      <c r="O987" s="103">
        <f t="shared" si="1"/>
        <v>0</v>
      </c>
      <c r="P987" s="104">
        <f t="shared" si="2"/>
        <v>0</v>
      </c>
      <c r="Q987" s="147"/>
      <c r="R987" s="103"/>
      <c r="S987" s="103">
        <f t="shared" si="3"/>
        <v>0</v>
      </c>
      <c r="U987" s="107" t="str">
        <f t="shared" si="4"/>
        <v>0</v>
      </c>
    </row>
    <row r="988" ht="15.75" customHeight="1">
      <c r="A988" s="279"/>
      <c r="B988" s="280"/>
      <c r="C988" s="280"/>
      <c r="D988" s="280"/>
      <c r="E988" s="281"/>
      <c r="F988" s="281"/>
      <c r="G988" s="280"/>
      <c r="H988" s="282"/>
      <c r="I988" s="283"/>
      <c r="J988" s="280"/>
      <c r="K988" s="103"/>
      <c r="L988" s="146"/>
      <c r="M988" s="103"/>
      <c r="N988" s="103"/>
      <c r="O988" s="103">
        <f t="shared" si="1"/>
        <v>0</v>
      </c>
      <c r="P988" s="104">
        <f t="shared" si="2"/>
        <v>0</v>
      </c>
      <c r="Q988" s="147"/>
      <c r="R988" s="103"/>
      <c r="S988" s="103">
        <f t="shared" si="3"/>
        <v>0</v>
      </c>
      <c r="U988" s="107" t="str">
        <f t="shared" si="4"/>
        <v>0</v>
      </c>
    </row>
    <row r="989" ht="15.75" customHeight="1">
      <c r="A989" s="279"/>
      <c r="B989" s="280"/>
      <c r="C989" s="280"/>
      <c r="D989" s="280"/>
      <c r="E989" s="281"/>
      <c r="F989" s="281"/>
      <c r="G989" s="280"/>
      <c r="H989" s="282"/>
      <c r="I989" s="283"/>
      <c r="J989" s="280"/>
      <c r="K989" s="103"/>
      <c r="L989" s="146"/>
      <c r="M989" s="103"/>
      <c r="N989" s="103"/>
      <c r="O989" s="103">
        <f t="shared" si="1"/>
        <v>0</v>
      </c>
      <c r="P989" s="104">
        <f t="shared" si="2"/>
        <v>0</v>
      </c>
      <c r="Q989" s="147"/>
      <c r="R989" s="103"/>
      <c r="S989" s="103">
        <f t="shared" si="3"/>
        <v>0</v>
      </c>
      <c r="U989" s="107" t="str">
        <f t="shared" si="4"/>
        <v>0</v>
      </c>
    </row>
    <row r="990" ht="15.75" customHeight="1">
      <c r="A990" s="279"/>
      <c r="B990" s="280"/>
      <c r="C990" s="280"/>
      <c r="D990" s="280"/>
      <c r="E990" s="281"/>
      <c r="F990" s="281"/>
      <c r="G990" s="280"/>
      <c r="H990" s="282"/>
      <c r="I990" s="283"/>
      <c r="J990" s="280"/>
      <c r="K990" s="103"/>
      <c r="L990" s="146"/>
      <c r="M990" s="103"/>
      <c r="N990" s="103"/>
      <c r="O990" s="103">
        <f t="shared" si="1"/>
        <v>0</v>
      </c>
      <c r="P990" s="104">
        <f t="shared" si="2"/>
        <v>0</v>
      </c>
      <c r="Q990" s="147"/>
      <c r="R990" s="103"/>
      <c r="S990" s="103">
        <f t="shared" si="3"/>
        <v>0</v>
      </c>
      <c r="U990" s="107" t="str">
        <f t="shared" si="4"/>
        <v>0</v>
      </c>
    </row>
    <row r="991" ht="15.75" customHeight="1">
      <c r="A991" s="279"/>
      <c r="B991" s="280"/>
      <c r="C991" s="280"/>
      <c r="D991" s="280"/>
      <c r="E991" s="281"/>
      <c r="F991" s="281"/>
      <c r="G991" s="280"/>
      <c r="H991" s="282"/>
      <c r="I991" s="283"/>
      <c r="J991" s="280"/>
      <c r="K991" s="103"/>
      <c r="L991" s="146"/>
      <c r="M991" s="103"/>
      <c r="N991" s="103"/>
      <c r="O991" s="103">
        <f t="shared" si="1"/>
        <v>0</v>
      </c>
      <c r="P991" s="104">
        <f t="shared" si="2"/>
        <v>0</v>
      </c>
      <c r="Q991" s="147"/>
      <c r="R991" s="103"/>
      <c r="S991" s="103">
        <f t="shared" si="3"/>
        <v>0</v>
      </c>
      <c r="U991" s="107" t="str">
        <f t="shared" si="4"/>
        <v>0</v>
      </c>
    </row>
    <row r="992" ht="15.75" customHeight="1">
      <c r="A992" s="279"/>
      <c r="B992" s="280"/>
      <c r="C992" s="280"/>
      <c r="D992" s="280"/>
      <c r="E992" s="281"/>
      <c r="F992" s="281"/>
      <c r="G992" s="280"/>
      <c r="H992" s="282"/>
      <c r="I992" s="283"/>
      <c r="J992" s="280"/>
      <c r="K992" s="103"/>
      <c r="L992" s="146"/>
      <c r="M992" s="103"/>
      <c r="N992" s="103"/>
      <c r="O992" s="103">
        <f t="shared" si="1"/>
        <v>0</v>
      </c>
      <c r="P992" s="104">
        <f t="shared" si="2"/>
        <v>0</v>
      </c>
      <c r="Q992" s="147"/>
      <c r="R992" s="103"/>
      <c r="S992" s="103">
        <f t="shared" si="3"/>
        <v>0</v>
      </c>
      <c r="U992" s="107" t="str">
        <f t="shared" si="4"/>
        <v>0</v>
      </c>
    </row>
    <row r="993" ht="15.75" customHeight="1">
      <c r="A993" s="279"/>
      <c r="B993" s="280"/>
      <c r="C993" s="280"/>
      <c r="D993" s="280"/>
      <c r="E993" s="281"/>
      <c r="F993" s="281"/>
      <c r="G993" s="280"/>
      <c r="H993" s="282"/>
      <c r="I993" s="283"/>
      <c r="J993" s="280"/>
      <c r="K993" s="103"/>
      <c r="L993" s="146"/>
      <c r="M993" s="103"/>
      <c r="N993" s="103"/>
      <c r="O993" s="103">
        <f t="shared" si="1"/>
        <v>0</v>
      </c>
      <c r="P993" s="104">
        <f t="shared" si="2"/>
        <v>0</v>
      </c>
      <c r="Q993" s="147"/>
      <c r="R993" s="103"/>
      <c r="S993" s="103">
        <f t="shared" si="3"/>
        <v>0</v>
      </c>
      <c r="U993" s="107" t="str">
        <f t="shared" si="4"/>
        <v>0</v>
      </c>
    </row>
    <row r="994" ht="15.75" customHeight="1">
      <c r="A994" s="279"/>
      <c r="B994" s="280"/>
      <c r="C994" s="280"/>
      <c r="D994" s="280"/>
      <c r="E994" s="281"/>
      <c r="F994" s="281"/>
      <c r="G994" s="280"/>
      <c r="H994" s="282"/>
      <c r="I994" s="283"/>
      <c r="J994" s="280"/>
      <c r="K994" s="103"/>
      <c r="L994" s="146"/>
      <c r="M994" s="103"/>
      <c r="N994" s="103"/>
      <c r="O994" s="103">
        <f t="shared" si="1"/>
        <v>0</v>
      </c>
      <c r="P994" s="104">
        <f t="shared" si="2"/>
        <v>0</v>
      </c>
      <c r="Q994" s="147"/>
      <c r="R994" s="103"/>
      <c r="S994" s="103">
        <f t="shared" si="3"/>
        <v>0</v>
      </c>
      <c r="U994" s="107" t="str">
        <f t="shared" si="4"/>
        <v>0</v>
      </c>
    </row>
    <row r="995" ht="15.75" customHeight="1">
      <c r="A995" s="279"/>
      <c r="B995" s="280"/>
      <c r="C995" s="280"/>
      <c r="D995" s="280"/>
      <c r="E995" s="281"/>
      <c r="F995" s="281"/>
      <c r="G995" s="280"/>
      <c r="H995" s="282"/>
      <c r="I995" s="283"/>
      <c r="J995" s="280"/>
      <c r="K995" s="103"/>
      <c r="L995" s="146"/>
      <c r="M995" s="103"/>
      <c r="N995" s="103"/>
      <c r="O995" s="103">
        <f t="shared" si="1"/>
        <v>0</v>
      </c>
      <c r="P995" s="104">
        <f t="shared" si="2"/>
        <v>0</v>
      </c>
      <c r="Q995" s="147"/>
      <c r="R995" s="103"/>
      <c r="S995" s="103">
        <f t="shared" si="3"/>
        <v>0</v>
      </c>
      <c r="U995" s="107" t="str">
        <f t="shared" si="4"/>
        <v>0</v>
      </c>
    </row>
    <row r="996" ht="15.75" customHeight="1">
      <c r="A996" s="279"/>
      <c r="B996" s="280"/>
      <c r="C996" s="280"/>
      <c r="D996" s="280"/>
      <c r="E996" s="281"/>
      <c r="F996" s="281"/>
      <c r="G996" s="280"/>
      <c r="H996" s="282"/>
      <c r="I996" s="283"/>
      <c r="J996" s="280"/>
      <c r="K996" s="103"/>
      <c r="L996" s="146"/>
      <c r="M996" s="103"/>
      <c r="N996" s="103"/>
      <c r="O996" s="103">
        <f t="shared" si="1"/>
        <v>0</v>
      </c>
      <c r="P996" s="104">
        <f t="shared" si="2"/>
        <v>0</v>
      </c>
      <c r="Q996" s="147"/>
      <c r="R996" s="103"/>
      <c r="S996" s="103">
        <f t="shared" si="3"/>
        <v>0</v>
      </c>
      <c r="U996" s="107" t="str">
        <f t="shared" si="4"/>
        <v>0</v>
      </c>
    </row>
    <row r="997" ht="15.75" customHeight="1">
      <c r="A997" s="279"/>
      <c r="B997" s="280"/>
      <c r="C997" s="280"/>
      <c r="D997" s="280"/>
      <c r="E997" s="281"/>
      <c r="F997" s="281"/>
      <c r="G997" s="280"/>
      <c r="H997" s="282"/>
      <c r="I997" s="283"/>
      <c r="J997" s="280"/>
      <c r="K997" s="103"/>
      <c r="L997" s="146"/>
      <c r="M997" s="103"/>
      <c r="N997" s="103"/>
      <c r="O997" s="103">
        <f t="shared" si="1"/>
        <v>0</v>
      </c>
      <c r="P997" s="104">
        <f t="shared" si="2"/>
        <v>0</v>
      </c>
      <c r="Q997" s="147"/>
      <c r="R997" s="103"/>
      <c r="S997" s="103">
        <f t="shared" si="3"/>
        <v>0</v>
      </c>
      <c r="U997" s="107" t="str">
        <f t="shared" si="4"/>
        <v>0</v>
      </c>
    </row>
    <row r="998" ht="15.75" customHeight="1">
      <c r="A998" s="279"/>
      <c r="B998" s="280"/>
      <c r="C998" s="280"/>
      <c r="D998" s="280"/>
      <c r="E998" s="281"/>
      <c r="F998" s="281"/>
      <c r="G998" s="280"/>
      <c r="H998" s="282"/>
      <c r="I998" s="283"/>
      <c r="J998" s="280"/>
      <c r="K998" s="103"/>
      <c r="L998" s="146"/>
      <c r="M998" s="103"/>
      <c r="N998" s="103"/>
      <c r="O998" s="103">
        <f t="shared" si="1"/>
        <v>0</v>
      </c>
      <c r="P998" s="104">
        <f t="shared" si="2"/>
        <v>0</v>
      </c>
      <c r="Q998" s="147"/>
      <c r="R998" s="103"/>
      <c r="S998" s="103">
        <f t="shared" si="3"/>
        <v>0</v>
      </c>
      <c r="U998" s="107" t="str">
        <f t="shared" si="4"/>
        <v>0</v>
      </c>
    </row>
    <row r="999" ht="15.75" customHeight="1">
      <c r="A999" s="279"/>
      <c r="B999" s="280"/>
      <c r="C999" s="280"/>
      <c r="D999" s="280"/>
      <c r="E999" s="281"/>
      <c r="F999" s="281"/>
      <c r="G999" s="280"/>
      <c r="H999" s="282"/>
      <c r="I999" s="283"/>
      <c r="J999" s="280"/>
      <c r="K999" s="103"/>
      <c r="L999" s="146"/>
      <c r="M999" s="103"/>
      <c r="N999" s="103"/>
      <c r="O999" s="103">
        <f t="shared" si="1"/>
        <v>0</v>
      </c>
      <c r="P999" s="104">
        <f t="shared" si="2"/>
        <v>0</v>
      </c>
      <c r="Q999" s="147"/>
      <c r="R999" s="103"/>
      <c r="S999" s="103">
        <f t="shared" si="3"/>
        <v>0</v>
      </c>
      <c r="U999" s="107" t="str">
        <f t="shared" si="4"/>
        <v>0</v>
      </c>
    </row>
    <row r="1000" ht="15.75" customHeight="1">
      <c r="A1000" s="279"/>
      <c r="B1000" s="280"/>
      <c r="C1000" s="280"/>
      <c r="D1000" s="280"/>
      <c r="E1000" s="281"/>
      <c r="F1000" s="281"/>
      <c r="G1000" s="280"/>
      <c r="H1000" s="282"/>
      <c r="I1000" s="283"/>
      <c r="J1000" s="280"/>
      <c r="K1000" s="103"/>
      <c r="L1000" s="146"/>
      <c r="M1000" s="103"/>
      <c r="N1000" s="103"/>
      <c r="O1000" s="103">
        <f t="shared" si="1"/>
        <v>0</v>
      </c>
      <c r="P1000" s="104">
        <f t="shared" si="2"/>
        <v>0</v>
      </c>
      <c r="Q1000" s="147"/>
      <c r="R1000" s="103"/>
      <c r="S1000" s="103">
        <f t="shared" si="3"/>
        <v>0</v>
      </c>
      <c r="U1000" s="107" t="str">
        <f t="shared" si="4"/>
        <v>0</v>
      </c>
    </row>
    <row r="1001" ht="15.75" customHeight="1">
      <c r="A1001" s="279"/>
      <c r="B1001" s="280"/>
      <c r="C1001" s="280"/>
      <c r="D1001" s="280"/>
      <c r="E1001" s="281"/>
      <c r="F1001" s="281"/>
      <c r="G1001" s="280"/>
      <c r="H1001" s="282"/>
      <c r="I1001" s="283"/>
      <c r="J1001" s="280"/>
      <c r="K1001" s="103"/>
      <c r="L1001" s="146"/>
      <c r="M1001" s="103"/>
      <c r="N1001" s="103"/>
      <c r="O1001" s="103">
        <f t="shared" si="1"/>
        <v>0</v>
      </c>
      <c r="P1001" s="104">
        <f t="shared" si="2"/>
        <v>0</v>
      </c>
      <c r="Q1001" s="147"/>
      <c r="R1001" s="103"/>
      <c r="S1001" s="103">
        <f t="shared" si="3"/>
        <v>0</v>
      </c>
      <c r="U1001" s="107" t="str">
        <f t="shared" si="4"/>
        <v>0</v>
      </c>
    </row>
    <row r="1002" ht="15.75" customHeight="1">
      <c r="A1002" s="279"/>
      <c r="B1002" s="280"/>
      <c r="C1002" s="280"/>
      <c r="D1002" s="280"/>
      <c r="E1002" s="281"/>
      <c r="F1002" s="281"/>
      <c r="G1002" s="280"/>
      <c r="H1002" s="282"/>
      <c r="I1002" s="283"/>
      <c r="J1002" s="280"/>
      <c r="K1002" s="103"/>
      <c r="L1002" s="146"/>
      <c r="M1002" s="103"/>
      <c r="N1002" s="103"/>
      <c r="O1002" s="103">
        <f t="shared" si="1"/>
        <v>0</v>
      </c>
      <c r="P1002" s="104">
        <f t="shared" si="2"/>
        <v>0</v>
      </c>
      <c r="Q1002" s="147"/>
      <c r="R1002" s="103"/>
      <c r="S1002" s="103">
        <f t="shared" si="3"/>
        <v>0</v>
      </c>
      <c r="U1002" s="107" t="str">
        <f t="shared" si="4"/>
        <v>0</v>
      </c>
    </row>
    <row r="1003" ht="15.75" customHeight="1">
      <c r="A1003" s="279"/>
      <c r="B1003" s="280"/>
      <c r="C1003" s="280"/>
      <c r="D1003" s="280"/>
      <c r="E1003" s="281"/>
      <c r="F1003" s="281"/>
      <c r="G1003" s="280"/>
      <c r="H1003" s="282"/>
      <c r="I1003" s="283"/>
      <c r="J1003" s="280"/>
      <c r="K1003" s="103"/>
      <c r="L1003" s="146"/>
      <c r="M1003" s="103"/>
      <c r="N1003" s="103"/>
      <c r="O1003" s="103">
        <f t="shared" si="1"/>
        <v>0</v>
      </c>
      <c r="P1003" s="104">
        <f t="shared" si="2"/>
        <v>0</v>
      </c>
      <c r="Q1003" s="147"/>
      <c r="R1003" s="103"/>
      <c r="S1003" s="103">
        <f t="shared" si="3"/>
        <v>0</v>
      </c>
      <c r="U1003" s="107" t="str">
        <f t="shared" si="4"/>
        <v>0</v>
      </c>
    </row>
    <row r="1004" ht="15.75" customHeight="1">
      <c r="A1004" s="279"/>
      <c r="B1004" s="280"/>
      <c r="C1004" s="280"/>
      <c r="D1004" s="280"/>
      <c r="E1004" s="281"/>
      <c r="F1004" s="281"/>
      <c r="G1004" s="280"/>
      <c r="H1004" s="282"/>
      <c r="I1004" s="283"/>
      <c r="J1004" s="280"/>
      <c r="K1004" s="103"/>
      <c r="L1004" s="146"/>
      <c r="M1004" s="103"/>
      <c r="N1004" s="103"/>
      <c r="O1004" s="103">
        <f t="shared" si="1"/>
        <v>0</v>
      </c>
      <c r="P1004" s="104">
        <f t="shared" si="2"/>
        <v>0</v>
      </c>
      <c r="Q1004" s="147"/>
      <c r="R1004" s="103"/>
      <c r="S1004" s="103">
        <f t="shared" si="3"/>
        <v>0</v>
      </c>
      <c r="U1004" s="107" t="str">
        <f t="shared" si="4"/>
        <v>0</v>
      </c>
    </row>
    <row r="1005" ht="15.75" customHeight="1">
      <c r="A1005" s="279"/>
      <c r="B1005" s="280"/>
      <c r="C1005" s="280"/>
      <c r="D1005" s="280"/>
      <c r="E1005" s="281"/>
      <c r="F1005" s="281"/>
      <c r="G1005" s="280"/>
      <c r="H1005" s="282"/>
      <c r="I1005" s="283"/>
      <c r="J1005" s="280"/>
      <c r="K1005" s="103"/>
      <c r="L1005" s="146"/>
      <c r="M1005" s="103"/>
      <c r="N1005" s="103"/>
      <c r="O1005" s="103">
        <f t="shared" si="1"/>
        <v>0</v>
      </c>
      <c r="P1005" s="104">
        <f t="shared" si="2"/>
        <v>0</v>
      </c>
      <c r="Q1005" s="147"/>
      <c r="R1005" s="103"/>
      <c r="S1005" s="103">
        <f t="shared" si="3"/>
        <v>0</v>
      </c>
      <c r="U1005" s="107" t="str">
        <f t="shared" si="4"/>
        <v>0</v>
      </c>
    </row>
    <row r="1006" ht="15.75" customHeight="1">
      <c r="A1006" s="279"/>
      <c r="B1006" s="280"/>
      <c r="C1006" s="280"/>
      <c r="D1006" s="280"/>
      <c r="E1006" s="281"/>
      <c r="F1006" s="281"/>
      <c r="G1006" s="280"/>
      <c r="H1006" s="282"/>
      <c r="I1006" s="283"/>
      <c r="J1006" s="280"/>
      <c r="K1006" s="103"/>
      <c r="L1006" s="146"/>
      <c r="M1006" s="103"/>
      <c r="N1006" s="103"/>
      <c r="O1006" s="103">
        <f t="shared" si="1"/>
        <v>0</v>
      </c>
      <c r="P1006" s="104">
        <f t="shared" si="2"/>
        <v>0</v>
      </c>
      <c r="Q1006" s="147"/>
      <c r="R1006" s="103"/>
      <c r="S1006" s="103">
        <f t="shared" si="3"/>
        <v>0</v>
      </c>
      <c r="U1006" s="107" t="str">
        <f t="shared" si="4"/>
        <v>0</v>
      </c>
    </row>
    <row r="1007" ht="15.75" customHeight="1">
      <c r="A1007" s="279"/>
      <c r="B1007" s="280"/>
      <c r="C1007" s="280"/>
      <c r="D1007" s="280"/>
      <c r="E1007" s="281"/>
      <c r="F1007" s="281"/>
      <c r="G1007" s="280"/>
      <c r="H1007" s="282"/>
      <c r="I1007" s="283"/>
      <c r="J1007" s="280"/>
      <c r="K1007" s="103"/>
      <c r="L1007" s="146"/>
      <c r="M1007" s="103"/>
      <c r="N1007" s="103"/>
      <c r="O1007" s="103">
        <f t="shared" si="1"/>
        <v>0</v>
      </c>
      <c r="P1007" s="104">
        <f t="shared" si="2"/>
        <v>0</v>
      </c>
      <c r="Q1007" s="147"/>
      <c r="R1007" s="103"/>
      <c r="S1007" s="103">
        <f t="shared" si="3"/>
        <v>0</v>
      </c>
      <c r="U1007" s="107" t="str">
        <f t="shared" si="4"/>
        <v>0</v>
      </c>
    </row>
    <row r="1008" ht="15.75" customHeight="1">
      <c r="A1008" s="279"/>
      <c r="B1008" s="280"/>
      <c r="C1008" s="280"/>
      <c r="D1008" s="280"/>
      <c r="E1008" s="281"/>
      <c r="F1008" s="281"/>
      <c r="G1008" s="280"/>
      <c r="H1008" s="282"/>
      <c r="I1008" s="283"/>
      <c r="J1008" s="280"/>
      <c r="K1008" s="103"/>
      <c r="L1008" s="146"/>
      <c r="M1008" s="103"/>
      <c r="N1008" s="103"/>
      <c r="O1008" s="103">
        <f t="shared" si="1"/>
        <v>0</v>
      </c>
      <c r="P1008" s="104">
        <f t="shared" si="2"/>
        <v>0</v>
      </c>
      <c r="Q1008" s="147"/>
      <c r="R1008" s="103"/>
      <c r="S1008" s="103">
        <f t="shared" si="3"/>
        <v>0</v>
      </c>
      <c r="U1008" s="107" t="str">
        <f t="shared" si="4"/>
        <v>0</v>
      </c>
    </row>
    <row r="1009" ht="15.75" customHeight="1">
      <c r="A1009" s="279"/>
      <c r="B1009" s="280"/>
      <c r="C1009" s="280"/>
      <c r="D1009" s="280"/>
      <c r="E1009" s="281"/>
      <c r="F1009" s="281"/>
      <c r="G1009" s="280"/>
      <c r="H1009" s="282"/>
      <c r="I1009" s="283"/>
      <c r="J1009" s="280"/>
      <c r="K1009" s="103"/>
      <c r="L1009" s="146"/>
      <c r="M1009" s="103"/>
      <c r="N1009" s="103"/>
      <c r="O1009" s="103">
        <f t="shared" si="1"/>
        <v>0</v>
      </c>
      <c r="P1009" s="104">
        <f t="shared" si="2"/>
        <v>0</v>
      </c>
      <c r="Q1009" s="147"/>
      <c r="R1009" s="103"/>
      <c r="S1009" s="103">
        <f t="shared" si="3"/>
        <v>0</v>
      </c>
      <c r="U1009" s="107" t="str">
        <f t="shared" si="4"/>
        <v>0</v>
      </c>
    </row>
    <row r="1010" ht="15.75" customHeight="1">
      <c r="A1010" s="279"/>
      <c r="B1010" s="280"/>
      <c r="C1010" s="280"/>
      <c r="D1010" s="280"/>
      <c r="E1010" s="281"/>
      <c r="F1010" s="281"/>
      <c r="G1010" s="280"/>
      <c r="H1010" s="282"/>
      <c r="I1010" s="283"/>
      <c r="J1010" s="280"/>
      <c r="K1010" s="103"/>
      <c r="L1010" s="146"/>
      <c r="M1010" s="103"/>
      <c r="N1010" s="103"/>
      <c r="O1010" s="103">
        <f t="shared" si="1"/>
        <v>0</v>
      </c>
      <c r="P1010" s="104">
        <f t="shared" si="2"/>
        <v>0</v>
      </c>
      <c r="Q1010" s="147"/>
      <c r="R1010" s="103"/>
      <c r="S1010" s="103">
        <f t="shared" si="3"/>
        <v>0</v>
      </c>
      <c r="U1010" s="107" t="str">
        <f t="shared" si="4"/>
        <v>0</v>
      </c>
    </row>
    <row r="1011" ht="15.75" customHeight="1">
      <c r="A1011" s="279"/>
      <c r="B1011" s="280"/>
      <c r="C1011" s="280"/>
      <c r="D1011" s="280"/>
      <c r="E1011" s="281"/>
      <c r="F1011" s="281"/>
      <c r="G1011" s="280"/>
      <c r="H1011" s="282"/>
      <c r="I1011" s="283"/>
      <c r="J1011" s="280"/>
      <c r="K1011" s="103"/>
      <c r="L1011" s="146"/>
      <c r="M1011" s="103"/>
      <c r="N1011" s="103"/>
      <c r="O1011" s="103">
        <f t="shared" si="1"/>
        <v>0</v>
      </c>
      <c r="P1011" s="104">
        <f t="shared" si="2"/>
        <v>0</v>
      </c>
      <c r="Q1011" s="147"/>
      <c r="R1011" s="103"/>
      <c r="S1011" s="103">
        <f t="shared" si="3"/>
        <v>0</v>
      </c>
      <c r="U1011" s="107" t="str">
        <f t="shared" si="4"/>
        <v>0</v>
      </c>
    </row>
    <row r="1012" ht="15.75" customHeight="1">
      <c r="A1012" s="279"/>
      <c r="B1012" s="280"/>
      <c r="C1012" s="280"/>
      <c r="D1012" s="280"/>
      <c r="E1012" s="281"/>
      <c r="F1012" s="281"/>
      <c r="G1012" s="280"/>
      <c r="H1012" s="282"/>
      <c r="I1012" s="283"/>
      <c r="J1012" s="280"/>
      <c r="K1012" s="103"/>
      <c r="L1012" s="146"/>
      <c r="M1012" s="103"/>
      <c r="N1012" s="103"/>
      <c r="O1012" s="103">
        <f t="shared" si="1"/>
        <v>0</v>
      </c>
      <c r="P1012" s="104">
        <f t="shared" si="2"/>
        <v>0</v>
      </c>
      <c r="Q1012" s="147"/>
      <c r="R1012" s="103"/>
      <c r="S1012" s="103">
        <f t="shared" si="3"/>
        <v>0</v>
      </c>
      <c r="U1012" s="107" t="str">
        <f t="shared" si="4"/>
        <v>0</v>
      </c>
    </row>
    <row r="1013" ht="15.75" customHeight="1">
      <c r="A1013" s="279"/>
      <c r="B1013" s="280"/>
      <c r="C1013" s="280"/>
      <c r="D1013" s="280"/>
      <c r="E1013" s="281"/>
      <c r="F1013" s="281"/>
      <c r="G1013" s="280"/>
      <c r="H1013" s="282"/>
      <c r="I1013" s="283"/>
      <c r="J1013" s="280"/>
      <c r="K1013" s="103"/>
      <c r="L1013" s="146"/>
      <c r="M1013" s="103"/>
      <c r="N1013" s="103"/>
      <c r="O1013" s="103">
        <f t="shared" si="1"/>
        <v>0</v>
      </c>
      <c r="P1013" s="104">
        <f t="shared" si="2"/>
        <v>0</v>
      </c>
      <c r="Q1013" s="147"/>
      <c r="R1013" s="103"/>
      <c r="S1013" s="103">
        <f t="shared" si="3"/>
        <v>0</v>
      </c>
      <c r="U1013" s="107" t="str">
        <f t="shared" si="4"/>
        <v>0</v>
      </c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list" allowBlank="1" sqref="F2:F1013">
      <formula1>#REF!</formula1>
    </dataValidation>
    <dataValidation type="custom" allowBlank="1" showDropDown="1" sqref="M2:P1013 R2:R1013">
      <formula1>AND(ISNUMBER(M2),(NOT(OR(NOT(ISERROR(DATEVALUE(M2))), AND(ISNUMBER(M2), LEFT(CELL("format", M2))="D")))))</formula1>
    </dataValidation>
    <dataValidation type="list" allowBlank="1" sqref="E2:E1013 H2:H1013 Q2:Q1013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17.38"/>
    <col customWidth="1" min="4" max="4" width="15.0"/>
    <col customWidth="1" min="5" max="5" width="18.88"/>
    <col customWidth="1" min="6" max="6" width="20.25"/>
    <col customWidth="1" min="7" max="7" width="16.0"/>
    <col customWidth="1" min="8" max="8" width="17.13"/>
    <col customWidth="1" min="9" max="9" width="44.0"/>
    <col customWidth="1" min="10" max="10" width="18.0"/>
    <col customWidth="1" min="11" max="11" width="20.88"/>
    <col customWidth="1" min="12" max="12" width="20.0"/>
  </cols>
  <sheetData>
    <row r="1" ht="33.75" customHeight="1">
      <c r="A1" s="91" t="s">
        <v>179</v>
      </c>
      <c r="B1" s="91" t="s">
        <v>180</v>
      </c>
      <c r="C1" s="91" t="s">
        <v>181</v>
      </c>
      <c r="D1" s="91" t="s">
        <v>182</v>
      </c>
      <c r="E1" s="91" t="s">
        <v>96</v>
      </c>
      <c r="F1" s="91" t="s">
        <v>184</v>
      </c>
      <c r="G1" s="250" t="s">
        <v>328</v>
      </c>
      <c r="H1" s="91" t="s">
        <v>329</v>
      </c>
      <c r="I1" s="91" t="s">
        <v>186</v>
      </c>
      <c r="J1" s="91" t="s">
        <v>183</v>
      </c>
      <c r="K1" s="91" t="s">
        <v>16</v>
      </c>
      <c r="L1" s="91" t="s">
        <v>330</v>
      </c>
    </row>
    <row r="2">
      <c r="A2" s="251">
        <v>46276.0</v>
      </c>
      <c r="B2" s="252">
        <v>2.7508172E7</v>
      </c>
      <c r="C2" s="252" t="s">
        <v>331</v>
      </c>
      <c r="D2" s="253" t="s">
        <v>332</v>
      </c>
      <c r="E2" s="254" t="s">
        <v>129</v>
      </c>
      <c r="F2" s="254" t="s">
        <v>334</v>
      </c>
      <c r="G2" s="255"/>
      <c r="H2" s="256">
        <v>0.0</v>
      </c>
      <c r="I2" s="257"/>
      <c r="J2" s="98" t="s">
        <v>213</v>
      </c>
      <c r="K2" s="96" t="s">
        <v>54</v>
      </c>
      <c r="L2" s="97"/>
    </row>
    <row r="3">
      <c r="A3" s="251">
        <v>46275.0</v>
      </c>
      <c r="B3" s="252">
        <v>2.750499E7</v>
      </c>
      <c r="C3" s="252" t="s">
        <v>335</v>
      </c>
      <c r="D3" s="253" t="s">
        <v>336</v>
      </c>
      <c r="E3" s="254" t="s">
        <v>337</v>
      </c>
      <c r="F3" s="254" t="s">
        <v>338</v>
      </c>
      <c r="G3" s="255"/>
      <c r="H3" s="256">
        <v>0.0</v>
      </c>
      <c r="I3" s="257"/>
      <c r="J3" s="98" t="s">
        <v>213</v>
      </c>
      <c r="K3" s="96" t="s">
        <v>54</v>
      </c>
      <c r="L3" s="97"/>
    </row>
    <row r="4">
      <c r="A4" s="251">
        <v>46275.0</v>
      </c>
      <c r="B4" s="252">
        <v>2.7503286E7</v>
      </c>
      <c r="C4" s="252" t="s">
        <v>344</v>
      </c>
      <c r="D4" s="253" t="s">
        <v>345</v>
      </c>
      <c r="E4" s="254" t="s">
        <v>337</v>
      </c>
      <c r="F4" s="254" t="s">
        <v>338</v>
      </c>
      <c r="G4" s="255"/>
      <c r="H4" s="256">
        <v>0.0</v>
      </c>
      <c r="I4" s="257"/>
      <c r="J4" s="98" t="s">
        <v>213</v>
      </c>
      <c r="K4" s="96" t="s">
        <v>54</v>
      </c>
      <c r="L4" s="97"/>
    </row>
    <row r="5">
      <c r="A5" s="251">
        <v>46275.0</v>
      </c>
      <c r="B5" s="252">
        <v>2.7500988E7</v>
      </c>
      <c r="C5" s="252" t="s">
        <v>354</v>
      </c>
      <c r="D5" s="253" t="s">
        <v>356</v>
      </c>
      <c r="E5" s="254" t="s">
        <v>129</v>
      </c>
      <c r="F5" s="254" t="s">
        <v>358</v>
      </c>
      <c r="G5" s="255"/>
      <c r="H5" s="256">
        <v>0.0</v>
      </c>
      <c r="I5" s="257"/>
      <c r="J5" s="98" t="s">
        <v>213</v>
      </c>
      <c r="K5" s="96" t="s">
        <v>54</v>
      </c>
      <c r="L5" s="97"/>
    </row>
    <row r="6">
      <c r="A6" s="251">
        <v>46274.0</v>
      </c>
      <c r="B6" s="252">
        <v>2.7495078E7</v>
      </c>
      <c r="C6" s="252" t="s">
        <v>360</v>
      </c>
      <c r="D6" s="253" t="s">
        <v>361</v>
      </c>
      <c r="E6" s="254" t="s">
        <v>362</v>
      </c>
      <c r="F6" s="254" t="s">
        <v>338</v>
      </c>
      <c r="G6" s="255"/>
      <c r="H6" s="256">
        <v>0.0</v>
      </c>
      <c r="I6" s="257"/>
      <c r="J6" s="98" t="s">
        <v>213</v>
      </c>
      <c r="K6" s="96" t="s">
        <v>54</v>
      </c>
      <c r="L6" s="97"/>
    </row>
    <row r="7">
      <c r="A7" s="251">
        <v>46274.0</v>
      </c>
      <c r="B7" s="252">
        <v>2.7491474E7</v>
      </c>
      <c r="C7" s="252" t="s">
        <v>363</v>
      </c>
      <c r="D7" s="253" t="s">
        <v>364</v>
      </c>
      <c r="E7" s="254" t="s">
        <v>337</v>
      </c>
      <c r="F7" s="254" t="s">
        <v>338</v>
      </c>
      <c r="G7" s="255"/>
      <c r="H7" s="256">
        <v>0.0</v>
      </c>
      <c r="I7" s="257"/>
      <c r="J7" s="98" t="s">
        <v>213</v>
      </c>
      <c r="K7" s="96" t="s">
        <v>54</v>
      </c>
      <c r="L7" s="97"/>
    </row>
    <row r="8">
      <c r="A8" s="251">
        <v>46274.0</v>
      </c>
      <c r="B8" s="252">
        <v>2.7490982E7</v>
      </c>
      <c r="C8" s="252" t="s">
        <v>369</v>
      </c>
      <c r="D8" s="253" t="s">
        <v>370</v>
      </c>
      <c r="E8" s="254" t="s">
        <v>337</v>
      </c>
      <c r="F8" s="254" t="s">
        <v>338</v>
      </c>
      <c r="G8" s="255"/>
      <c r="H8" s="256">
        <v>0.0</v>
      </c>
      <c r="I8" s="257"/>
      <c r="J8" s="98" t="s">
        <v>213</v>
      </c>
      <c r="K8" s="96" t="s">
        <v>54</v>
      </c>
      <c r="L8" s="97"/>
    </row>
    <row r="9">
      <c r="A9" s="251">
        <v>46273.0</v>
      </c>
      <c r="B9" s="252">
        <v>2.7490278E7</v>
      </c>
      <c r="C9" s="252" t="s">
        <v>374</v>
      </c>
      <c r="D9" s="253" t="s">
        <v>375</v>
      </c>
      <c r="E9" s="254" t="s">
        <v>337</v>
      </c>
      <c r="F9" s="254" t="s">
        <v>338</v>
      </c>
      <c r="G9" s="255"/>
      <c r="H9" s="256">
        <v>0.0</v>
      </c>
      <c r="I9" s="257"/>
      <c r="J9" s="98" t="s">
        <v>213</v>
      </c>
      <c r="K9" s="96" t="s">
        <v>54</v>
      </c>
      <c r="L9" s="97"/>
    </row>
    <row r="10">
      <c r="A10" s="251">
        <v>46273.0</v>
      </c>
      <c r="B10" s="252">
        <v>2.7489846E7</v>
      </c>
      <c r="C10" s="252" t="s">
        <v>378</v>
      </c>
      <c r="D10" s="253" t="s">
        <v>379</v>
      </c>
      <c r="E10" s="254" t="s">
        <v>129</v>
      </c>
      <c r="F10" s="254" t="s">
        <v>358</v>
      </c>
      <c r="G10" s="255"/>
      <c r="H10" s="256">
        <v>0.0</v>
      </c>
      <c r="I10" s="257"/>
      <c r="J10" s="98" t="s">
        <v>213</v>
      </c>
      <c r="K10" s="96" t="s">
        <v>54</v>
      </c>
      <c r="L10" s="97"/>
    </row>
    <row r="11">
      <c r="A11" s="251">
        <v>46273.0</v>
      </c>
      <c r="B11" s="252">
        <v>2.7489492E7</v>
      </c>
      <c r="C11" s="252" t="s">
        <v>383</v>
      </c>
      <c r="D11" s="253" t="s">
        <v>384</v>
      </c>
      <c r="E11" s="254" t="s">
        <v>129</v>
      </c>
      <c r="F11" s="254" t="s">
        <v>358</v>
      </c>
      <c r="G11" s="255"/>
      <c r="H11" s="256">
        <v>0.0</v>
      </c>
      <c r="I11" s="257"/>
      <c r="J11" s="98" t="s">
        <v>213</v>
      </c>
      <c r="K11" s="96" t="s">
        <v>54</v>
      </c>
      <c r="L11" s="97"/>
    </row>
    <row r="12">
      <c r="A12" s="251">
        <v>46273.0</v>
      </c>
      <c r="B12" s="252">
        <v>2.748912E7</v>
      </c>
      <c r="C12" s="252" t="s">
        <v>387</v>
      </c>
      <c r="D12" s="253" t="s">
        <v>388</v>
      </c>
      <c r="E12" s="254" t="s">
        <v>337</v>
      </c>
      <c r="F12" s="254" t="s">
        <v>338</v>
      </c>
      <c r="G12" s="255"/>
      <c r="H12" s="256">
        <v>0.0</v>
      </c>
      <c r="I12" s="257"/>
      <c r="J12" s="98" t="s">
        <v>213</v>
      </c>
      <c r="K12" s="96" t="s">
        <v>54</v>
      </c>
      <c r="L12" s="97"/>
    </row>
    <row r="13">
      <c r="A13" s="251">
        <v>46273.0</v>
      </c>
      <c r="B13" s="252">
        <v>2.7488582E7</v>
      </c>
      <c r="C13" s="252" t="s">
        <v>395</v>
      </c>
      <c r="D13" s="253" t="s">
        <v>397</v>
      </c>
      <c r="E13" s="254" t="s">
        <v>129</v>
      </c>
      <c r="F13" s="254" t="s">
        <v>358</v>
      </c>
      <c r="G13" s="255"/>
      <c r="H13" s="256">
        <v>0.0</v>
      </c>
      <c r="I13" s="257"/>
      <c r="J13" s="98" t="s">
        <v>213</v>
      </c>
      <c r="K13" s="96" t="s">
        <v>54</v>
      </c>
      <c r="L13" s="97"/>
    </row>
    <row r="14">
      <c r="A14" s="251">
        <v>46273.0</v>
      </c>
      <c r="B14" s="252">
        <v>2.7488134E7</v>
      </c>
      <c r="C14" s="252" t="s">
        <v>406</v>
      </c>
      <c r="D14" s="253" t="s">
        <v>408</v>
      </c>
      <c r="E14" s="254" t="s">
        <v>337</v>
      </c>
      <c r="F14" s="254" t="s">
        <v>410</v>
      </c>
      <c r="G14" s="255"/>
      <c r="H14" s="256">
        <v>0.0</v>
      </c>
      <c r="I14" s="257"/>
      <c r="J14" s="98" t="s">
        <v>213</v>
      </c>
      <c r="K14" s="96" t="s">
        <v>54</v>
      </c>
      <c r="L14" s="97"/>
    </row>
    <row r="15">
      <c r="A15" s="251">
        <v>46273.0</v>
      </c>
      <c r="B15" s="252">
        <v>2.7488032E7</v>
      </c>
      <c r="C15" s="252" t="s">
        <v>413</v>
      </c>
      <c r="D15" s="253" t="s">
        <v>414</v>
      </c>
      <c r="E15" s="254" t="s">
        <v>129</v>
      </c>
      <c r="F15" s="254" t="s">
        <v>358</v>
      </c>
      <c r="G15" s="255"/>
      <c r="H15" s="256">
        <v>0.0</v>
      </c>
      <c r="I15" s="257"/>
      <c r="J15" s="98" t="s">
        <v>213</v>
      </c>
      <c r="K15" s="96" t="s">
        <v>54</v>
      </c>
      <c r="L15" s="97"/>
    </row>
    <row r="16">
      <c r="A16" s="251">
        <v>46273.0</v>
      </c>
      <c r="B16" s="252">
        <v>2.7488026E7</v>
      </c>
      <c r="C16" s="252" t="s">
        <v>415</v>
      </c>
      <c r="D16" s="253" t="s">
        <v>416</v>
      </c>
      <c r="E16" s="254" t="s">
        <v>129</v>
      </c>
      <c r="F16" s="254" t="s">
        <v>358</v>
      </c>
      <c r="G16" s="255"/>
      <c r="H16" s="256">
        <v>0.0</v>
      </c>
      <c r="I16" s="257"/>
      <c r="J16" s="98" t="s">
        <v>213</v>
      </c>
      <c r="K16" s="96" t="s">
        <v>54</v>
      </c>
      <c r="L16" s="97"/>
    </row>
    <row r="17">
      <c r="A17" s="251">
        <v>46269.0</v>
      </c>
      <c r="B17" s="252">
        <v>2.7463494E7</v>
      </c>
      <c r="C17" s="252" t="s">
        <v>417</v>
      </c>
      <c r="D17" s="253" t="s">
        <v>418</v>
      </c>
      <c r="E17" s="254" t="s">
        <v>337</v>
      </c>
      <c r="F17" s="254" t="s">
        <v>338</v>
      </c>
      <c r="G17" s="255"/>
      <c r="H17" s="256">
        <v>0.0</v>
      </c>
      <c r="I17" s="257"/>
      <c r="J17" s="98" t="s">
        <v>213</v>
      </c>
      <c r="K17" s="96" t="s">
        <v>54</v>
      </c>
      <c r="L17" s="97"/>
    </row>
    <row r="18">
      <c r="A18" s="251">
        <v>46269.0</v>
      </c>
      <c r="B18" s="252">
        <v>2.7463414E7</v>
      </c>
      <c r="C18" s="252" t="s">
        <v>419</v>
      </c>
      <c r="D18" s="253" t="s">
        <v>420</v>
      </c>
      <c r="E18" s="254" t="s">
        <v>129</v>
      </c>
      <c r="F18" s="254" t="s">
        <v>358</v>
      </c>
      <c r="G18" s="255"/>
      <c r="H18" s="256">
        <v>0.0</v>
      </c>
      <c r="I18" s="257"/>
      <c r="J18" s="98" t="s">
        <v>213</v>
      </c>
      <c r="K18" s="96" t="s">
        <v>54</v>
      </c>
      <c r="L18" s="97"/>
    </row>
    <row r="19">
      <c r="A19" s="251">
        <v>46269.0</v>
      </c>
      <c r="B19" s="252">
        <v>2.746309E7</v>
      </c>
      <c r="C19" s="252" t="s">
        <v>421</v>
      </c>
      <c r="D19" s="253" t="s">
        <v>422</v>
      </c>
      <c r="E19" s="254" t="s">
        <v>337</v>
      </c>
      <c r="F19" s="254" t="s">
        <v>338</v>
      </c>
      <c r="G19" s="255"/>
      <c r="H19" s="256">
        <v>0.0</v>
      </c>
      <c r="I19" s="257"/>
      <c r="J19" s="98" t="s">
        <v>213</v>
      </c>
      <c r="K19" s="96" t="s">
        <v>54</v>
      </c>
      <c r="L19" s="97"/>
    </row>
    <row r="20">
      <c r="A20" s="251">
        <v>46269.0</v>
      </c>
      <c r="B20" s="252">
        <v>2.7462998E7</v>
      </c>
      <c r="C20" s="252" t="s">
        <v>423</v>
      </c>
      <c r="D20" s="253" t="s">
        <v>424</v>
      </c>
      <c r="E20" s="254" t="s">
        <v>129</v>
      </c>
      <c r="F20" s="254" t="s">
        <v>425</v>
      </c>
      <c r="G20" s="255"/>
      <c r="H20" s="256">
        <v>0.0</v>
      </c>
      <c r="I20" s="257"/>
      <c r="J20" s="98" t="s">
        <v>213</v>
      </c>
      <c r="K20" s="96" t="s">
        <v>54</v>
      </c>
      <c r="L20" s="97"/>
    </row>
    <row r="21">
      <c r="A21" s="251">
        <v>46269.0</v>
      </c>
      <c r="B21" s="252">
        <v>2.7462116E7</v>
      </c>
      <c r="C21" s="252" t="s">
        <v>426</v>
      </c>
      <c r="D21" s="253" t="s">
        <v>427</v>
      </c>
      <c r="E21" s="254" t="s">
        <v>129</v>
      </c>
      <c r="F21" s="254" t="s">
        <v>358</v>
      </c>
      <c r="G21" s="255"/>
      <c r="H21" s="256">
        <v>0.0</v>
      </c>
      <c r="I21" s="257"/>
      <c r="J21" s="98" t="s">
        <v>213</v>
      </c>
      <c r="K21" s="96" t="s">
        <v>54</v>
      </c>
      <c r="L21" s="97"/>
    </row>
    <row r="22">
      <c r="A22" s="251">
        <v>46269.0</v>
      </c>
      <c r="B22" s="252">
        <v>2.7461126E7</v>
      </c>
      <c r="C22" s="252" t="s">
        <v>428</v>
      </c>
      <c r="D22" s="253" t="s">
        <v>429</v>
      </c>
      <c r="E22" s="254" t="s">
        <v>337</v>
      </c>
      <c r="F22" s="254" t="s">
        <v>338</v>
      </c>
      <c r="G22" s="255"/>
      <c r="H22" s="256">
        <v>0.0</v>
      </c>
      <c r="I22" s="257"/>
      <c r="J22" s="98" t="s">
        <v>213</v>
      </c>
      <c r="K22" s="96" t="s">
        <v>54</v>
      </c>
      <c r="L22" s="97"/>
    </row>
    <row r="23">
      <c r="A23" s="251">
        <v>46269.0</v>
      </c>
      <c r="B23" s="252">
        <v>2.7461076E7</v>
      </c>
      <c r="C23" s="252" t="s">
        <v>430</v>
      </c>
      <c r="D23" s="253" t="s">
        <v>431</v>
      </c>
      <c r="E23" s="254" t="s">
        <v>129</v>
      </c>
      <c r="F23" s="254" t="s">
        <v>358</v>
      </c>
      <c r="G23" s="255"/>
      <c r="H23" s="256">
        <v>0.0</v>
      </c>
      <c r="I23" s="257"/>
      <c r="J23" s="98" t="s">
        <v>213</v>
      </c>
      <c r="K23" s="96" t="s">
        <v>54</v>
      </c>
      <c r="L23" s="97"/>
    </row>
    <row r="24">
      <c r="A24" s="251">
        <v>46269.0</v>
      </c>
      <c r="B24" s="252">
        <v>2.745997E7</v>
      </c>
      <c r="C24" s="252" t="s">
        <v>432</v>
      </c>
      <c r="D24" s="253" t="s">
        <v>433</v>
      </c>
      <c r="E24" s="254" t="s">
        <v>337</v>
      </c>
      <c r="F24" s="254" t="s">
        <v>434</v>
      </c>
      <c r="G24" s="255"/>
      <c r="H24" s="256">
        <v>0.0</v>
      </c>
      <c r="I24" s="257"/>
      <c r="J24" s="98" t="s">
        <v>213</v>
      </c>
      <c r="K24" s="96" t="s">
        <v>54</v>
      </c>
      <c r="L24" s="97"/>
    </row>
    <row r="25">
      <c r="A25" s="251">
        <v>46269.0</v>
      </c>
      <c r="B25" s="252">
        <v>2.7459388E7</v>
      </c>
      <c r="C25" s="252">
        <v>5.1997750239E10</v>
      </c>
      <c r="D25" s="253" t="s">
        <v>435</v>
      </c>
      <c r="E25" s="254" t="s">
        <v>129</v>
      </c>
      <c r="F25" s="254" t="s">
        <v>358</v>
      </c>
      <c r="G25" s="255"/>
      <c r="H25" s="256">
        <v>0.0</v>
      </c>
      <c r="I25" s="257"/>
      <c r="J25" s="98" t="s">
        <v>213</v>
      </c>
      <c r="K25" s="96" t="s">
        <v>54</v>
      </c>
      <c r="L25" s="97"/>
    </row>
    <row r="26">
      <c r="A26" s="251">
        <v>46269.0</v>
      </c>
      <c r="B26" s="252">
        <v>2.7457172E7</v>
      </c>
      <c r="C26" s="252" t="s">
        <v>436</v>
      </c>
      <c r="D26" s="253" t="s">
        <v>437</v>
      </c>
      <c r="E26" s="254" t="s">
        <v>129</v>
      </c>
      <c r="F26" s="254" t="s">
        <v>434</v>
      </c>
      <c r="G26" s="255"/>
      <c r="H26" s="256">
        <v>0.0</v>
      </c>
      <c r="I26" s="257"/>
      <c r="J26" s="98" t="s">
        <v>213</v>
      </c>
      <c r="K26" s="96" t="s">
        <v>54</v>
      </c>
      <c r="L26" s="97"/>
    </row>
    <row r="27">
      <c r="A27" s="251">
        <v>46269.0</v>
      </c>
      <c r="B27" s="252">
        <v>2.7457096E7</v>
      </c>
      <c r="C27" s="252" t="s">
        <v>438</v>
      </c>
      <c r="D27" s="253" t="s">
        <v>439</v>
      </c>
      <c r="E27" s="254" t="s">
        <v>337</v>
      </c>
      <c r="F27" s="254" t="s">
        <v>338</v>
      </c>
      <c r="G27" s="255"/>
      <c r="H27" s="256">
        <v>0.0</v>
      </c>
      <c r="I27" s="257"/>
      <c r="J27" s="98" t="s">
        <v>213</v>
      </c>
      <c r="K27" s="96" t="s">
        <v>54</v>
      </c>
      <c r="L27" s="97"/>
    </row>
    <row r="28">
      <c r="A28" s="251">
        <v>46269.0</v>
      </c>
      <c r="B28" s="252">
        <v>2.7456248E7</v>
      </c>
      <c r="C28" s="252" t="s">
        <v>440</v>
      </c>
      <c r="D28" s="253" t="s">
        <v>441</v>
      </c>
      <c r="E28" s="254" t="s">
        <v>129</v>
      </c>
      <c r="F28" s="254" t="s">
        <v>434</v>
      </c>
      <c r="G28" s="255"/>
      <c r="H28" s="256">
        <v>0.0</v>
      </c>
      <c r="I28" s="257"/>
      <c r="J28" s="98" t="s">
        <v>213</v>
      </c>
      <c r="K28" s="96" t="s">
        <v>54</v>
      </c>
      <c r="L28" s="97"/>
    </row>
    <row r="29">
      <c r="A29" s="251">
        <v>46269.0</v>
      </c>
      <c r="B29" s="252">
        <v>2.7456224E7</v>
      </c>
      <c r="C29" s="252" t="s">
        <v>442</v>
      </c>
      <c r="D29" s="253" t="s">
        <v>443</v>
      </c>
      <c r="E29" s="254" t="s">
        <v>337</v>
      </c>
      <c r="F29" s="254" t="s">
        <v>410</v>
      </c>
      <c r="G29" s="255"/>
      <c r="H29" s="256">
        <v>0.0</v>
      </c>
      <c r="I29" s="257"/>
      <c r="J29" s="98" t="s">
        <v>213</v>
      </c>
      <c r="K29" s="96" t="s">
        <v>54</v>
      </c>
      <c r="L29" s="97"/>
    </row>
    <row r="30">
      <c r="A30" s="251">
        <v>46268.0</v>
      </c>
      <c r="B30" s="252">
        <v>2.7454762E7</v>
      </c>
      <c r="C30" s="252" t="s">
        <v>444</v>
      </c>
      <c r="D30" s="253" t="s">
        <v>445</v>
      </c>
      <c r="E30" s="254" t="s">
        <v>129</v>
      </c>
      <c r="F30" s="254" t="s">
        <v>434</v>
      </c>
      <c r="G30" s="255"/>
      <c r="H30" s="256">
        <v>0.0</v>
      </c>
      <c r="I30" s="257"/>
      <c r="J30" s="98" t="s">
        <v>213</v>
      </c>
      <c r="K30" s="96" t="s">
        <v>54</v>
      </c>
      <c r="L30" s="97"/>
    </row>
    <row r="31">
      <c r="A31" s="251">
        <v>46268.0</v>
      </c>
      <c r="B31" s="252">
        <v>2.745446E7</v>
      </c>
      <c r="C31" s="252" t="s">
        <v>446</v>
      </c>
      <c r="D31" s="253" t="s">
        <v>447</v>
      </c>
      <c r="E31" s="254" t="s">
        <v>129</v>
      </c>
      <c r="F31" s="254" t="s">
        <v>425</v>
      </c>
      <c r="G31" s="255"/>
      <c r="H31" s="256">
        <v>0.0</v>
      </c>
      <c r="I31" s="257"/>
      <c r="J31" s="98" t="s">
        <v>213</v>
      </c>
      <c r="K31" s="96" t="s">
        <v>54</v>
      </c>
      <c r="L31" s="97"/>
    </row>
    <row r="32">
      <c r="A32" s="251">
        <v>46268.0</v>
      </c>
      <c r="B32" s="252">
        <v>2.7454414E7</v>
      </c>
      <c r="C32" s="252" t="s">
        <v>448</v>
      </c>
      <c r="D32" s="253" t="s">
        <v>449</v>
      </c>
      <c r="E32" s="254" t="s">
        <v>337</v>
      </c>
      <c r="F32" s="254" t="s">
        <v>338</v>
      </c>
      <c r="G32" s="255"/>
      <c r="H32" s="256">
        <v>0.0</v>
      </c>
      <c r="I32" s="257"/>
      <c r="J32" s="98" t="s">
        <v>213</v>
      </c>
      <c r="K32" s="96" t="s">
        <v>54</v>
      </c>
      <c r="L32" s="97"/>
    </row>
    <row r="33">
      <c r="A33" s="251">
        <v>46268.0</v>
      </c>
      <c r="B33" s="252">
        <v>2.7454236E7</v>
      </c>
      <c r="C33" s="252" t="s">
        <v>450</v>
      </c>
      <c r="D33" s="253" t="s">
        <v>451</v>
      </c>
      <c r="E33" s="254" t="s">
        <v>129</v>
      </c>
      <c r="F33" s="254" t="s">
        <v>358</v>
      </c>
      <c r="G33" s="255"/>
      <c r="H33" s="256">
        <v>0.0</v>
      </c>
      <c r="I33" s="257"/>
      <c r="J33" s="98" t="s">
        <v>213</v>
      </c>
      <c r="K33" s="96" t="s">
        <v>54</v>
      </c>
      <c r="L33" s="97"/>
    </row>
    <row r="34" ht="15.75" customHeight="1">
      <c r="A34" s="251">
        <v>46268.0</v>
      </c>
      <c r="B34" s="252">
        <v>2.7452144E7</v>
      </c>
      <c r="C34" s="252" t="s">
        <v>452</v>
      </c>
      <c r="D34" s="253" t="s">
        <v>453</v>
      </c>
      <c r="E34" s="254" t="s">
        <v>337</v>
      </c>
      <c r="F34" s="254" t="s">
        <v>338</v>
      </c>
      <c r="G34" s="255"/>
      <c r="H34" s="256">
        <v>0.0</v>
      </c>
      <c r="I34" s="257"/>
      <c r="J34" s="98" t="s">
        <v>213</v>
      </c>
      <c r="K34" s="96" t="s">
        <v>54</v>
      </c>
      <c r="L34" s="97"/>
    </row>
    <row r="35" ht="15.75" customHeight="1">
      <c r="A35" s="251">
        <v>46268.0</v>
      </c>
      <c r="B35" s="252">
        <v>2.7452108E7</v>
      </c>
      <c r="C35" s="252" t="s">
        <v>454</v>
      </c>
      <c r="D35" s="253" t="s">
        <v>455</v>
      </c>
      <c r="E35" s="254" t="s">
        <v>129</v>
      </c>
      <c r="F35" s="254" t="s">
        <v>410</v>
      </c>
      <c r="G35" s="255"/>
      <c r="H35" s="256">
        <v>0.0</v>
      </c>
      <c r="I35" s="257"/>
      <c r="J35" s="98" t="s">
        <v>213</v>
      </c>
      <c r="K35" s="96" t="s">
        <v>54</v>
      </c>
      <c r="L35" s="97"/>
    </row>
    <row r="36" ht="15.75" customHeight="1">
      <c r="A36" s="251">
        <v>46268.0</v>
      </c>
      <c r="B36" s="252">
        <v>2.7451782E7</v>
      </c>
      <c r="C36" s="252" t="s">
        <v>456</v>
      </c>
      <c r="D36" s="253" t="s">
        <v>457</v>
      </c>
      <c r="E36" s="254" t="s">
        <v>129</v>
      </c>
      <c r="F36" s="254" t="s">
        <v>358</v>
      </c>
      <c r="G36" s="255"/>
      <c r="H36" s="256">
        <v>0.0</v>
      </c>
      <c r="I36" s="257"/>
      <c r="J36" s="98" t="s">
        <v>213</v>
      </c>
      <c r="K36" s="96" t="s">
        <v>54</v>
      </c>
      <c r="L36" s="97"/>
    </row>
    <row r="37" ht="15.75" customHeight="1">
      <c r="A37" s="251">
        <v>46268.0</v>
      </c>
      <c r="B37" s="252">
        <v>2.7451758E7</v>
      </c>
      <c r="C37" s="252" t="s">
        <v>458</v>
      </c>
      <c r="D37" s="253" t="s">
        <v>459</v>
      </c>
      <c r="E37" s="254" t="s">
        <v>337</v>
      </c>
      <c r="F37" s="254" t="s">
        <v>338</v>
      </c>
      <c r="G37" s="255"/>
      <c r="H37" s="256">
        <v>0.0</v>
      </c>
      <c r="I37" s="257"/>
      <c r="J37" s="98" t="s">
        <v>213</v>
      </c>
      <c r="K37" s="96" t="s">
        <v>54</v>
      </c>
      <c r="L37" s="97"/>
    </row>
    <row r="38" ht="15.75" customHeight="1">
      <c r="A38" s="251">
        <v>46268.0</v>
      </c>
      <c r="B38" s="252">
        <v>2.744983E7</v>
      </c>
      <c r="C38" s="252" t="s">
        <v>460</v>
      </c>
      <c r="D38" s="253" t="s">
        <v>461</v>
      </c>
      <c r="E38" s="254" t="s">
        <v>129</v>
      </c>
      <c r="F38" s="254" t="s">
        <v>358</v>
      </c>
      <c r="G38" s="255"/>
      <c r="H38" s="256">
        <v>0.0</v>
      </c>
      <c r="I38" s="257"/>
      <c r="J38" s="98" t="s">
        <v>213</v>
      </c>
      <c r="K38" s="96" t="s">
        <v>54</v>
      </c>
      <c r="L38" s="97"/>
    </row>
    <row r="39" ht="15.75" customHeight="1">
      <c r="A39" s="251">
        <v>46268.0</v>
      </c>
      <c r="B39" s="252">
        <v>2.7448552E7</v>
      </c>
      <c r="C39" s="252" t="s">
        <v>462</v>
      </c>
      <c r="D39" s="253" t="s">
        <v>463</v>
      </c>
      <c r="E39" s="254" t="s">
        <v>337</v>
      </c>
      <c r="F39" s="254" t="s">
        <v>338</v>
      </c>
      <c r="G39" s="255"/>
      <c r="H39" s="256">
        <v>0.0</v>
      </c>
      <c r="I39" s="257"/>
      <c r="J39" s="98" t="s">
        <v>213</v>
      </c>
      <c r="K39" s="96" t="s">
        <v>54</v>
      </c>
      <c r="L39" s="97"/>
    </row>
    <row r="40" ht="15.75" customHeight="1">
      <c r="A40" s="251">
        <v>46268.0</v>
      </c>
      <c r="B40" s="252">
        <v>2.7448178E7</v>
      </c>
      <c r="C40" s="252" t="s">
        <v>464</v>
      </c>
      <c r="D40" s="253" t="s">
        <v>465</v>
      </c>
      <c r="E40" s="254" t="s">
        <v>362</v>
      </c>
      <c r="F40" s="254" t="s">
        <v>338</v>
      </c>
      <c r="G40" s="255"/>
      <c r="H40" s="256">
        <v>0.0</v>
      </c>
      <c r="I40" s="257"/>
      <c r="J40" s="98" t="s">
        <v>213</v>
      </c>
      <c r="K40" s="96" t="s">
        <v>54</v>
      </c>
      <c r="L40" s="97"/>
    </row>
    <row r="41" ht="15.75" customHeight="1">
      <c r="A41" s="251">
        <v>46268.0</v>
      </c>
      <c r="B41" s="252">
        <v>2.7447988E7</v>
      </c>
      <c r="C41" s="252" t="s">
        <v>466</v>
      </c>
      <c r="D41" s="257"/>
      <c r="E41" s="254" t="s">
        <v>362</v>
      </c>
      <c r="F41" s="254" t="s">
        <v>338</v>
      </c>
      <c r="G41" s="255"/>
      <c r="H41" s="256">
        <v>0.0</v>
      </c>
      <c r="I41" s="257"/>
      <c r="J41" s="98" t="s">
        <v>213</v>
      </c>
      <c r="K41" s="96" t="s">
        <v>54</v>
      </c>
      <c r="L41" s="97"/>
    </row>
    <row r="42" ht="15.75" customHeight="1">
      <c r="A42" s="251">
        <v>46267.0</v>
      </c>
      <c r="B42" s="252">
        <v>2.7446648E7</v>
      </c>
      <c r="C42" s="252" t="s">
        <v>467</v>
      </c>
      <c r="D42" s="253" t="s">
        <v>468</v>
      </c>
      <c r="E42" s="254" t="s">
        <v>337</v>
      </c>
      <c r="F42" s="254" t="s">
        <v>338</v>
      </c>
      <c r="G42" s="255"/>
      <c r="H42" s="256">
        <v>0.0</v>
      </c>
      <c r="I42" s="257"/>
      <c r="J42" s="98" t="s">
        <v>213</v>
      </c>
      <c r="K42" s="96" t="s">
        <v>54</v>
      </c>
      <c r="L42" s="97"/>
    </row>
    <row r="43" ht="15.75" customHeight="1">
      <c r="A43" s="251">
        <v>46267.0</v>
      </c>
      <c r="B43" s="252">
        <v>2.7446078E7</v>
      </c>
      <c r="C43" s="252" t="s">
        <v>470</v>
      </c>
      <c r="D43" s="257"/>
      <c r="E43" s="254" t="s">
        <v>362</v>
      </c>
      <c r="F43" s="254" t="s">
        <v>338</v>
      </c>
      <c r="G43" s="255"/>
      <c r="H43" s="256">
        <v>0.0</v>
      </c>
      <c r="I43" s="257"/>
      <c r="J43" s="98" t="s">
        <v>213</v>
      </c>
      <c r="K43" s="96" t="s">
        <v>54</v>
      </c>
      <c r="L43" s="97"/>
    </row>
    <row r="44" ht="15.75" customHeight="1">
      <c r="A44" s="251">
        <v>46267.0</v>
      </c>
      <c r="B44" s="252">
        <v>2.7445964E7</v>
      </c>
      <c r="C44" s="252" t="s">
        <v>490</v>
      </c>
      <c r="D44" s="253" t="s">
        <v>492</v>
      </c>
      <c r="E44" s="254" t="s">
        <v>337</v>
      </c>
      <c r="F44" s="254" t="s">
        <v>410</v>
      </c>
      <c r="G44" s="255"/>
      <c r="H44" s="256">
        <v>0.0</v>
      </c>
      <c r="I44" s="257"/>
      <c r="J44" s="98" t="s">
        <v>213</v>
      </c>
      <c r="K44" s="96" t="s">
        <v>54</v>
      </c>
      <c r="L44" s="97"/>
    </row>
    <row r="45" ht="15.75" customHeight="1">
      <c r="A45" s="251">
        <v>46267.0</v>
      </c>
      <c r="B45" s="252">
        <v>2.7445826E7</v>
      </c>
      <c r="C45" s="252" t="s">
        <v>503</v>
      </c>
      <c r="D45" s="253" t="s">
        <v>505</v>
      </c>
      <c r="E45" s="254" t="s">
        <v>129</v>
      </c>
      <c r="F45" s="254" t="s">
        <v>434</v>
      </c>
      <c r="G45" s="255"/>
      <c r="H45" s="256">
        <v>0.0</v>
      </c>
      <c r="I45" s="257"/>
      <c r="J45" s="98" t="s">
        <v>213</v>
      </c>
      <c r="K45" s="96" t="s">
        <v>54</v>
      </c>
      <c r="L45" s="97"/>
    </row>
    <row r="46" ht="15.75" customHeight="1">
      <c r="A46" s="251">
        <v>46267.0</v>
      </c>
      <c r="B46" s="252">
        <v>2.744505E7</v>
      </c>
      <c r="C46" s="252" t="s">
        <v>516</v>
      </c>
      <c r="D46" s="253" t="s">
        <v>517</v>
      </c>
      <c r="E46" s="254" t="s">
        <v>129</v>
      </c>
      <c r="F46" s="254" t="s">
        <v>358</v>
      </c>
      <c r="G46" s="255"/>
      <c r="H46" s="256">
        <v>0.0</v>
      </c>
      <c r="I46" s="257"/>
      <c r="J46" s="98" t="s">
        <v>213</v>
      </c>
      <c r="K46" s="96" t="s">
        <v>54</v>
      </c>
      <c r="L46" s="97"/>
    </row>
    <row r="47" ht="15.75" customHeight="1">
      <c r="A47" s="251">
        <v>46267.0</v>
      </c>
      <c r="B47" s="252">
        <v>2.7444932E7</v>
      </c>
      <c r="C47" s="252" t="s">
        <v>524</v>
      </c>
      <c r="D47" s="253" t="s">
        <v>526</v>
      </c>
      <c r="E47" s="254" t="s">
        <v>337</v>
      </c>
      <c r="F47" s="254" t="s">
        <v>338</v>
      </c>
      <c r="G47" s="255"/>
      <c r="H47" s="256">
        <v>0.0</v>
      </c>
      <c r="I47" s="257"/>
      <c r="J47" s="98" t="s">
        <v>213</v>
      </c>
      <c r="K47" s="96" t="s">
        <v>54</v>
      </c>
      <c r="L47" s="97"/>
    </row>
    <row r="48" ht="15.75" customHeight="1">
      <c r="A48" s="251">
        <v>46267.0</v>
      </c>
      <c r="B48" s="252">
        <v>2.7444232E7</v>
      </c>
      <c r="C48" s="252" t="s">
        <v>532</v>
      </c>
      <c r="D48" s="253" t="s">
        <v>533</v>
      </c>
      <c r="E48" s="254" t="s">
        <v>129</v>
      </c>
      <c r="F48" s="254" t="s">
        <v>425</v>
      </c>
      <c r="G48" s="255"/>
      <c r="H48" s="256">
        <v>0.0</v>
      </c>
      <c r="I48" s="257"/>
      <c r="J48" s="98" t="s">
        <v>213</v>
      </c>
      <c r="K48" s="96" t="s">
        <v>54</v>
      </c>
      <c r="L48" s="97"/>
    </row>
    <row r="49" ht="15.75" customHeight="1">
      <c r="A49" s="251">
        <v>46267.0</v>
      </c>
      <c r="B49" s="252">
        <v>2.744299E7</v>
      </c>
      <c r="C49" s="252" t="s">
        <v>540</v>
      </c>
      <c r="D49" s="253" t="s">
        <v>542</v>
      </c>
      <c r="E49" s="254" t="s">
        <v>337</v>
      </c>
      <c r="F49" s="254" t="s">
        <v>338</v>
      </c>
      <c r="G49" s="255"/>
      <c r="H49" s="256">
        <v>0.0</v>
      </c>
      <c r="I49" s="257"/>
      <c r="J49" s="98" t="s">
        <v>213</v>
      </c>
      <c r="K49" s="96" t="s">
        <v>54</v>
      </c>
      <c r="L49" s="97"/>
    </row>
    <row r="50" ht="15.75" customHeight="1">
      <c r="A50" s="251">
        <v>46267.0</v>
      </c>
      <c r="B50" s="252">
        <v>2.7441586E7</v>
      </c>
      <c r="C50" s="252" t="s">
        <v>546</v>
      </c>
      <c r="D50" s="257"/>
      <c r="E50" s="254" t="s">
        <v>129</v>
      </c>
      <c r="F50" s="254" t="s">
        <v>358</v>
      </c>
      <c r="G50" s="255"/>
      <c r="H50" s="256">
        <v>0.0</v>
      </c>
      <c r="I50" s="257"/>
      <c r="J50" s="98" t="s">
        <v>213</v>
      </c>
      <c r="K50" s="96" t="s">
        <v>54</v>
      </c>
      <c r="L50" s="97"/>
    </row>
    <row r="51" ht="15.75" customHeight="1">
      <c r="A51" s="251">
        <v>46267.0</v>
      </c>
      <c r="B51" s="252">
        <v>2.7441178E7</v>
      </c>
      <c r="C51" s="252" t="s">
        <v>553</v>
      </c>
      <c r="D51" s="253" t="s">
        <v>554</v>
      </c>
      <c r="E51" s="254" t="s">
        <v>129</v>
      </c>
      <c r="F51" s="254" t="s">
        <v>425</v>
      </c>
      <c r="G51" s="255"/>
      <c r="H51" s="256">
        <v>0.0</v>
      </c>
      <c r="I51" s="257"/>
      <c r="J51" s="98" t="s">
        <v>213</v>
      </c>
      <c r="K51" s="96" t="s">
        <v>54</v>
      </c>
      <c r="L51" s="97"/>
    </row>
    <row r="52" ht="15.75" customHeight="1">
      <c r="A52" s="251">
        <v>46267.0</v>
      </c>
      <c r="B52" s="252">
        <v>2.7440046E7</v>
      </c>
      <c r="C52" s="252" t="s">
        <v>560</v>
      </c>
      <c r="D52" s="253" t="s">
        <v>561</v>
      </c>
      <c r="E52" s="254" t="s">
        <v>337</v>
      </c>
      <c r="F52" s="254" t="s">
        <v>338</v>
      </c>
      <c r="G52" s="255"/>
      <c r="H52" s="256">
        <v>0.0</v>
      </c>
      <c r="I52" s="257"/>
      <c r="J52" s="98" t="s">
        <v>213</v>
      </c>
      <c r="K52" s="96" t="s">
        <v>54</v>
      </c>
      <c r="L52" s="97"/>
    </row>
    <row r="53" ht="15.75" customHeight="1">
      <c r="A53" s="251">
        <v>46266.0</v>
      </c>
      <c r="B53" s="252">
        <v>2.7438356E7</v>
      </c>
      <c r="C53" s="252" t="s">
        <v>568</v>
      </c>
      <c r="D53" s="253" t="s">
        <v>569</v>
      </c>
      <c r="E53" s="254" t="s">
        <v>129</v>
      </c>
      <c r="F53" s="254" t="s">
        <v>358</v>
      </c>
      <c r="G53" s="255"/>
      <c r="H53" s="256">
        <v>0.0</v>
      </c>
      <c r="I53" s="257"/>
      <c r="J53" s="98" t="s">
        <v>213</v>
      </c>
      <c r="K53" s="96" t="s">
        <v>54</v>
      </c>
      <c r="L53" s="97"/>
    </row>
    <row r="54" ht="15.75" customHeight="1">
      <c r="A54" s="251">
        <v>46266.0</v>
      </c>
      <c r="B54" s="252">
        <v>2.7437318E7</v>
      </c>
      <c r="C54" s="252" t="s">
        <v>574</v>
      </c>
      <c r="D54" s="253" t="s">
        <v>575</v>
      </c>
      <c r="E54" s="254" t="s">
        <v>337</v>
      </c>
      <c r="F54" s="254" t="s">
        <v>338</v>
      </c>
      <c r="G54" s="255"/>
      <c r="H54" s="256">
        <v>0.0</v>
      </c>
      <c r="I54" s="257"/>
      <c r="J54" s="98" t="s">
        <v>213</v>
      </c>
      <c r="K54" s="96" t="s">
        <v>54</v>
      </c>
      <c r="L54" s="97"/>
    </row>
    <row r="55" ht="15.75" customHeight="1">
      <c r="A55" s="251">
        <v>46266.0</v>
      </c>
      <c r="B55" s="252">
        <v>2.7436154E7</v>
      </c>
      <c r="C55" s="252" t="s">
        <v>587</v>
      </c>
      <c r="D55" s="253" t="s">
        <v>588</v>
      </c>
      <c r="E55" s="254" t="s">
        <v>362</v>
      </c>
      <c r="F55" s="254" t="s">
        <v>590</v>
      </c>
      <c r="G55" s="255"/>
      <c r="H55" s="256">
        <v>0.0</v>
      </c>
      <c r="I55" s="257"/>
      <c r="J55" s="98" t="s">
        <v>213</v>
      </c>
      <c r="K55" s="96" t="s">
        <v>54</v>
      </c>
      <c r="L55" s="97"/>
    </row>
    <row r="56" ht="15.75" customHeight="1">
      <c r="A56" s="251">
        <v>46266.0</v>
      </c>
      <c r="B56" s="252">
        <v>2.7435856E7</v>
      </c>
      <c r="C56" s="252" t="s">
        <v>596</v>
      </c>
      <c r="D56" s="253" t="s">
        <v>597</v>
      </c>
      <c r="E56" s="254" t="s">
        <v>129</v>
      </c>
      <c r="F56" s="254" t="s">
        <v>358</v>
      </c>
      <c r="G56" s="255"/>
      <c r="H56" s="256">
        <v>0.0</v>
      </c>
      <c r="I56" s="257"/>
      <c r="J56" s="98" t="s">
        <v>213</v>
      </c>
      <c r="K56" s="96" t="s">
        <v>54</v>
      </c>
      <c r="L56" s="97"/>
    </row>
    <row r="57" ht="15.75" customHeight="1">
      <c r="A57" s="251">
        <v>46266.0</v>
      </c>
      <c r="B57" s="252">
        <v>2.7431546E7</v>
      </c>
      <c r="C57" s="252" t="s">
        <v>603</v>
      </c>
      <c r="D57" s="253" t="s">
        <v>604</v>
      </c>
      <c r="E57" s="254" t="s">
        <v>337</v>
      </c>
      <c r="F57" s="254" t="s">
        <v>425</v>
      </c>
      <c r="G57" s="255"/>
      <c r="H57" s="256">
        <v>0.0</v>
      </c>
      <c r="I57" s="257"/>
      <c r="J57" s="98" t="s">
        <v>213</v>
      </c>
      <c r="K57" s="96" t="s">
        <v>54</v>
      </c>
      <c r="L57" s="97"/>
    </row>
    <row r="58" ht="15.75" customHeight="1">
      <c r="A58" s="251">
        <v>46266.0</v>
      </c>
      <c r="B58" s="252">
        <v>2.7430866E7</v>
      </c>
      <c r="C58" s="252" t="s">
        <v>611</v>
      </c>
      <c r="D58" s="253" t="s">
        <v>612</v>
      </c>
      <c r="E58" s="254" t="s">
        <v>362</v>
      </c>
      <c r="F58" s="254" t="s">
        <v>590</v>
      </c>
      <c r="G58" s="255"/>
      <c r="H58" s="256">
        <v>0.0</v>
      </c>
      <c r="I58" s="257"/>
      <c r="J58" s="98" t="s">
        <v>213</v>
      </c>
      <c r="K58" s="96" t="s">
        <v>54</v>
      </c>
      <c r="L58" s="97"/>
    </row>
    <row r="59" ht="15.75" customHeight="1">
      <c r="A59" s="251">
        <v>46266.0</v>
      </c>
      <c r="B59" s="252">
        <v>2.7424636E7</v>
      </c>
      <c r="C59" s="252" t="s">
        <v>618</v>
      </c>
      <c r="D59" s="253" t="s">
        <v>619</v>
      </c>
      <c r="E59" s="254" t="s">
        <v>337</v>
      </c>
      <c r="F59" s="254" t="s">
        <v>338</v>
      </c>
      <c r="G59" s="255"/>
      <c r="H59" s="256">
        <v>0.0</v>
      </c>
      <c r="I59" s="257"/>
      <c r="J59" s="98" t="s">
        <v>213</v>
      </c>
      <c r="K59" s="96" t="s">
        <v>54</v>
      </c>
      <c r="L59" s="97"/>
    </row>
    <row r="60" ht="15.75" customHeight="1">
      <c r="A60" s="251">
        <v>46266.0</v>
      </c>
      <c r="B60" s="252">
        <v>2.7424576E7</v>
      </c>
      <c r="C60" s="252" t="s">
        <v>627</v>
      </c>
      <c r="D60" s="253" t="s">
        <v>628</v>
      </c>
      <c r="E60" s="254" t="s">
        <v>362</v>
      </c>
      <c r="F60" s="254" t="s">
        <v>338</v>
      </c>
      <c r="G60" s="255"/>
      <c r="H60" s="256">
        <v>0.0</v>
      </c>
      <c r="I60" s="257"/>
      <c r="J60" s="98" t="s">
        <v>213</v>
      </c>
      <c r="K60" s="96" t="s">
        <v>54</v>
      </c>
      <c r="L60" s="97"/>
    </row>
    <row r="61" ht="15.75" customHeight="1">
      <c r="A61" s="251">
        <v>46266.0</v>
      </c>
      <c r="B61" s="252">
        <v>2.7424436E7</v>
      </c>
      <c r="C61" s="252" t="s">
        <v>634</v>
      </c>
      <c r="D61" s="253" t="s">
        <v>636</v>
      </c>
      <c r="E61" s="254" t="s">
        <v>129</v>
      </c>
      <c r="F61" s="254" t="s">
        <v>425</v>
      </c>
      <c r="G61" s="255"/>
      <c r="H61" s="256">
        <v>0.0</v>
      </c>
      <c r="I61" s="257"/>
      <c r="J61" s="98" t="s">
        <v>213</v>
      </c>
      <c r="K61" s="96" t="s">
        <v>54</v>
      </c>
      <c r="L61" s="97"/>
    </row>
    <row r="62" ht="15.75" customHeight="1">
      <c r="A62" s="251">
        <v>46265.0</v>
      </c>
      <c r="B62" s="252">
        <v>2.742339E7</v>
      </c>
      <c r="C62" s="252" t="s">
        <v>642</v>
      </c>
      <c r="D62" s="253" t="s">
        <v>644</v>
      </c>
      <c r="E62" s="254" t="s">
        <v>337</v>
      </c>
      <c r="F62" s="254" t="s">
        <v>434</v>
      </c>
      <c r="G62" s="255"/>
      <c r="H62" s="256">
        <v>0.0</v>
      </c>
      <c r="I62" s="257"/>
      <c r="J62" s="98" t="s">
        <v>213</v>
      </c>
      <c r="K62" s="96" t="s">
        <v>54</v>
      </c>
      <c r="L62" s="97"/>
    </row>
    <row r="63" ht="15.75" customHeight="1">
      <c r="A63" s="251">
        <v>46265.0</v>
      </c>
      <c r="B63" s="252">
        <v>2.7423334E7</v>
      </c>
      <c r="C63" s="257"/>
      <c r="D63" s="253" t="s">
        <v>656</v>
      </c>
      <c r="E63" s="254" t="s">
        <v>129</v>
      </c>
      <c r="F63" s="254" t="s">
        <v>434</v>
      </c>
      <c r="G63" s="255"/>
      <c r="H63" s="256">
        <v>0.0</v>
      </c>
      <c r="I63" s="257"/>
      <c r="J63" s="98" t="s">
        <v>213</v>
      </c>
      <c r="K63" s="96" t="s">
        <v>54</v>
      </c>
      <c r="L63" s="97"/>
    </row>
    <row r="64" ht="15.75" customHeight="1">
      <c r="A64" s="251">
        <v>46265.0</v>
      </c>
      <c r="B64" s="252">
        <v>2.7422088E7</v>
      </c>
      <c r="C64" s="252" t="s">
        <v>663</v>
      </c>
      <c r="D64" s="253" t="s">
        <v>664</v>
      </c>
      <c r="E64" s="254" t="s">
        <v>337</v>
      </c>
      <c r="F64" s="254" t="s">
        <v>338</v>
      </c>
      <c r="G64" s="255"/>
      <c r="H64" s="256">
        <v>0.0</v>
      </c>
      <c r="I64" s="257"/>
      <c r="J64" s="98" t="s">
        <v>213</v>
      </c>
      <c r="K64" s="96" t="s">
        <v>54</v>
      </c>
      <c r="L64" s="97"/>
    </row>
    <row r="65" ht="15.75" customHeight="1">
      <c r="A65" s="251">
        <v>46265.0</v>
      </c>
      <c r="B65" s="252">
        <v>2.7421904E7</v>
      </c>
      <c r="C65" s="252" t="s">
        <v>671</v>
      </c>
      <c r="D65" s="253" t="s">
        <v>673</v>
      </c>
      <c r="E65" s="254" t="s">
        <v>362</v>
      </c>
      <c r="F65" s="254" t="s">
        <v>425</v>
      </c>
      <c r="G65" s="255"/>
      <c r="H65" s="256">
        <v>0.0</v>
      </c>
      <c r="I65" s="257"/>
      <c r="J65" s="98" t="s">
        <v>213</v>
      </c>
      <c r="K65" s="96" t="s">
        <v>54</v>
      </c>
      <c r="L65" s="97"/>
    </row>
    <row r="66" ht="15.75" customHeight="1">
      <c r="A66" s="251">
        <v>46265.0</v>
      </c>
      <c r="B66" s="252">
        <v>2.7421902E7</v>
      </c>
      <c r="C66" s="252" t="s">
        <v>679</v>
      </c>
      <c r="D66" s="253" t="s">
        <v>680</v>
      </c>
      <c r="E66" s="254" t="s">
        <v>129</v>
      </c>
      <c r="F66" s="254" t="s">
        <v>434</v>
      </c>
      <c r="G66" s="255"/>
      <c r="H66" s="256">
        <v>0.0</v>
      </c>
      <c r="I66" s="257"/>
      <c r="J66" s="98" t="s">
        <v>213</v>
      </c>
      <c r="K66" s="96" t="s">
        <v>54</v>
      </c>
      <c r="L66" s="97"/>
    </row>
    <row r="67" ht="15.75" customHeight="1">
      <c r="A67" s="251">
        <v>46265.0</v>
      </c>
      <c r="B67" s="252">
        <v>2.7421688E7</v>
      </c>
      <c r="C67" s="252" t="s">
        <v>687</v>
      </c>
      <c r="D67" s="253" t="s">
        <v>688</v>
      </c>
      <c r="E67" s="254" t="s">
        <v>337</v>
      </c>
      <c r="F67" s="254" t="s">
        <v>434</v>
      </c>
      <c r="G67" s="255"/>
      <c r="H67" s="256">
        <v>0.0</v>
      </c>
      <c r="I67" s="257"/>
      <c r="J67" s="98" t="s">
        <v>213</v>
      </c>
      <c r="K67" s="96" t="s">
        <v>54</v>
      </c>
      <c r="L67" s="97"/>
    </row>
    <row r="68" ht="15.75" customHeight="1">
      <c r="A68" s="251">
        <v>46265.0</v>
      </c>
      <c r="B68" s="252">
        <v>2.742132E7</v>
      </c>
      <c r="C68" s="252" t="s">
        <v>693</v>
      </c>
      <c r="D68" s="253" t="s">
        <v>694</v>
      </c>
      <c r="E68" s="254" t="s">
        <v>362</v>
      </c>
      <c r="F68" s="254" t="s">
        <v>338</v>
      </c>
      <c r="G68" s="255"/>
      <c r="H68" s="256">
        <v>0.0</v>
      </c>
      <c r="I68" s="257"/>
      <c r="J68" s="98" t="s">
        <v>213</v>
      </c>
      <c r="K68" s="96" t="s">
        <v>54</v>
      </c>
      <c r="L68" s="97"/>
    </row>
    <row r="69" ht="15.75" customHeight="1">
      <c r="A69" s="251">
        <v>46265.0</v>
      </c>
      <c r="B69" s="252">
        <v>2.7420684E7</v>
      </c>
      <c r="C69" s="252" t="s">
        <v>695</v>
      </c>
      <c r="D69" s="257"/>
      <c r="E69" s="254" t="s">
        <v>337</v>
      </c>
      <c r="F69" s="254" t="s">
        <v>338</v>
      </c>
      <c r="G69" s="255"/>
      <c r="H69" s="256">
        <v>0.0</v>
      </c>
      <c r="I69" s="257"/>
      <c r="J69" s="98" t="s">
        <v>213</v>
      </c>
      <c r="K69" s="96" t="s">
        <v>54</v>
      </c>
      <c r="L69" s="97"/>
    </row>
    <row r="70" ht="15.75" customHeight="1">
      <c r="A70" s="251">
        <v>46265.0</v>
      </c>
      <c r="B70" s="252">
        <v>2.7420334E7</v>
      </c>
      <c r="C70" s="252" t="s">
        <v>696</v>
      </c>
      <c r="D70" s="253" t="s">
        <v>697</v>
      </c>
      <c r="E70" s="254" t="s">
        <v>175</v>
      </c>
      <c r="F70" s="254" t="s">
        <v>338</v>
      </c>
      <c r="G70" s="255"/>
      <c r="H70" s="256">
        <v>0.0</v>
      </c>
      <c r="I70" s="257"/>
      <c r="J70" s="98" t="s">
        <v>213</v>
      </c>
      <c r="K70" s="96" t="s">
        <v>54</v>
      </c>
      <c r="L70" s="97"/>
    </row>
    <row r="71" ht="15.75" customHeight="1">
      <c r="A71" s="251">
        <v>46265.0</v>
      </c>
      <c r="B71" s="252">
        <v>2.741851E7</v>
      </c>
      <c r="C71" s="252" t="s">
        <v>698</v>
      </c>
      <c r="D71" s="253" t="s">
        <v>699</v>
      </c>
      <c r="E71" s="254" t="s">
        <v>362</v>
      </c>
      <c r="F71" s="254" t="s">
        <v>590</v>
      </c>
      <c r="G71" s="255"/>
      <c r="H71" s="256">
        <v>0.0</v>
      </c>
      <c r="I71" s="257"/>
      <c r="J71" s="98" t="s">
        <v>213</v>
      </c>
      <c r="K71" s="96" t="s">
        <v>54</v>
      </c>
      <c r="L71" s="97"/>
    </row>
    <row r="72" ht="15.75" customHeight="1">
      <c r="A72" s="251">
        <v>46265.0</v>
      </c>
      <c r="B72" s="252">
        <v>2.741832E7</v>
      </c>
      <c r="C72" s="257"/>
      <c r="D72" s="253" t="s">
        <v>700</v>
      </c>
      <c r="E72" s="254" t="s">
        <v>337</v>
      </c>
      <c r="F72" s="254" t="s">
        <v>338</v>
      </c>
      <c r="G72" s="255"/>
      <c r="H72" s="256">
        <v>0.0</v>
      </c>
      <c r="I72" s="257"/>
      <c r="J72" s="98" t="s">
        <v>213</v>
      </c>
      <c r="K72" s="96" t="s">
        <v>54</v>
      </c>
      <c r="L72" s="97"/>
    </row>
    <row r="73" ht="15.75" customHeight="1">
      <c r="A73" s="251">
        <v>46265.0</v>
      </c>
      <c r="B73" s="252">
        <v>2.7418202E7</v>
      </c>
      <c r="C73" s="252" t="s">
        <v>701</v>
      </c>
      <c r="D73" s="253" t="s">
        <v>702</v>
      </c>
      <c r="E73" s="254" t="s">
        <v>129</v>
      </c>
      <c r="F73" s="254" t="s">
        <v>358</v>
      </c>
      <c r="G73" s="255"/>
      <c r="H73" s="256">
        <v>0.0</v>
      </c>
      <c r="I73" s="257"/>
      <c r="J73" s="98" t="s">
        <v>213</v>
      </c>
      <c r="K73" s="96" t="s">
        <v>54</v>
      </c>
      <c r="L73" s="97"/>
    </row>
    <row r="74" ht="15.75" customHeight="1">
      <c r="A74" s="251">
        <v>46265.0</v>
      </c>
      <c r="B74" s="252">
        <v>2.741809E7</v>
      </c>
      <c r="C74" s="252" t="s">
        <v>703</v>
      </c>
      <c r="D74" s="253" t="s">
        <v>704</v>
      </c>
      <c r="E74" s="254" t="s">
        <v>337</v>
      </c>
      <c r="F74" s="254" t="s">
        <v>338</v>
      </c>
      <c r="G74" s="255"/>
      <c r="H74" s="256">
        <v>0.0</v>
      </c>
      <c r="I74" s="257"/>
      <c r="J74" s="98" t="s">
        <v>213</v>
      </c>
      <c r="K74" s="96" t="s">
        <v>54</v>
      </c>
      <c r="L74" s="97"/>
    </row>
    <row r="75" ht="15.75" customHeight="1">
      <c r="A75" s="251">
        <v>46265.0</v>
      </c>
      <c r="B75" s="252">
        <v>2.741776E7</v>
      </c>
      <c r="C75" s="252" t="s">
        <v>705</v>
      </c>
      <c r="D75" s="253" t="s">
        <v>706</v>
      </c>
      <c r="E75" s="254" t="s">
        <v>175</v>
      </c>
      <c r="F75" s="254" t="s">
        <v>338</v>
      </c>
      <c r="G75" s="255"/>
      <c r="H75" s="256">
        <v>0.0</v>
      </c>
      <c r="I75" s="257"/>
      <c r="J75" s="98" t="s">
        <v>213</v>
      </c>
      <c r="K75" s="96" t="s">
        <v>54</v>
      </c>
      <c r="L75" s="97"/>
    </row>
    <row r="76" ht="15.75" customHeight="1">
      <c r="A76" s="251">
        <v>46265.0</v>
      </c>
      <c r="B76" s="252">
        <v>2.7412182E7</v>
      </c>
      <c r="C76" s="252" t="s">
        <v>707</v>
      </c>
      <c r="D76" s="253" t="s">
        <v>708</v>
      </c>
      <c r="E76" s="254" t="s">
        <v>129</v>
      </c>
      <c r="F76" s="254" t="s">
        <v>434</v>
      </c>
      <c r="G76" s="255"/>
      <c r="H76" s="256">
        <v>0.0</v>
      </c>
      <c r="I76" s="257"/>
      <c r="J76" s="98" t="s">
        <v>213</v>
      </c>
      <c r="K76" s="96" t="s">
        <v>54</v>
      </c>
      <c r="L76" s="97"/>
    </row>
    <row r="77" ht="15.75" customHeight="1">
      <c r="A77" s="251">
        <v>46265.0</v>
      </c>
      <c r="B77" s="252">
        <v>2.7412126E7</v>
      </c>
      <c r="C77" s="252" t="s">
        <v>709</v>
      </c>
      <c r="D77" s="253" t="s">
        <v>710</v>
      </c>
      <c r="E77" s="254" t="s">
        <v>337</v>
      </c>
      <c r="F77" s="254" t="s">
        <v>338</v>
      </c>
      <c r="G77" s="255"/>
      <c r="H77" s="256">
        <v>0.0</v>
      </c>
      <c r="I77" s="257"/>
      <c r="J77" s="98" t="s">
        <v>213</v>
      </c>
      <c r="K77" s="96" t="s">
        <v>54</v>
      </c>
      <c r="L77" s="97"/>
    </row>
    <row r="78" ht="15.75" customHeight="1">
      <c r="A78" s="251">
        <v>46265.0</v>
      </c>
      <c r="B78" s="252">
        <v>2.7411906E7</v>
      </c>
      <c r="C78" s="252" t="s">
        <v>711</v>
      </c>
      <c r="D78" s="253" t="s">
        <v>712</v>
      </c>
      <c r="E78" s="254" t="s">
        <v>129</v>
      </c>
      <c r="F78" s="254" t="s">
        <v>434</v>
      </c>
      <c r="G78" s="255"/>
      <c r="H78" s="256">
        <v>0.0</v>
      </c>
      <c r="I78" s="257"/>
      <c r="J78" s="98" t="s">
        <v>213</v>
      </c>
      <c r="K78" s="96" t="s">
        <v>54</v>
      </c>
      <c r="L78" s="97"/>
    </row>
    <row r="79" ht="15.75" customHeight="1">
      <c r="A79" s="251">
        <v>46265.0</v>
      </c>
      <c r="B79" s="252">
        <v>2.7411692E7</v>
      </c>
      <c r="C79" s="252" t="s">
        <v>713</v>
      </c>
      <c r="D79" s="253" t="s">
        <v>714</v>
      </c>
      <c r="E79" s="254" t="s">
        <v>337</v>
      </c>
      <c r="F79" s="254" t="s">
        <v>338</v>
      </c>
      <c r="G79" s="255"/>
      <c r="H79" s="256">
        <v>0.0</v>
      </c>
      <c r="I79" s="257"/>
      <c r="J79" s="98" t="s">
        <v>213</v>
      </c>
      <c r="K79" s="96" t="s">
        <v>54</v>
      </c>
      <c r="L79" s="97"/>
    </row>
    <row r="80" ht="15.75" customHeight="1">
      <c r="A80" s="251">
        <v>46265.0</v>
      </c>
      <c r="B80" s="252">
        <v>2.7410686E7</v>
      </c>
      <c r="C80" s="252" t="s">
        <v>715</v>
      </c>
      <c r="D80" s="253" t="s">
        <v>716</v>
      </c>
      <c r="E80" s="254" t="s">
        <v>175</v>
      </c>
      <c r="F80" s="254" t="s">
        <v>338</v>
      </c>
      <c r="G80" s="255"/>
      <c r="H80" s="256">
        <v>0.0</v>
      </c>
      <c r="I80" s="257"/>
      <c r="J80" s="98" t="s">
        <v>213</v>
      </c>
      <c r="K80" s="96" t="s">
        <v>54</v>
      </c>
      <c r="L80" s="97"/>
    </row>
    <row r="81" ht="15.75" customHeight="1">
      <c r="A81" s="251">
        <v>46265.0</v>
      </c>
      <c r="B81" s="252">
        <v>2.7410658E7</v>
      </c>
      <c r="C81" s="252" t="s">
        <v>717</v>
      </c>
      <c r="D81" s="253" t="s">
        <v>718</v>
      </c>
      <c r="E81" s="254" t="s">
        <v>129</v>
      </c>
      <c r="F81" s="254" t="s">
        <v>358</v>
      </c>
      <c r="G81" s="255"/>
      <c r="H81" s="256">
        <v>0.0</v>
      </c>
      <c r="I81" s="257"/>
      <c r="J81" s="98" t="s">
        <v>213</v>
      </c>
      <c r="K81" s="96" t="s">
        <v>54</v>
      </c>
      <c r="L81" s="97"/>
    </row>
    <row r="82" ht="15.75" customHeight="1">
      <c r="A82" s="251">
        <v>46265.0</v>
      </c>
      <c r="B82" s="252">
        <v>2.7410086E7</v>
      </c>
      <c r="C82" s="252" t="s">
        <v>722</v>
      </c>
      <c r="D82" s="253" t="s">
        <v>724</v>
      </c>
      <c r="E82" s="254" t="s">
        <v>337</v>
      </c>
      <c r="F82" s="254" t="s">
        <v>358</v>
      </c>
      <c r="G82" s="255"/>
      <c r="H82" s="256">
        <v>0.0</v>
      </c>
      <c r="I82" s="257"/>
      <c r="J82" s="98" t="s">
        <v>213</v>
      </c>
      <c r="K82" s="96" t="s">
        <v>54</v>
      </c>
      <c r="L82" s="97"/>
    </row>
    <row r="83" ht="15.75" customHeight="1">
      <c r="A83" s="251">
        <v>46265.0</v>
      </c>
      <c r="B83" s="252">
        <v>2.7409984E7</v>
      </c>
      <c r="C83" s="252" t="s">
        <v>729</v>
      </c>
      <c r="D83" s="253" t="s">
        <v>731</v>
      </c>
      <c r="E83" s="254" t="s">
        <v>129</v>
      </c>
      <c r="F83" s="254" t="s">
        <v>358</v>
      </c>
      <c r="G83" s="255"/>
      <c r="H83" s="256">
        <v>0.0</v>
      </c>
      <c r="I83" s="257"/>
      <c r="J83" s="98" t="s">
        <v>213</v>
      </c>
      <c r="K83" s="96" t="s">
        <v>54</v>
      </c>
      <c r="L83" s="97"/>
    </row>
    <row r="84" ht="15.75" customHeight="1">
      <c r="A84" s="251">
        <v>46265.0</v>
      </c>
      <c r="B84" s="252">
        <v>2.7408494E7</v>
      </c>
      <c r="C84" s="252" t="s">
        <v>687</v>
      </c>
      <c r="D84" s="253" t="s">
        <v>738</v>
      </c>
      <c r="E84" s="254" t="s">
        <v>337</v>
      </c>
      <c r="F84" s="254" t="s">
        <v>338</v>
      </c>
      <c r="G84" s="255"/>
      <c r="H84" s="256">
        <v>0.0</v>
      </c>
      <c r="I84" s="257"/>
      <c r="J84" s="98" t="s">
        <v>213</v>
      </c>
      <c r="K84" s="96" t="s">
        <v>54</v>
      </c>
      <c r="L84" s="97"/>
    </row>
    <row r="85" ht="15.75" customHeight="1">
      <c r="A85" s="251">
        <v>46264.0</v>
      </c>
      <c r="B85" s="252">
        <v>2.7408002E7</v>
      </c>
      <c r="C85" s="257"/>
      <c r="D85" s="253" t="s">
        <v>743</v>
      </c>
      <c r="E85" s="254" t="s">
        <v>129</v>
      </c>
      <c r="F85" s="254" t="s">
        <v>434</v>
      </c>
      <c r="G85" s="255"/>
      <c r="H85" s="256">
        <v>0.0</v>
      </c>
      <c r="I85" s="257"/>
      <c r="J85" s="98" t="s">
        <v>213</v>
      </c>
      <c r="K85" s="96" t="s">
        <v>54</v>
      </c>
      <c r="L85" s="97"/>
    </row>
    <row r="86" ht="15.75" customHeight="1">
      <c r="A86" s="251">
        <v>46264.0</v>
      </c>
      <c r="B86" s="252">
        <v>2.740778E7</v>
      </c>
      <c r="C86" s="252" t="s">
        <v>749</v>
      </c>
      <c r="D86" s="253" t="s">
        <v>750</v>
      </c>
      <c r="E86" s="254" t="s">
        <v>129</v>
      </c>
      <c r="F86" s="254" t="s">
        <v>358</v>
      </c>
      <c r="G86" s="255"/>
      <c r="H86" s="256">
        <v>0.0</v>
      </c>
      <c r="I86" s="257"/>
      <c r="J86" s="98" t="s">
        <v>213</v>
      </c>
      <c r="K86" s="96" t="s">
        <v>54</v>
      </c>
      <c r="L86" s="97"/>
    </row>
    <row r="87" ht="15.75" customHeight="1">
      <c r="A87" s="251">
        <v>46264.0</v>
      </c>
      <c r="B87" s="252">
        <v>2.7407326E7</v>
      </c>
      <c r="C87" s="252" t="s">
        <v>757</v>
      </c>
      <c r="D87" s="253" t="s">
        <v>758</v>
      </c>
      <c r="E87" s="254" t="s">
        <v>337</v>
      </c>
      <c r="F87" s="254" t="s">
        <v>338</v>
      </c>
      <c r="G87" s="255"/>
      <c r="H87" s="256">
        <v>0.0</v>
      </c>
      <c r="I87" s="257"/>
      <c r="J87" s="98" t="s">
        <v>213</v>
      </c>
      <c r="K87" s="96" t="s">
        <v>54</v>
      </c>
      <c r="L87" s="97"/>
    </row>
    <row r="88" ht="15.75" customHeight="1">
      <c r="A88" s="251">
        <v>46264.0</v>
      </c>
      <c r="B88" s="252">
        <v>2.7406908E7</v>
      </c>
      <c r="C88" s="270" t="s">
        <v>766</v>
      </c>
      <c r="D88" s="253" t="s">
        <v>789</v>
      </c>
      <c r="E88" s="254" t="s">
        <v>129</v>
      </c>
      <c r="F88" s="254" t="s">
        <v>358</v>
      </c>
      <c r="G88" s="255"/>
      <c r="H88" s="256">
        <v>0.0</v>
      </c>
      <c r="I88" s="257"/>
      <c r="J88" s="98" t="s">
        <v>213</v>
      </c>
      <c r="K88" s="96" t="s">
        <v>54</v>
      </c>
      <c r="L88" s="97"/>
    </row>
    <row r="89" ht="15.75" customHeight="1">
      <c r="A89" s="251">
        <v>46264.0</v>
      </c>
      <c r="B89" s="252">
        <v>2.740591E7</v>
      </c>
      <c r="C89" s="252" t="s">
        <v>790</v>
      </c>
      <c r="D89" s="253" t="s">
        <v>791</v>
      </c>
      <c r="E89" s="254" t="s">
        <v>337</v>
      </c>
      <c r="F89" s="254" t="s">
        <v>338</v>
      </c>
      <c r="G89" s="255"/>
      <c r="H89" s="256">
        <v>0.0</v>
      </c>
      <c r="I89" s="257"/>
      <c r="J89" s="98" t="s">
        <v>213</v>
      </c>
      <c r="K89" s="96" t="s">
        <v>54</v>
      </c>
      <c r="L89" s="97"/>
    </row>
    <row r="90" ht="15.75" customHeight="1">
      <c r="A90" s="251">
        <v>46264.0</v>
      </c>
      <c r="B90" s="252">
        <v>2.74058E7</v>
      </c>
      <c r="C90" s="252" t="s">
        <v>792</v>
      </c>
      <c r="D90" s="253" t="s">
        <v>793</v>
      </c>
      <c r="E90" s="254" t="s">
        <v>129</v>
      </c>
      <c r="F90" s="254" t="s">
        <v>434</v>
      </c>
      <c r="G90" s="255"/>
      <c r="H90" s="256">
        <v>0.0</v>
      </c>
      <c r="I90" s="257"/>
      <c r="J90" s="98" t="s">
        <v>213</v>
      </c>
      <c r="K90" s="96" t="s">
        <v>54</v>
      </c>
      <c r="L90" s="97"/>
    </row>
    <row r="91" ht="15.75" customHeight="1">
      <c r="A91" s="251">
        <v>46264.0</v>
      </c>
      <c r="B91" s="252">
        <v>2.7405288E7</v>
      </c>
      <c r="C91" s="252" t="s">
        <v>794</v>
      </c>
      <c r="D91" s="253" t="s">
        <v>795</v>
      </c>
      <c r="E91" s="254" t="s">
        <v>129</v>
      </c>
      <c r="F91" s="254" t="s">
        <v>358</v>
      </c>
      <c r="G91" s="255"/>
      <c r="H91" s="256">
        <v>0.0</v>
      </c>
      <c r="I91" s="257"/>
      <c r="J91" s="98" t="s">
        <v>213</v>
      </c>
      <c r="K91" s="96" t="s">
        <v>54</v>
      </c>
      <c r="L91" s="97"/>
    </row>
    <row r="92" ht="15.75" customHeight="1">
      <c r="A92" s="251">
        <v>46264.0</v>
      </c>
      <c r="B92" s="252">
        <v>2.740467E7</v>
      </c>
      <c r="C92" s="252" t="s">
        <v>796</v>
      </c>
      <c r="D92" s="253" t="s">
        <v>797</v>
      </c>
      <c r="E92" s="254" t="s">
        <v>337</v>
      </c>
      <c r="F92" s="254" t="s">
        <v>338</v>
      </c>
      <c r="G92" s="255"/>
      <c r="H92" s="256">
        <v>0.0</v>
      </c>
      <c r="I92" s="257"/>
      <c r="J92" s="98" t="s">
        <v>213</v>
      </c>
      <c r="K92" s="96" t="s">
        <v>54</v>
      </c>
      <c r="L92" s="97"/>
    </row>
    <row r="93" ht="15.75" customHeight="1">
      <c r="A93" s="251">
        <v>46264.0</v>
      </c>
      <c r="B93" s="252">
        <v>2.7403888E7</v>
      </c>
      <c r="C93" s="257"/>
      <c r="D93" s="253" t="s">
        <v>798</v>
      </c>
      <c r="E93" s="254" t="s">
        <v>129</v>
      </c>
      <c r="F93" s="254" t="s">
        <v>358</v>
      </c>
      <c r="G93" s="255"/>
      <c r="H93" s="256">
        <v>0.0</v>
      </c>
      <c r="I93" s="257"/>
      <c r="J93" s="98" t="s">
        <v>213</v>
      </c>
      <c r="K93" s="96" t="s">
        <v>54</v>
      </c>
      <c r="L93" s="97"/>
    </row>
    <row r="94" ht="15.75" customHeight="1">
      <c r="A94" s="251">
        <v>46264.0</v>
      </c>
      <c r="B94" s="252">
        <v>2.7403816E7</v>
      </c>
      <c r="C94" s="252" t="s">
        <v>799</v>
      </c>
      <c r="D94" s="253" t="s">
        <v>800</v>
      </c>
      <c r="E94" s="254" t="s">
        <v>337</v>
      </c>
      <c r="F94" s="254" t="s">
        <v>338</v>
      </c>
      <c r="G94" s="255"/>
      <c r="H94" s="256">
        <v>0.0</v>
      </c>
      <c r="I94" s="257"/>
      <c r="J94" s="98" t="s">
        <v>213</v>
      </c>
      <c r="K94" s="96" t="s">
        <v>54</v>
      </c>
      <c r="L94" s="97"/>
    </row>
    <row r="95" ht="15.75" customHeight="1">
      <c r="A95" s="251">
        <v>46264.0</v>
      </c>
      <c r="B95" s="252">
        <v>2.7403676E7</v>
      </c>
      <c r="C95" s="252" t="s">
        <v>801</v>
      </c>
      <c r="D95" s="257"/>
      <c r="E95" s="254" t="s">
        <v>129</v>
      </c>
      <c r="F95" s="254" t="s">
        <v>434</v>
      </c>
      <c r="G95" s="255"/>
      <c r="H95" s="256">
        <v>0.0</v>
      </c>
      <c r="I95" s="257"/>
      <c r="J95" s="98" t="s">
        <v>213</v>
      </c>
      <c r="K95" s="96" t="s">
        <v>54</v>
      </c>
      <c r="L95" s="97"/>
    </row>
    <row r="96" ht="15.75" customHeight="1">
      <c r="A96" s="251">
        <v>46264.0</v>
      </c>
      <c r="B96" s="252">
        <v>2.7403446E7</v>
      </c>
      <c r="C96" s="252" t="s">
        <v>802</v>
      </c>
      <c r="D96" s="253" t="s">
        <v>803</v>
      </c>
      <c r="E96" s="254" t="s">
        <v>129</v>
      </c>
      <c r="F96" s="254" t="s">
        <v>358</v>
      </c>
      <c r="G96" s="255"/>
      <c r="H96" s="256">
        <v>0.0</v>
      </c>
      <c r="I96" s="257"/>
      <c r="J96" s="98" t="s">
        <v>213</v>
      </c>
      <c r="K96" s="96" t="s">
        <v>54</v>
      </c>
      <c r="L96" s="97"/>
    </row>
    <row r="97" ht="15.75" customHeight="1">
      <c r="A97" s="251">
        <v>46264.0</v>
      </c>
      <c r="B97" s="252">
        <v>2.740331E7</v>
      </c>
      <c r="C97" s="252" t="s">
        <v>804</v>
      </c>
      <c r="D97" s="253" t="s">
        <v>805</v>
      </c>
      <c r="E97" s="254" t="s">
        <v>337</v>
      </c>
      <c r="F97" s="254" t="s">
        <v>338</v>
      </c>
      <c r="G97" s="255"/>
      <c r="H97" s="256">
        <v>0.0</v>
      </c>
      <c r="I97" s="257"/>
      <c r="J97" s="98" t="s">
        <v>213</v>
      </c>
      <c r="K97" s="96" t="s">
        <v>54</v>
      </c>
      <c r="L97" s="97"/>
    </row>
    <row r="98" ht="15.75" customHeight="1">
      <c r="A98" s="251">
        <v>46264.0</v>
      </c>
      <c r="B98" s="252">
        <v>2.7403074E7</v>
      </c>
      <c r="C98" s="252" t="s">
        <v>806</v>
      </c>
      <c r="D98" s="253" t="s">
        <v>807</v>
      </c>
      <c r="E98" s="254" t="s">
        <v>129</v>
      </c>
      <c r="F98" s="254" t="s">
        <v>434</v>
      </c>
      <c r="G98" s="255"/>
      <c r="H98" s="256">
        <v>0.0</v>
      </c>
      <c r="I98" s="257"/>
      <c r="J98" s="98" t="s">
        <v>213</v>
      </c>
      <c r="K98" s="96" t="s">
        <v>54</v>
      </c>
      <c r="L98" s="97"/>
    </row>
    <row r="99" ht="15.75" customHeight="1">
      <c r="A99" s="251">
        <v>46264.0</v>
      </c>
      <c r="B99" s="252">
        <v>2.740299E7</v>
      </c>
      <c r="C99" s="257"/>
      <c r="D99" s="253" t="s">
        <v>808</v>
      </c>
      <c r="E99" s="254" t="s">
        <v>337</v>
      </c>
      <c r="F99" s="254" t="s">
        <v>338</v>
      </c>
      <c r="G99" s="255"/>
      <c r="H99" s="256">
        <v>0.0</v>
      </c>
      <c r="I99" s="257"/>
      <c r="J99" s="98" t="s">
        <v>213</v>
      </c>
      <c r="K99" s="96" t="s">
        <v>54</v>
      </c>
      <c r="L99" s="97"/>
    </row>
    <row r="100" ht="15.75" customHeight="1">
      <c r="A100" s="251">
        <v>46263.0</v>
      </c>
      <c r="B100" s="252">
        <v>2.740227E7</v>
      </c>
      <c r="C100" s="252" t="s">
        <v>809</v>
      </c>
      <c r="D100" s="253" t="s">
        <v>810</v>
      </c>
      <c r="E100" s="254" t="s">
        <v>362</v>
      </c>
      <c r="F100" s="254" t="s">
        <v>338</v>
      </c>
      <c r="G100" s="255"/>
      <c r="H100" s="256">
        <v>0.0</v>
      </c>
      <c r="I100" s="257"/>
      <c r="J100" s="98" t="s">
        <v>213</v>
      </c>
      <c r="K100" s="96" t="s">
        <v>54</v>
      </c>
      <c r="L100" s="97"/>
    </row>
    <row r="101" ht="15.75" customHeight="1">
      <c r="A101" s="251">
        <v>46263.0</v>
      </c>
      <c r="B101" s="252">
        <v>2.7401686E7</v>
      </c>
      <c r="C101" s="252" t="s">
        <v>811</v>
      </c>
      <c r="D101" s="253" t="s">
        <v>812</v>
      </c>
      <c r="E101" s="254" t="s">
        <v>129</v>
      </c>
      <c r="F101" s="254" t="s">
        <v>410</v>
      </c>
      <c r="G101" s="255"/>
      <c r="H101" s="256">
        <v>0.0</v>
      </c>
      <c r="I101" s="257"/>
      <c r="J101" s="98" t="s">
        <v>213</v>
      </c>
      <c r="K101" s="96" t="s">
        <v>54</v>
      </c>
      <c r="L101" s="97"/>
    </row>
    <row r="102" ht="15.75" customHeight="1">
      <c r="A102" s="251">
        <v>46263.0</v>
      </c>
      <c r="B102" s="252">
        <v>2.7401222E7</v>
      </c>
      <c r="C102" s="257"/>
      <c r="D102" s="253" t="s">
        <v>813</v>
      </c>
      <c r="E102" s="254" t="s">
        <v>337</v>
      </c>
      <c r="F102" s="254" t="s">
        <v>338</v>
      </c>
      <c r="G102" s="255"/>
      <c r="H102" s="256">
        <v>0.0</v>
      </c>
      <c r="I102" s="257"/>
      <c r="J102" s="98" t="s">
        <v>213</v>
      </c>
      <c r="K102" s="96" t="s">
        <v>54</v>
      </c>
      <c r="L102" s="97"/>
    </row>
    <row r="103" ht="15.75" customHeight="1">
      <c r="A103" s="251">
        <v>46263.0</v>
      </c>
      <c r="B103" s="252">
        <v>2.7400904E7</v>
      </c>
      <c r="C103" s="252" t="s">
        <v>814</v>
      </c>
      <c r="D103" s="253" t="s">
        <v>815</v>
      </c>
      <c r="E103" s="254" t="s">
        <v>362</v>
      </c>
      <c r="F103" s="254" t="s">
        <v>334</v>
      </c>
      <c r="G103" s="255"/>
      <c r="H103" s="256">
        <v>0.0</v>
      </c>
      <c r="I103" s="257"/>
      <c r="J103" s="98" t="s">
        <v>213</v>
      </c>
      <c r="K103" s="96" t="s">
        <v>54</v>
      </c>
      <c r="L103" s="97"/>
    </row>
    <row r="104" ht="15.75" customHeight="1">
      <c r="A104" s="251">
        <v>46263.0</v>
      </c>
      <c r="B104" s="252">
        <v>2.7400874E7</v>
      </c>
      <c r="C104" s="252" t="s">
        <v>816</v>
      </c>
      <c r="D104" s="253" t="s">
        <v>817</v>
      </c>
      <c r="E104" s="254" t="s">
        <v>337</v>
      </c>
      <c r="F104" s="254" t="s">
        <v>338</v>
      </c>
      <c r="G104" s="255"/>
      <c r="H104" s="256">
        <v>0.0</v>
      </c>
      <c r="I104" s="257"/>
      <c r="J104" s="98" t="s">
        <v>213</v>
      </c>
      <c r="K104" s="96" t="s">
        <v>54</v>
      </c>
      <c r="L104" s="97"/>
    </row>
    <row r="105" ht="15.75" customHeight="1">
      <c r="A105" s="251">
        <v>46263.0</v>
      </c>
      <c r="B105" s="252">
        <v>2.74006E7</v>
      </c>
      <c r="C105" s="252" t="s">
        <v>818</v>
      </c>
      <c r="D105" s="253" t="s">
        <v>819</v>
      </c>
      <c r="E105" s="254" t="s">
        <v>362</v>
      </c>
      <c r="F105" s="254" t="s">
        <v>425</v>
      </c>
      <c r="G105" s="255"/>
      <c r="H105" s="256">
        <v>0.0</v>
      </c>
      <c r="I105" s="257"/>
      <c r="J105" s="98" t="s">
        <v>213</v>
      </c>
      <c r="K105" s="96" t="s">
        <v>54</v>
      </c>
      <c r="L105" s="97"/>
    </row>
    <row r="106" ht="15.75" customHeight="1">
      <c r="A106" s="251">
        <v>46263.0</v>
      </c>
      <c r="B106" s="252">
        <v>2.740006E7</v>
      </c>
      <c r="C106" s="252" t="s">
        <v>232</v>
      </c>
      <c r="D106" s="253" t="s">
        <v>820</v>
      </c>
      <c r="E106" s="254" t="s">
        <v>129</v>
      </c>
      <c r="F106" s="254" t="s">
        <v>434</v>
      </c>
      <c r="G106" s="255"/>
      <c r="H106" s="256">
        <v>0.0</v>
      </c>
      <c r="I106" s="257"/>
      <c r="J106" s="98" t="s">
        <v>213</v>
      </c>
      <c r="K106" s="96" t="s">
        <v>54</v>
      </c>
      <c r="L106" s="97"/>
    </row>
    <row r="107" ht="15.75" customHeight="1">
      <c r="A107" s="251">
        <v>46263.0</v>
      </c>
      <c r="B107" s="252">
        <v>2.739976E7</v>
      </c>
      <c r="C107" s="252" t="s">
        <v>821</v>
      </c>
      <c r="D107" s="253" t="s">
        <v>822</v>
      </c>
      <c r="E107" s="254" t="s">
        <v>337</v>
      </c>
      <c r="F107" s="254" t="s">
        <v>338</v>
      </c>
      <c r="G107" s="255"/>
      <c r="H107" s="256">
        <v>0.0</v>
      </c>
      <c r="I107" s="257"/>
      <c r="J107" s="98" t="s">
        <v>213</v>
      </c>
      <c r="K107" s="96" t="s">
        <v>54</v>
      </c>
      <c r="L107" s="97"/>
    </row>
    <row r="108" ht="15.75" customHeight="1">
      <c r="A108" s="251">
        <v>46263.0</v>
      </c>
      <c r="B108" s="252">
        <v>2.7399702E7</v>
      </c>
      <c r="C108" s="252" t="s">
        <v>823</v>
      </c>
      <c r="D108" s="253" t="s">
        <v>824</v>
      </c>
      <c r="E108" s="254" t="s">
        <v>362</v>
      </c>
      <c r="F108" s="254" t="s">
        <v>334</v>
      </c>
      <c r="G108" s="255"/>
      <c r="H108" s="256">
        <v>0.0</v>
      </c>
      <c r="I108" s="257"/>
      <c r="J108" s="98" t="s">
        <v>213</v>
      </c>
      <c r="K108" s="96" t="s">
        <v>54</v>
      </c>
      <c r="L108" s="97"/>
    </row>
    <row r="109" ht="15.75" customHeight="1">
      <c r="A109" s="251">
        <v>46263.0</v>
      </c>
      <c r="B109" s="252">
        <v>2.7399658E7</v>
      </c>
      <c r="C109" s="252" t="s">
        <v>825</v>
      </c>
      <c r="D109" s="253" t="s">
        <v>826</v>
      </c>
      <c r="E109" s="254" t="s">
        <v>337</v>
      </c>
      <c r="F109" s="254" t="s">
        <v>338</v>
      </c>
      <c r="G109" s="255"/>
      <c r="H109" s="256">
        <v>0.0</v>
      </c>
      <c r="I109" s="257"/>
      <c r="J109" s="98" t="s">
        <v>213</v>
      </c>
      <c r="K109" s="96" t="s">
        <v>54</v>
      </c>
      <c r="L109" s="97"/>
    </row>
    <row r="110" ht="15.75" customHeight="1">
      <c r="A110" s="251">
        <v>46263.0</v>
      </c>
      <c r="B110" s="252">
        <v>2.7399E7</v>
      </c>
      <c r="C110" s="252" t="s">
        <v>827</v>
      </c>
      <c r="D110" s="253" t="s">
        <v>828</v>
      </c>
      <c r="E110" s="254" t="s">
        <v>362</v>
      </c>
      <c r="F110" s="254" t="s">
        <v>334</v>
      </c>
      <c r="G110" s="255"/>
      <c r="H110" s="256">
        <v>0.0</v>
      </c>
      <c r="I110" s="257"/>
      <c r="J110" s="98" t="s">
        <v>213</v>
      </c>
      <c r="K110" s="96" t="s">
        <v>54</v>
      </c>
      <c r="L110" s="97"/>
    </row>
    <row r="111" ht="15.75" customHeight="1">
      <c r="A111" s="251">
        <v>46263.0</v>
      </c>
      <c r="B111" s="252">
        <v>2.7398662E7</v>
      </c>
      <c r="C111" s="252" t="s">
        <v>829</v>
      </c>
      <c r="D111" s="253" t="s">
        <v>830</v>
      </c>
      <c r="E111" s="254" t="s">
        <v>337</v>
      </c>
      <c r="F111" s="254" t="s">
        <v>425</v>
      </c>
      <c r="G111" s="255"/>
      <c r="H111" s="256">
        <v>0.0</v>
      </c>
      <c r="I111" s="257"/>
      <c r="J111" s="98" t="s">
        <v>213</v>
      </c>
      <c r="K111" s="96" t="s">
        <v>54</v>
      </c>
      <c r="L111" s="97"/>
    </row>
    <row r="112" ht="15.75" customHeight="1">
      <c r="A112" s="251">
        <v>46263.0</v>
      </c>
      <c r="B112" s="252">
        <v>2.7397674E7</v>
      </c>
      <c r="C112" s="252" t="s">
        <v>831</v>
      </c>
      <c r="D112" s="253" t="s">
        <v>832</v>
      </c>
      <c r="E112" s="254" t="s">
        <v>362</v>
      </c>
      <c r="F112" s="254" t="s">
        <v>334</v>
      </c>
      <c r="G112" s="255"/>
      <c r="H112" s="256">
        <v>0.0</v>
      </c>
      <c r="I112" s="257"/>
      <c r="J112" s="98" t="s">
        <v>213</v>
      </c>
      <c r="K112" s="96" t="s">
        <v>54</v>
      </c>
      <c r="L112" s="97"/>
    </row>
    <row r="113" ht="15.75" customHeight="1">
      <c r="A113" s="251">
        <v>46263.0</v>
      </c>
      <c r="B113" s="252">
        <v>2.739756E7</v>
      </c>
      <c r="C113" s="252" t="s">
        <v>833</v>
      </c>
      <c r="D113" s="253" t="s">
        <v>834</v>
      </c>
      <c r="E113" s="254" t="s">
        <v>337</v>
      </c>
      <c r="F113" s="254" t="s">
        <v>338</v>
      </c>
      <c r="G113" s="255"/>
      <c r="H113" s="256">
        <v>0.0</v>
      </c>
      <c r="I113" s="257"/>
      <c r="J113" s="98" t="s">
        <v>213</v>
      </c>
      <c r="K113" s="96" t="s">
        <v>54</v>
      </c>
      <c r="L113" s="97"/>
    </row>
    <row r="114" ht="15.75" customHeight="1">
      <c r="A114" s="251">
        <v>46263.0</v>
      </c>
      <c r="B114" s="252">
        <v>2.7397182E7</v>
      </c>
      <c r="C114" s="252" t="s">
        <v>835</v>
      </c>
      <c r="D114" s="253" t="s">
        <v>836</v>
      </c>
      <c r="E114" s="254" t="s">
        <v>362</v>
      </c>
      <c r="F114" s="254" t="s">
        <v>358</v>
      </c>
      <c r="G114" s="255"/>
      <c r="H114" s="256">
        <v>0.0</v>
      </c>
      <c r="I114" s="257"/>
      <c r="J114" s="98" t="s">
        <v>213</v>
      </c>
      <c r="K114" s="96" t="s">
        <v>54</v>
      </c>
      <c r="L114" s="97"/>
    </row>
    <row r="115" ht="15.75" customHeight="1">
      <c r="A115" s="251">
        <v>46263.0</v>
      </c>
      <c r="B115" s="252">
        <v>2.7396714E7</v>
      </c>
      <c r="C115" s="252" t="s">
        <v>837</v>
      </c>
      <c r="D115" s="253" t="s">
        <v>838</v>
      </c>
      <c r="E115" s="254" t="s">
        <v>129</v>
      </c>
      <c r="F115" s="254" t="s">
        <v>358</v>
      </c>
      <c r="G115" s="255"/>
      <c r="H115" s="256">
        <v>0.0</v>
      </c>
      <c r="I115" s="257"/>
      <c r="J115" s="98" t="s">
        <v>213</v>
      </c>
      <c r="K115" s="96" t="s">
        <v>54</v>
      </c>
      <c r="L115" s="97"/>
    </row>
    <row r="116" ht="15.75" customHeight="1">
      <c r="A116" s="251">
        <v>46263.0</v>
      </c>
      <c r="B116" s="252">
        <v>2.7396056E7</v>
      </c>
      <c r="C116" s="252" t="s">
        <v>839</v>
      </c>
      <c r="D116" s="253" t="s">
        <v>840</v>
      </c>
      <c r="E116" s="254" t="s">
        <v>337</v>
      </c>
      <c r="F116" s="254" t="s">
        <v>338</v>
      </c>
      <c r="G116" s="255"/>
      <c r="H116" s="256">
        <v>0.0</v>
      </c>
      <c r="I116" s="257"/>
      <c r="J116" s="98" t="s">
        <v>213</v>
      </c>
      <c r="K116" s="96" t="s">
        <v>54</v>
      </c>
      <c r="L116" s="97"/>
    </row>
    <row r="117" ht="15.75" customHeight="1">
      <c r="A117" s="251">
        <v>46263.0</v>
      </c>
      <c r="B117" s="252">
        <v>2.7395992E7</v>
      </c>
      <c r="C117" s="252" t="s">
        <v>841</v>
      </c>
      <c r="D117" s="253" t="s">
        <v>842</v>
      </c>
      <c r="E117" s="254" t="s">
        <v>129</v>
      </c>
      <c r="F117" s="254" t="s">
        <v>358</v>
      </c>
      <c r="G117" s="255"/>
      <c r="H117" s="256">
        <v>0.0</v>
      </c>
      <c r="I117" s="257"/>
      <c r="J117" s="98" t="s">
        <v>213</v>
      </c>
      <c r="K117" s="96" t="s">
        <v>54</v>
      </c>
      <c r="L117" s="97"/>
    </row>
    <row r="118" ht="15.75" customHeight="1">
      <c r="A118" s="251">
        <v>46262.0</v>
      </c>
      <c r="B118" s="252">
        <v>2.7395488E7</v>
      </c>
      <c r="C118" s="252" t="s">
        <v>843</v>
      </c>
      <c r="D118" s="253" t="s">
        <v>844</v>
      </c>
      <c r="E118" s="254" t="s">
        <v>337</v>
      </c>
      <c r="F118" s="254" t="s">
        <v>338</v>
      </c>
      <c r="G118" s="255"/>
      <c r="H118" s="256">
        <v>0.0</v>
      </c>
      <c r="I118" s="257"/>
      <c r="J118" s="98" t="s">
        <v>213</v>
      </c>
      <c r="K118" s="96" t="s">
        <v>54</v>
      </c>
      <c r="L118" s="97"/>
    </row>
    <row r="119" ht="15.75" customHeight="1">
      <c r="A119" s="251">
        <v>46262.0</v>
      </c>
      <c r="B119" s="252">
        <v>2.739527E7</v>
      </c>
      <c r="C119" s="252" t="s">
        <v>845</v>
      </c>
      <c r="D119" s="253" t="s">
        <v>846</v>
      </c>
      <c r="E119" s="254" t="s">
        <v>175</v>
      </c>
      <c r="F119" s="254" t="s">
        <v>425</v>
      </c>
      <c r="G119" s="255"/>
      <c r="H119" s="256">
        <v>0.0</v>
      </c>
      <c r="I119" s="257"/>
      <c r="J119" s="98" t="s">
        <v>213</v>
      </c>
      <c r="K119" s="96" t="s">
        <v>54</v>
      </c>
      <c r="L119" s="97"/>
    </row>
    <row r="120" ht="15.75" customHeight="1">
      <c r="A120" s="251">
        <v>46262.0</v>
      </c>
      <c r="B120" s="252">
        <v>2.7394936E7</v>
      </c>
      <c r="C120" s="252" t="s">
        <v>847</v>
      </c>
      <c r="D120" s="253" t="s">
        <v>848</v>
      </c>
      <c r="E120" s="254" t="s">
        <v>337</v>
      </c>
      <c r="F120" s="254" t="s">
        <v>425</v>
      </c>
      <c r="G120" s="255"/>
      <c r="H120" s="256">
        <v>0.0</v>
      </c>
      <c r="I120" s="257"/>
      <c r="J120" s="98" t="s">
        <v>213</v>
      </c>
      <c r="K120" s="96" t="s">
        <v>54</v>
      </c>
      <c r="L120" s="97"/>
    </row>
    <row r="121" ht="15.75" customHeight="1">
      <c r="A121" s="251">
        <v>46262.0</v>
      </c>
      <c r="B121" s="252">
        <v>2.739454E7</v>
      </c>
      <c r="C121" s="252" t="s">
        <v>176</v>
      </c>
      <c r="D121" s="253" t="s">
        <v>849</v>
      </c>
      <c r="E121" s="254" t="s">
        <v>362</v>
      </c>
      <c r="F121" s="254" t="s">
        <v>334</v>
      </c>
      <c r="G121" s="255"/>
      <c r="H121" s="256">
        <v>0.0</v>
      </c>
      <c r="I121" s="257"/>
      <c r="J121" s="98" t="s">
        <v>213</v>
      </c>
      <c r="K121" s="96" t="s">
        <v>54</v>
      </c>
      <c r="L121" s="97"/>
    </row>
    <row r="122" ht="15.75" customHeight="1">
      <c r="A122" s="251">
        <v>46262.0</v>
      </c>
      <c r="B122" s="252">
        <v>2.7394488E7</v>
      </c>
      <c r="C122" s="252" t="s">
        <v>850</v>
      </c>
      <c r="D122" s="253" t="s">
        <v>851</v>
      </c>
      <c r="E122" s="254" t="s">
        <v>337</v>
      </c>
      <c r="F122" s="254" t="s">
        <v>338</v>
      </c>
      <c r="G122" s="255"/>
      <c r="H122" s="256">
        <v>0.0</v>
      </c>
      <c r="I122" s="257"/>
      <c r="J122" s="98" t="s">
        <v>213</v>
      </c>
      <c r="K122" s="96" t="s">
        <v>54</v>
      </c>
      <c r="L122" s="97"/>
    </row>
    <row r="123" ht="15.75" customHeight="1">
      <c r="A123" s="251">
        <v>46262.0</v>
      </c>
      <c r="B123" s="252">
        <v>2.7393788E7</v>
      </c>
      <c r="C123" s="252" t="s">
        <v>852</v>
      </c>
      <c r="D123" s="253" t="s">
        <v>853</v>
      </c>
      <c r="E123" s="254" t="s">
        <v>175</v>
      </c>
      <c r="F123" s="254" t="s">
        <v>425</v>
      </c>
      <c r="G123" s="255"/>
      <c r="H123" s="256">
        <v>0.0</v>
      </c>
      <c r="I123" s="257"/>
      <c r="J123" s="98" t="s">
        <v>213</v>
      </c>
      <c r="K123" s="96" t="s">
        <v>54</v>
      </c>
      <c r="L123" s="97"/>
    </row>
    <row r="124" ht="15.75" customHeight="1">
      <c r="A124" s="251">
        <v>46262.0</v>
      </c>
      <c r="B124" s="252">
        <v>2.7393598E7</v>
      </c>
      <c r="C124" s="252" t="s">
        <v>854</v>
      </c>
      <c r="D124" s="253" t="s">
        <v>855</v>
      </c>
      <c r="E124" s="254" t="s">
        <v>362</v>
      </c>
      <c r="F124" s="254" t="s">
        <v>334</v>
      </c>
      <c r="G124" s="255"/>
      <c r="H124" s="256">
        <v>0.0</v>
      </c>
      <c r="I124" s="257"/>
      <c r="J124" s="98" t="s">
        <v>213</v>
      </c>
      <c r="K124" s="96" t="s">
        <v>54</v>
      </c>
      <c r="L124" s="97"/>
    </row>
    <row r="125" ht="15.75" customHeight="1">
      <c r="A125" s="251">
        <v>46262.0</v>
      </c>
      <c r="B125" s="252">
        <v>2.739249E7</v>
      </c>
      <c r="C125" s="252" t="s">
        <v>232</v>
      </c>
      <c r="D125" s="253" t="s">
        <v>856</v>
      </c>
      <c r="E125" s="254" t="s">
        <v>337</v>
      </c>
      <c r="F125" s="254" t="s">
        <v>338</v>
      </c>
      <c r="G125" s="255"/>
      <c r="H125" s="256">
        <v>0.0</v>
      </c>
      <c r="I125" s="257"/>
      <c r="J125" s="98" t="s">
        <v>213</v>
      </c>
      <c r="K125" s="96" t="s">
        <v>54</v>
      </c>
      <c r="L125" s="97"/>
    </row>
    <row r="126" ht="15.75" customHeight="1">
      <c r="A126" s="251">
        <v>46262.0</v>
      </c>
      <c r="B126" s="252">
        <v>2.7392412E7</v>
      </c>
      <c r="C126" s="252" t="s">
        <v>857</v>
      </c>
      <c r="D126" s="253" t="s">
        <v>858</v>
      </c>
      <c r="E126" s="254" t="s">
        <v>362</v>
      </c>
      <c r="F126" s="254" t="s">
        <v>334</v>
      </c>
      <c r="G126" s="255"/>
      <c r="H126" s="256">
        <v>0.0</v>
      </c>
      <c r="I126" s="257"/>
      <c r="J126" s="98" t="s">
        <v>213</v>
      </c>
      <c r="K126" s="96" t="s">
        <v>54</v>
      </c>
      <c r="L126" s="97"/>
    </row>
    <row r="127" ht="15.75" customHeight="1">
      <c r="A127" s="251">
        <v>46262.0</v>
      </c>
      <c r="B127" s="252">
        <v>2.7391916E7</v>
      </c>
      <c r="C127" s="252" t="s">
        <v>859</v>
      </c>
      <c r="D127" s="253" t="s">
        <v>860</v>
      </c>
      <c r="E127" s="254" t="s">
        <v>337</v>
      </c>
      <c r="F127" s="254" t="s">
        <v>338</v>
      </c>
      <c r="G127" s="255"/>
      <c r="H127" s="256">
        <v>0.0</v>
      </c>
      <c r="I127" s="257"/>
      <c r="J127" s="98" t="s">
        <v>213</v>
      </c>
      <c r="K127" s="96" t="s">
        <v>54</v>
      </c>
      <c r="L127" s="97"/>
    </row>
    <row r="128" ht="15.75" customHeight="1">
      <c r="A128" s="251">
        <v>46262.0</v>
      </c>
      <c r="B128" s="252">
        <v>2.7391782E7</v>
      </c>
      <c r="C128" s="252" t="s">
        <v>861</v>
      </c>
      <c r="D128" s="253" t="s">
        <v>862</v>
      </c>
      <c r="E128" s="254" t="s">
        <v>362</v>
      </c>
      <c r="F128" s="254" t="s">
        <v>590</v>
      </c>
      <c r="G128" s="255"/>
      <c r="H128" s="256">
        <v>0.0</v>
      </c>
      <c r="I128" s="257"/>
      <c r="J128" s="98" t="s">
        <v>213</v>
      </c>
      <c r="K128" s="96" t="s">
        <v>54</v>
      </c>
      <c r="L128" s="97"/>
    </row>
    <row r="129" ht="15.75" customHeight="1">
      <c r="A129" s="251">
        <v>46262.0</v>
      </c>
      <c r="B129" s="252">
        <v>2.7390052E7</v>
      </c>
      <c r="C129" s="252" t="s">
        <v>863</v>
      </c>
      <c r="D129" s="253" t="s">
        <v>864</v>
      </c>
      <c r="E129" s="254" t="s">
        <v>362</v>
      </c>
      <c r="F129" s="254" t="s">
        <v>334</v>
      </c>
      <c r="G129" s="255"/>
      <c r="H129" s="256">
        <v>0.0</v>
      </c>
      <c r="I129" s="257"/>
      <c r="J129" s="98" t="s">
        <v>213</v>
      </c>
      <c r="K129" s="96" t="s">
        <v>54</v>
      </c>
      <c r="L129" s="97"/>
    </row>
    <row r="130" ht="15.75" customHeight="1">
      <c r="A130" s="251">
        <v>46261.0</v>
      </c>
      <c r="B130" s="252">
        <v>2.7387944E7</v>
      </c>
      <c r="C130" s="252" t="s">
        <v>865</v>
      </c>
      <c r="D130" s="253" t="s">
        <v>866</v>
      </c>
      <c r="E130" s="254" t="s">
        <v>337</v>
      </c>
      <c r="F130" s="254" t="s">
        <v>338</v>
      </c>
      <c r="G130" s="255"/>
      <c r="H130" s="256">
        <v>0.0</v>
      </c>
      <c r="I130" s="257"/>
      <c r="J130" s="98" t="s">
        <v>213</v>
      </c>
      <c r="K130" s="96" t="s">
        <v>54</v>
      </c>
      <c r="L130" s="97"/>
    </row>
    <row r="131" ht="15.75" customHeight="1">
      <c r="A131" s="251">
        <v>46261.0</v>
      </c>
      <c r="B131" s="252">
        <v>2.7387604E7</v>
      </c>
      <c r="C131" s="252" t="s">
        <v>867</v>
      </c>
      <c r="D131" s="253" t="s">
        <v>868</v>
      </c>
      <c r="E131" s="254" t="s">
        <v>362</v>
      </c>
      <c r="F131" s="254" t="s">
        <v>334</v>
      </c>
      <c r="G131" s="255"/>
      <c r="H131" s="256">
        <v>0.0</v>
      </c>
      <c r="I131" s="257"/>
      <c r="J131" s="98" t="s">
        <v>213</v>
      </c>
      <c r="K131" s="96" t="s">
        <v>54</v>
      </c>
      <c r="L131" s="97"/>
    </row>
    <row r="132" ht="15.75" customHeight="1">
      <c r="A132" s="251">
        <v>46261.0</v>
      </c>
      <c r="B132" s="252">
        <v>2.7387602E7</v>
      </c>
      <c r="C132" s="252" t="s">
        <v>869</v>
      </c>
      <c r="D132" s="253" t="s">
        <v>870</v>
      </c>
      <c r="E132" s="254" t="s">
        <v>337</v>
      </c>
      <c r="F132" s="254" t="s">
        <v>338</v>
      </c>
      <c r="G132" s="255"/>
      <c r="H132" s="256">
        <v>0.0</v>
      </c>
      <c r="I132" s="257"/>
      <c r="J132" s="98" t="s">
        <v>213</v>
      </c>
      <c r="K132" s="96" t="s">
        <v>54</v>
      </c>
      <c r="L132" s="97"/>
    </row>
    <row r="133" ht="15.75" customHeight="1">
      <c r="A133" s="251">
        <v>46261.0</v>
      </c>
      <c r="B133" s="252">
        <v>2.7387408E7</v>
      </c>
      <c r="C133" s="252" t="s">
        <v>871</v>
      </c>
      <c r="D133" s="253" t="s">
        <v>872</v>
      </c>
      <c r="E133" s="254" t="s">
        <v>175</v>
      </c>
      <c r="F133" s="254" t="s">
        <v>590</v>
      </c>
      <c r="G133" s="255"/>
      <c r="H133" s="256">
        <v>0.0</v>
      </c>
      <c r="I133" s="257"/>
      <c r="J133" s="98" t="s">
        <v>213</v>
      </c>
      <c r="K133" s="96" t="s">
        <v>54</v>
      </c>
      <c r="L133" s="97"/>
    </row>
    <row r="134" ht="15.75" customHeight="1">
      <c r="A134" s="251">
        <v>46261.0</v>
      </c>
      <c r="B134" s="252">
        <v>2.7386252E7</v>
      </c>
      <c r="C134" s="252" t="s">
        <v>873</v>
      </c>
      <c r="D134" s="253" t="s">
        <v>874</v>
      </c>
      <c r="E134" s="254" t="s">
        <v>129</v>
      </c>
      <c r="F134" s="254" t="s">
        <v>434</v>
      </c>
      <c r="G134" s="255"/>
      <c r="H134" s="256">
        <v>0.0</v>
      </c>
      <c r="I134" s="257"/>
      <c r="J134" s="98" t="s">
        <v>213</v>
      </c>
      <c r="K134" s="96" t="s">
        <v>54</v>
      </c>
      <c r="L134" s="275"/>
    </row>
    <row r="135" ht="15.75" customHeight="1">
      <c r="A135" s="251">
        <v>46261.0</v>
      </c>
      <c r="B135" s="252">
        <v>2.7385992E7</v>
      </c>
      <c r="C135" s="252" t="s">
        <v>875</v>
      </c>
      <c r="D135" s="253" t="s">
        <v>876</v>
      </c>
      <c r="E135" s="254" t="s">
        <v>337</v>
      </c>
      <c r="F135" s="254" t="s">
        <v>338</v>
      </c>
      <c r="G135" s="255"/>
      <c r="H135" s="256">
        <v>0.0</v>
      </c>
      <c r="I135" s="257"/>
      <c r="J135" s="98" t="s">
        <v>213</v>
      </c>
      <c r="K135" s="96" t="s">
        <v>54</v>
      </c>
      <c r="L135" s="280"/>
    </row>
    <row r="136" ht="15.75" customHeight="1">
      <c r="A136" s="251">
        <v>46261.0</v>
      </c>
      <c r="B136" s="252">
        <v>2.7384772E7</v>
      </c>
      <c r="C136" s="252" t="s">
        <v>877</v>
      </c>
      <c r="D136" s="253" t="s">
        <v>878</v>
      </c>
      <c r="E136" s="254" t="s">
        <v>337</v>
      </c>
      <c r="F136" s="254" t="s">
        <v>338</v>
      </c>
      <c r="G136" s="255"/>
      <c r="H136" s="256">
        <v>0.0</v>
      </c>
      <c r="I136" s="257"/>
      <c r="J136" s="98" t="s">
        <v>213</v>
      </c>
      <c r="K136" s="96" t="s">
        <v>54</v>
      </c>
      <c r="L136" s="280"/>
    </row>
    <row r="137" ht="15.75" customHeight="1">
      <c r="A137" s="251">
        <v>46261.0</v>
      </c>
      <c r="B137" s="252">
        <v>2.7383664E7</v>
      </c>
      <c r="C137" s="252" t="s">
        <v>879</v>
      </c>
      <c r="D137" s="253" t="s">
        <v>880</v>
      </c>
      <c r="E137" s="254" t="s">
        <v>337</v>
      </c>
      <c r="F137" s="254" t="s">
        <v>338</v>
      </c>
      <c r="G137" s="255"/>
      <c r="H137" s="256">
        <v>0.0</v>
      </c>
      <c r="I137" s="257"/>
      <c r="J137" s="98" t="s">
        <v>213</v>
      </c>
      <c r="K137" s="96" t="s">
        <v>54</v>
      </c>
      <c r="L137" s="280"/>
    </row>
    <row r="138" ht="15.75" customHeight="1">
      <c r="A138" s="251">
        <v>46261.0</v>
      </c>
      <c r="B138" s="252">
        <v>2.7382566E7</v>
      </c>
      <c r="C138" s="252" t="s">
        <v>881</v>
      </c>
      <c r="D138" s="253" t="s">
        <v>882</v>
      </c>
      <c r="E138" s="254" t="s">
        <v>337</v>
      </c>
      <c r="F138" s="254" t="s">
        <v>338</v>
      </c>
      <c r="G138" s="255"/>
      <c r="H138" s="256">
        <v>0.0</v>
      </c>
      <c r="I138" s="257"/>
      <c r="J138" s="98" t="s">
        <v>213</v>
      </c>
      <c r="K138" s="96" t="s">
        <v>54</v>
      </c>
      <c r="L138" s="280"/>
    </row>
    <row r="139" ht="15.75" customHeight="1">
      <c r="A139" s="251">
        <v>46261.0</v>
      </c>
      <c r="B139" s="252">
        <v>2.7382464E7</v>
      </c>
      <c r="C139" s="252" t="s">
        <v>883</v>
      </c>
      <c r="D139" s="253" t="s">
        <v>884</v>
      </c>
      <c r="E139" s="254" t="s">
        <v>362</v>
      </c>
      <c r="F139" s="254" t="s">
        <v>885</v>
      </c>
      <c r="G139" s="255"/>
      <c r="H139" s="256">
        <v>0.0</v>
      </c>
      <c r="I139" s="257"/>
      <c r="J139" s="98" t="s">
        <v>213</v>
      </c>
      <c r="K139" s="96" t="s">
        <v>54</v>
      </c>
      <c r="L139" s="280"/>
    </row>
    <row r="140" ht="15.75" customHeight="1">
      <c r="A140" s="251">
        <v>46260.0</v>
      </c>
      <c r="B140" s="252">
        <v>2.7380214E7</v>
      </c>
      <c r="C140" s="252" t="s">
        <v>886</v>
      </c>
      <c r="D140" s="253" t="s">
        <v>887</v>
      </c>
      <c r="E140" s="254" t="s">
        <v>362</v>
      </c>
      <c r="F140" s="254" t="s">
        <v>434</v>
      </c>
      <c r="G140" s="255"/>
      <c r="H140" s="256">
        <v>0.0</v>
      </c>
      <c r="I140" s="257"/>
      <c r="J140" s="98" t="s">
        <v>213</v>
      </c>
      <c r="K140" s="96" t="s">
        <v>54</v>
      </c>
      <c r="L140" s="280"/>
    </row>
    <row r="141" ht="15.75" customHeight="1">
      <c r="A141" s="251">
        <v>46260.0</v>
      </c>
      <c r="B141" s="252">
        <v>2.73802E7</v>
      </c>
      <c r="C141" s="252" t="s">
        <v>888</v>
      </c>
      <c r="D141" s="253" t="s">
        <v>889</v>
      </c>
      <c r="E141" s="254" t="s">
        <v>337</v>
      </c>
      <c r="F141" s="254" t="s">
        <v>338</v>
      </c>
      <c r="G141" s="255"/>
      <c r="H141" s="256">
        <v>0.0</v>
      </c>
      <c r="I141" s="257"/>
      <c r="J141" s="98" t="s">
        <v>213</v>
      </c>
      <c r="K141" s="96" t="s">
        <v>54</v>
      </c>
      <c r="L141" s="280"/>
    </row>
    <row r="142" ht="15.75" customHeight="1">
      <c r="A142" s="251">
        <v>46260.0</v>
      </c>
      <c r="B142" s="252">
        <v>2.7379954E7</v>
      </c>
      <c r="C142" s="252" t="s">
        <v>890</v>
      </c>
      <c r="D142" s="253" t="s">
        <v>891</v>
      </c>
      <c r="E142" s="254" t="s">
        <v>337</v>
      </c>
      <c r="F142" s="254" t="s">
        <v>338</v>
      </c>
      <c r="G142" s="255"/>
      <c r="H142" s="256">
        <v>0.0</v>
      </c>
      <c r="I142" s="257"/>
      <c r="J142" s="98" t="s">
        <v>213</v>
      </c>
      <c r="K142" s="96" t="s">
        <v>54</v>
      </c>
      <c r="L142" s="280"/>
    </row>
    <row r="143" ht="15.75" customHeight="1">
      <c r="A143" s="251">
        <v>46260.0</v>
      </c>
      <c r="B143" s="252">
        <v>2.737938E7</v>
      </c>
      <c r="C143" s="257"/>
      <c r="D143" s="253" t="s">
        <v>892</v>
      </c>
      <c r="E143" s="254" t="s">
        <v>175</v>
      </c>
      <c r="F143" s="254" t="s">
        <v>410</v>
      </c>
      <c r="G143" s="255"/>
      <c r="H143" s="256">
        <v>0.0</v>
      </c>
      <c r="I143" s="257"/>
      <c r="J143" s="98" t="s">
        <v>213</v>
      </c>
      <c r="K143" s="96" t="s">
        <v>54</v>
      </c>
      <c r="L143" s="280"/>
    </row>
    <row r="144" ht="15.75" customHeight="1">
      <c r="A144" s="251">
        <v>46260.0</v>
      </c>
      <c r="B144" s="252">
        <v>2.7379086E7</v>
      </c>
      <c r="C144" s="252" t="s">
        <v>893</v>
      </c>
      <c r="D144" s="253" t="s">
        <v>894</v>
      </c>
      <c r="E144" s="254" t="s">
        <v>129</v>
      </c>
      <c r="F144" s="254" t="s">
        <v>358</v>
      </c>
      <c r="G144" s="255"/>
      <c r="H144" s="256">
        <v>0.0</v>
      </c>
      <c r="I144" s="257"/>
      <c r="J144" s="98" t="s">
        <v>213</v>
      </c>
      <c r="K144" s="96" t="s">
        <v>54</v>
      </c>
      <c r="L144" s="280"/>
    </row>
    <row r="145" ht="15.75" customHeight="1">
      <c r="A145" s="251">
        <v>46260.0</v>
      </c>
      <c r="B145" s="252">
        <v>2.73788E7</v>
      </c>
      <c r="C145" s="252" t="s">
        <v>895</v>
      </c>
      <c r="D145" s="253" t="s">
        <v>896</v>
      </c>
      <c r="E145" s="254" t="s">
        <v>337</v>
      </c>
      <c r="F145" s="254" t="s">
        <v>338</v>
      </c>
      <c r="G145" s="255"/>
      <c r="H145" s="256">
        <v>0.0</v>
      </c>
      <c r="I145" s="257"/>
      <c r="J145" s="98" t="s">
        <v>213</v>
      </c>
      <c r="K145" s="96" t="s">
        <v>54</v>
      </c>
      <c r="L145" s="280"/>
    </row>
    <row r="146" ht="15.75" customHeight="1">
      <c r="A146" s="251">
        <v>46260.0</v>
      </c>
      <c r="B146" s="252">
        <v>2.7378672E7</v>
      </c>
      <c r="C146" s="252" t="s">
        <v>897</v>
      </c>
      <c r="D146" s="253" t="s">
        <v>898</v>
      </c>
      <c r="E146" s="254" t="s">
        <v>129</v>
      </c>
      <c r="F146" s="254" t="s">
        <v>358</v>
      </c>
      <c r="G146" s="255"/>
      <c r="H146" s="256">
        <v>0.0</v>
      </c>
      <c r="I146" s="257"/>
      <c r="J146" s="98" t="s">
        <v>213</v>
      </c>
      <c r="K146" s="96" t="s">
        <v>54</v>
      </c>
      <c r="L146" s="280"/>
    </row>
    <row r="147" ht="15.75" customHeight="1">
      <c r="A147" s="251">
        <v>46260.0</v>
      </c>
      <c r="B147" s="252">
        <v>2.7376442E7</v>
      </c>
      <c r="C147" s="252" t="s">
        <v>899</v>
      </c>
      <c r="D147" s="253" t="s">
        <v>900</v>
      </c>
      <c r="E147" s="254" t="s">
        <v>337</v>
      </c>
      <c r="F147" s="254" t="s">
        <v>338</v>
      </c>
      <c r="G147" s="255"/>
      <c r="H147" s="256">
        <v>0.0</v>
      </c>
      <c r="I147" s="257"/>
      <c r="J147" s="98" t="s">
        <v>213</v>
      </c>
      <c r="K147" s="96" t="s">
        <v>54</v>
      </c>
      <c r="L147" s="280"/>
    </row>
    <row r="148" ht="15.75" customHeight="1">
      <c r="A148" s="251">
        <v>46260.0</v>
      </c>
      <c r="B148" s="252">
        <v>2.7376352E7</v>
      </c>
      <c r="C148" s="252" t="s">
        <v>901</v>
      </c>
      <c r="D148" s="253" t="s">
        <v>902</v>
      </c>
      <c r="E148" s="254" t="s">
        <v>175</v>
      </c>
      <c r="F148" s="254" t="s">
        <v>338</v>
      </c>
      <c r="G148" s="255"/>
      <c r="H148" s="256">
        <v>0.0</v>
      </c>
      <c r="I148" s="257"/>
      <c r="J148" s="98" t="s">
        <v>213</v>
      </c>
      <c r="K148" s="96" t="s">
        <v>54</v>
      </c>
      <c r="L148" s="280"/>
    </row>
    <row r="149" ht="15.75" customHeight="1">
      <c r="A149" s="251">
        <v>46260.0</v>
      </c>
      <c r="B149" s="252">
        <v>2.7376324E7</v>
      </c>
      <c r="C149" s="252" t="s">
        <v>903</v>
      </c>
      <c r="D149" s="253" t="s">
        <v>904</v>
      </c>
      <c r="E149" s="254" t="s">
        <v>362</v>
      </c>
      <c r="F149" s="254" t="s">
        <v>334</v>
      </c>
      <c r="G149" s="255"/>
      <c r="H149" s="256">
        <v>0.0</v>
      </c>
      <c r="I149" s="257"/>
      <c r="J149" s="98" t="s">
        <v>213</v>
      </c>
      <c r="K149" s="96" t="s">
        <v>54</v>
      </c>
      <c r="L149" s="280"/>
    </row>
    <row r="150" ht="15.75" customHeight="1">
      <c r="A150" s="251">
        <v>46260.0</v>
      </c>
      <c r="B150" s="252">
        <v>2.7372244E7</v>
      </c>
      <c r="C150" s="252" t="s">
        <v>905</v>
      </c>
      <c r="D150" s="253" t="s">
        <v>906</v>
      </c>
      <c r="E150" s="254" t="s">
        <v>362</v>
      </c>
      <c r="F150" s="254" t="s">
        <v>334</v>
      </c>
      <c r="G150" s="255"/>
      <c r="H150" s="256">
        <v>0.0</v>
      </c>
      <c r="I150" s="257"/>
      <c r="J150" s="98" t="s">
        <v>213</v>
      </c>
      <c r="K150" s="96" t="s">
        <v>54</v>
      </c>
      <c r="L150" s="280"/>
    </row>
    <row r="151" ht="15.75" customHeight="1">
      <c r="A151" s="251">
        <v>46259.0</v>
      </c>
      <c r="B151" s="252">
        <v>2.7371904E7</v>
      </c>
      <c r="C151" s="252" t="s">
        <v>907</v>
      </c>
      <c r="D151" s="253" t="s">
        <v>908</v>
      </c>
      <c r="E151" s="254" t="s">
        <v>337</v>
      </c>
      <c r="F151" s="254" t="s">
        <v>338</v>
      </c>
      <c r="G151" s="255"/>
      <c r="H151" s="256">
        <v>0.0</v>
      </c>
      <c r="I151" s="257"/>
      <c r="J151" s="98" t="s">
        <v>213</v>
      </c>
      <c r="K151" s="96" t="s">
        <v>54</v>
      </c>
      <c r="L151" s="280"/>
    </row>
    <row r="152" ht="15.75" customHeight="1">
      <c r="A152" s="251">
        <v>46259.0</v>
      </c>
      <c r="B152" s="252">
        <v>2.7371658E7</v>
      </c>
      <c r="C152" s="252" t="s">
        <v>909</v>
      </c>
      <c r="D152" s="253" t="s">
        <v>910</v>
      </c>
      <c r="E152" s="254" t="s">
        <v>175</v>
      </c>
      <c r="F152" s="254" t="s">
        <v>425</v>
      </c>
      <c r="G152" s="255"/>
      <c r="H152" s="256">
        <v>0.0</v>
      </c>
      <c r="I152" s="257"/>
      <c r="J152" s="98" t="s">
        <v>213</v>
      </c>
      <c r="K152" s="96" t="s">
        <v>54</v>
      </c>
      <c r="L152" s="280"/>
    </row>
    <row r="153" ht="15.75" customHeight="1">
      <c r="A153" s="251">
        <v>46259.0</v>
      </c>
      <c r="B153" s="252">
        <v>2.7371592E7</v>
      </c>
      <c r="C153" s="252" t="s">
        <v>911</v>
      </c>
      <c r="D153" s="253" t="s">
        <v>912</v>
      </c>
      <c r="E153" s="254" t="s">
        <v>362</v>
      </c>
      <c r="F153" s="254" t="s">
        <v>334</v>
      </c>
      <c r="G153" s="255"/>
      <c r="H153" s="256">
        <v>0.0</v>
      </c>
      <c r="I153" s="257"/>
      <c r="J153" s="98" t="s">
        <v>213</v>
      </c>
      <c r="K153" s="96" t="s">
        <v>54</v>
      </c>
      <c r="L153" s="280"/>
    </row>
    <row r="154" ht="15.75" customHeight="1">
      <c r="A154" s="251">
        <v>46259.0</v>
      </c>
      <c r="B154" s="252">
        <v>2.7371102E7</v>
      </c>
      <c r="C154" s="252" t="s">
        <v>913</v>
      </c>
      <c r="D154" s="253" t="s">
        <v>914</v>
      </c>
      <c r="E154" s="254" t="s">
        <v>337</v>
      </c>
      <c r="F154" s="254" t="s">
        <v>338</v>
      </c>
      <c r="G154" s="255"/>
      <c r="H154" s="256">
        <v>0.0</v>
      </c>
      <c r="I154" s="257"/>
      <c r="J154" s="98" t="s">
        <v>213</v>
      </c>
      <c r="K154" s="96" t="s">
        <v>54</v>
      </c>
      <c r="L154" s="280"/>
    </row>
    <row r="155" ht="15.75" customHeight="1">
      <c r="A155" s="251">
        <v>46259.0</v>
      </c>
      <c r="B155" s="252">
        <v>2.7370806E7</v>
      </c>
      <c r="C155" s="257"/>
      <c r="D155" s="253" t="s">
        <v>915</v>
      </c>
      <c r="E155" s="254" t="s">
        <v>129</v>
      </c>
      <c r="F155" s="254" t="s">
        <v>434</v>
      </c>
      <c r="G155" s="255"/>
      <c r="H155" s="256">
        <v>0.0</v>
      </c>
      <c r="I155" s="257"/>
      <c r="J155" s="98" t="s">
        <v>213</v>
      </c>
      <c r="K155" s="96" t="s">
        <v>54</v>
      </c>
      <c r="L155" s="280"/>
    </row>
    <row r="156" ht="15.75" customHeight="1">
      <c r="A156" s="251">
        <v>46259.0</v>
      </c>
      <c r="B156" s="252">
        <v>2.7370764E7</v>
      </c>
      <c r="C156" s="257"/>
      <c r="D156" s="253" t="s">
        <v>916</v>
      </c>
      <c r="E156" s="254" t="s">
        <v>337</v>
      </c>
      <c r="F156" s="254" t="s">
        <v>338</v>
      </c>
      <c r="G156" s="255"/>
      <c r="H156" s="256">
        <v>0.0</v>
      </c>
      <c r="I156" s="257"/>
      <c r="J156" s="98" t="s">
        <v>213</v>
      </c>
      <c r="K156" s="96" t="s">
        <v>54</v>
      </c>
      <c r="L156" s="280"/>
    </row>
    <row r="157" ht="15.75" customHeight="1">
      <c r="A157" s="251">
        <v>46259.0</v>
      </c>
      <c r="B157" s="252">
        <v>2.7368758E7</v>
      </c>
      <c r="C157" s="252" t="s">
        <v>917</v>
      </c>
      <c r="D157" s="253" t="s">
        <v>918</v>
      </c>
      <c r="E157" s="254" t="s">
        <v>337</v>
      </c>
      <c r="F157" s="254" t="s">
        <v>338</v>
      </c>
      <c r="G157" s="255"/>
      <c r="H157" s="256">
        <v>0.0</v>
      </c>
      <c r="I157" s="257"/>
      <c r="J157" s="98" t="s">
        <v>213</v>
      </c>
      <c r="K157" s="96" t="s">
        <v>54</v>
      </c>
      <c r="L157" s="280"/>
    </row>
    <row r="158" ht="15.75" customHeight="1">
      <c r="A158" s="251">
        <v>46259.0</v>
      </c>
      <c r="B158" s="252">
        <v>2.7368676E7</v>
      </c>
      <c r="C158" s="252" t="s">
        <v>919</v>
      </c>
      <c r="D158" s="253" t="s">
        <v>920</v>
      </c>
      <c r="E158" s="254" t="s">
        <v>362</v>
      </c>
      <c r="F158" s="254" t="s">
        <v>334</v>
      </c>
      <c r="G158" s="255"/>
      <c r="H158" s="256">
        <v>0.0</v>
      </c>
      <c r="I158" s="257"/>
      <c r="J158" s="98" t="s">
        <v>213</v>
      </c>
      <c r="K158" s="96" t="s">
        <v>54</v>
      </c>
      <c r="L158" s="280"/>
    </row>
    <row r="159" ht="15.75" customHeight="1">
      <c r="A159" s="251">
        <v>46259.0</v>
      </c>
      <c r="B159" s="252">
        <v>2.7368536E7</v>
      </c>
      <c r="C159" s="252" t="s">
        <v>921</v>
      </c>
      <c r="D159" s="257"/>
      <c r="E159" s="254" t="s">
        <v>337</v>
      </c>
      <c r="F159" s="254" t="s">
        <v>338</v>
      </c>
      <c r="G159" s="255"/>
      <c r="H159" s="256">
        <v>0.0</v>
      </c>
      <c r="I159" s="257"/>
      <c r="J159" s="98" t="s">
        <v>213</v>
      </c>
      <c r="K159" s="96" t="s">
        <v>54</v>
      </c>
      <c r="L159" s="280"/>
    </row>
    <row r="160" ht="15.75" customHeight="1">
      <c r="A160" s="251">
        <v>46259.0</v>
      </c>
      <c r="B160" s="252">
        <v>2.7368128E7</v>
      </c>
      <c r="C160" s="252" t="s">
        <v>922</v>
      </c>
      <c r="D160" s="253" t="s">
        <v>923</v>
      </c>
      <c r="E160" s="254" t="s">
        <v>362</v>
      </c>
      <c r="F160" s="254" t="s">
        <v>334</v>
      </c>
      <c r="G160" s="255"/>
      <c r="H160" s="256">
        <v>0.0</v>
      </c>
      <c r="I160" s="257"/>
      <c r="J160" s="98" t="s">
        <v>213</v>
      </c>
      <c r="K160" s="96" t="s">
        <v>54</v>
      </c>
      <c r="L160" s="280"/>
    </row>
    <row r="161" ht="15.75" customHeight="1">
      <c r="A161" s="251">
        <v>46259.0</v>
      </c>
      <c r="B161" s="252">
        <v>2.7366974E7</v>
      </c>
      <c r="C161" s="252" t="s">
        <v>924</v>
      </c>
      <c r="D161" s="253" t="s">
        <v>925</v>
      </c>
      <c r="E161" s="254" t="s">
        <v>337</v>
      </c>
      <c r="F161" s="254" t="s">
        <v>425</v>
      </c>
      <c r="G161" s="255"/>
      <c r="H161" s="256">
        <v>0.0</v>
      </c>
      <c r="I161" s="257"/>
      <c r="J161" s="98" t="s">
        <v>213</v>
      </c>
      <c r="K161" s="96" t="s">
        <v>54</v>
      </c>
      <c r="L161" s="280"/>
    </row>
    <row r="162" ht="15.75" customHeight="1">
      <c r="A162" s="251">
        <v>46259.0</v>
      </c>
      <c r="B162" s="252">
        <v>2.736611E7</v>
      </c>
      <c r="C162" s="252" t="s">
        <v>926</v>
      </c>
      <c r="D162" s="253" t="s">
        <v>927</v>
      </c>
      <c r="E162" s="254" t="s">
        <v>337</v>
      </c>
      <c r="F162" s="254" t="s">
        <v>338</v>
      </c>
      <c r="G162" s="255"/>
      <c r="H162" s="256">
        <v>0.0</v>
      </c>
      <c r="I162" s="257"/>
      <c r="J162" s="98" t="s">
        <v>213</v>
      </c>
      <c r="K162" s="96" t="s">
        <v>54</v>
      </c>
      <c r="L162" s="280"/>
    </row>
    <row r="163" ht="15.75" customHeight="1">
      <c r="A163" s="251">
        <v>46259.0</v>
      </c>
      <c r="B163" s="252">
        <v>2.7365062E7</v>
      </c>
      <c r="C163" s="252" t="s">
        <v>928</v>
      </c>
      <c r="D163" s="253" t="s">
        <v>929</v>
      </c>
      <c r="E163" s="254" t="s">
        <v>337</v>
      </c>
      <c r="F163" s="254" t="s">
        <v>338</v>
      </c>
      <c r="G163" s="255"/>
      <c r="H163" s="256">
        <v>0.0</v>
      </c>
      <c r="I163" s="257"/>
      <c r="J163" s="98" t="s">
        <v>213</v>
      </c>
      <c r="K163" s="96" t="s">
        <v>54</v>
      </c>
      <c r="L163" s="280"/>
    </row>
    <row r="164" ht="15.75" customHeight="1">
      <c r="A164" s="251">
        <v>46259.0</v>
      </c>
      <c r="B164" s="252">
        <v>2.736457E7</v>
      </c>
      <c r="C164" s="257"/>
      <c r="D164" s="253" t="s">
        <v>930</v>
      </c>
      <c r="E164" s="254" t="s">
        <v>362</v>
      </c>
      <c r="F164" s="254" t="s">
        <v>334</v>
      </c>
      <c r="G164" s="255"/>
      <c r="H164" s="256">
        <v>0.0</v>
      </c>
      <c r="I164" s="257"/>
      <c r="J164" s="98" t="s">
        <v>213</v>
      </c>
      <c r="K164" s="96" t="s">
        <v>54</v>
      </c>
      <c r="L164" s="280"/>
    </row>
    <row r="165" ht="15.75" customHeight="1">
      <c r="A165" s="251">
        <v>46258.0</v>
      </c>
      <c r="B165" s="252">
        <v>2.73614E7</v>
      </c>
      <c r="C165" s="252" t="s">
        <v>931</v>
      </c>
      <c r="D165" s="253" t="s">
        <v>932</v>
      </c>
      <c r="E165" s="254" t="s">
        <v>337</v>
      </c>
      <c r="F165" s="254" t="s">
        <v>338</v>
      </c>
      <c r="G165" s="255"/>
      <c r="H165" s="256">
        <v>0.0</v>
      </c>
      <c r="I165" s="257"/>
      <c r="J165" s="98" t="s">
        <v>213</v>
      </c>
      <c r="K165" s="96" t="s">
        <v>54</v>
      </c>
      <c r="L165" s="280"/>
    </row>
    <row r="166" ht="15.75" customHeight="1">
      <c r="A166" s="251">
        <v>46258.0</v>
      </c>
      <c r="B166" s="252">
        <v>2.7361186E7</v>
      </c>
      <c r="C166" s="252" t="s">
        <v>933</v>
      </c>
      <c r="D166" s="253" t="s">
        <v>934</v>
      </c>
      <c r="E166" s="254" t="s">
        <v>362</v>
      </c>
      <c r="F166" s="254" t="s">
        <v>334</v>
      </c>
      <c r="G166" s="255"/>
      <c r="H166" s="256">
        <v>0.0</v>
      </c>
      <c r="I166" s="257"/>
      <c r="J166" s="98" t="s">
        <v>213</v>
      </c>
      <c r="K166" s="96" t="s">
        <v>54</v>
      </c>
      <c r="L166" s="280"/>
    </row>
    <row r="167" ht="15.75" customHeight="1">
      <c r="A167" s="251">
        <v>46258.0</v>
      </c>
      <c r="B167" s="252">
        <v>2.7342402E7</v>
      </c>
      <c r="C167" s="252" t="s">
        <v>935</v>
      </c>
      <c r="D167" s="253" t="s">
        <v>936</v>
      </c>
      <c r="E167" s="254" t="s">
        <v>362</v>
      </c>
      <c r="F167" s="254" t="s">
        <v>334</v>
      </c>
      <c r="G167" s="255"/>
      <c r="H167" s="256">
        <v>0.0</v>
      </c>
      <c r="I167" s="257"/>
      <c r="J167" s="98" t="s">
        <v>213</v>
      </c>
      <c r="K167" s="96" t="s">
        <v>54</v>
      </c>
      <c r="L167" s="280"/>
    </row>
    <row r="168" ht="15.75" customHeight="1">
      <c r="A168" s="251">
        <v>46258.0</v>
      </c>
      <c r="B168" s="252">
        <v>2.7340788E7</v>
      </c>
      <c r="C168" s="252" t="s">
        <v>937</v>
      </c>
      <c r="D168" s="253" t="s">
        <v>938</v>
      </c>
      <c r="E168" s="254" t="s">
        <v>337</v>
      </c>
      <c r="F168" s="254" t="s">
        <v>434</v>
      </c>
      <c r="G168" s="255"/>
      <c r="H168" s="256">
        <v>0.0</v>
      </c>
      <c r="I168" s="257"/>
      <c r="J168" s="98" t="s">
        <v>213</v>
      </c>
      <c r="K168" s="96" t="s">
        <v>54</v>
      </c>
      <c r="L168" s="280"/>
    </row>
    <row r="169" ht="15.75" customHeight="1">
      <c r="A169" s="251">
        <v>46258.0</v>
      </c>
      <c r="B169" s="252">
        <v>2.7336106E7</v>
      </c>
      <c r="C169" s="252" t="s">
        <v>939</v>
      </c>
      <c r="D169" s="253" t="s">
        <v>940</v>
      </c>
      <c r="E169" s="254" t="s">
        <v>337</v>
      </c>
      <c r="F169" s="254" t="s">
        <v>338</v>
      </c>
      <c r="G169" s="255"/>
      <c r="H169" s="256">
        <v>0.0</v>
      </c>
      <c r="I169" s="257"/>
      <c r="J169" s="98" t="s">
        <v>213</v>
      </c>
      <c r="K169" s="96" t="s">
        <v>54</v>
      </c>
      <c r="L169" s="280"/>
    </row>
    <row r="170" ht="15.75" customHeight="1">
      <c r="A170" s="251">
        <v>46258.0</v>
      </c>
      <c r="B170" s="252">
        <v>2.7335442E7</v>
      </c>
      <c r="C170" s="252" t="s">
        <v>941</v>
      </c>
      <c r="D170" s="253" t="s">
        <v>942</v>
      </c>
      <c r="E170" s="254" t="s">
        <v>337</v>
      </c>
      <c r="F170" s="254" t="s">
        <v>338</v>
      </c>
      <c r="G170" s="255"/>
      <c r="H170" s="256">
        <v>0.0</v>
      </c>
      <c r="I170" s="257"/>
      <c r="J170" s="98" t="s">
        <v>213</v>
      </c>
      <c r="K170" s="96" t="s">
        <v>54</v>
      </c>
      <c r="L170" s="280"/>
    </row>
    <row r="171" ht="15.75" customHeight="1">
      <c r="A171" s="251">
        <v>46258.0</v>
      </c>
      <c r="B171" s="252">
        <v>2.733351E7</v>
      </c>
      <c r="C171" s="252" t="s">
        <v>943</v>
      </c>
      <c r="D171" s="253" t="s">
        <v>944</v>
      </c>
      <c r="E171" s="254" t="s">
        <v>337</v>
      </c>
      <c r="F171" s="254" t="s">
        <v>338</v>
      </c>
      <c r="G171" s="255"/>
      <c r="H171" s="256">
        <v>0.0</v>
      </c>
      <c r="I171" s="257"/>
      <c r="J171" s="98" t="s">
        <v>213</v>
      </c>
      <c r="K171" s="96" t="s">
        <v>54</v>
      </c>
      <c r="L171" s="280"/>
    </row>
    <row r="172" ht="15.75" customHeight="1">
      <c r="A172" s="251">
        <v>46256.0</v>
      </c>
      <c r="B172" s="252">
        <v>2.7319574E7</v>
      </c>
      <c r="C172" s="252" t="s">
        <v>945</v>
      </c>
      <c r="D172" s="253" t="s">
        <v>946</v>
      </c>
      <c r="E172" s="254" t="s">
        <v>337</v>
      </c>
      <c r="F172" s="254" t="s">
        <v>338</v>
      </c>
      <c r="G172" s="255"/>
      <c r="H172" s="256">
        <v>0.0</v>
      </c>
      <c r="I172" s="257"/>
      <c r="J172" s="98" t="s">
        <v>213</v>
      </c>
      <c r="K172" s="96" t="s">
        <v>54</v>
      </c>
      <c r="L172" s="280"/>
    </row>
    <row r="173" ht="15.75" customHeight="1">
      <c r="A173" s="251">
        <v>46255.0</v>
      </c>
      <c r="B173" s="252">
        <v>2.731927E7</v>
      </c>
      <c r="C173" s="252" t="s">
        <v>947</v>
      </c>
      <c r="D173" s="257"/>
      <c r="E173" s="254" t="s">
        <v>337</v>
      </c>
      <c r="F173" s="254" t="s">
        <v>338</v>
      </c>
      <c r="G173" s="255"/>
      <c r="H173" s="256">
        <v>0.0</v>
      </c>
      <c r="I173" s="257"/>
      <c r="J173" s="98" t="s">
        <v>213</v>
      </c>
      <c r="K173" s="96" t="s">
        <v>54</v>
      </c>
      <c r="L173" s="280"/>
    </row>
    <row r="174" ht="15.75" customHeight="1">
      <c r="A174" s="251">
        <v>46255.0</v>
      </c>
      <c r="B174" s="252">
        <v>2.7318392E7</v>
      </c>
      <c r="C174" s="252" t="s">
        <v>948</v>
      </c>
      <c r="D174" s="253" t="s">
        <v>949</v>
      </c>
      <c r="E174" s="254" t="s">
        <v>337</v>
      </c>
      <c r="F174" s="254" t="s">
        <v>338</v>
      </c>
      <c r="G174" s="255"/>
      <c r="H174" s="256">
        <v>0.0</v>
      </c>
      <c r="I174" s="257"/>
      <c r="J174" s="98" t="s">
        <v>213</v>
      </c>
      <c r="K174" s="96" t="s">
        <v>54</v>
      </c>
      <c r="L174" s="280"/>
    </row>
    <row r="175" ht="15.75" customHeight="1">
      <c r="A175" s="251">
        <v>46255.0</v>
      </c>
      <c r="B175" s="252">
        <v>2.7316388E7</v>
      </c>
      <c r="C175" s="252" t="s">
        <v>950</v>
      </c>
      <c r="D175" s="253" t="s">
        <v>951</v>
      </c>
      <c r="E175" s="254" t="s">
        <v>337</v>
      </c>
      <c r="F175" s="254" t="s">
        <v>338</v>
      </c>
      <c r="G175" s="255"/>
      <c r="H175" s="256">
        <v>0.0</v>
      </c>
      <c r="I175" s="257"/>
      <c r="J175" s="98" t="s">
        <v>213</v>
      </c>
      <c r="K175" s="96" t="s">
        <v>54</v>
      </c>
      <c r="L175" s="280"/>
    </row>
    <row r="176" ht="15.75" customHeight="1">
      <c r="A176" s="251">
        <v>46254.0</v>
      </c>
      <c r="B176" s="252">
        <v>2.731062E7</v>
      </c>
      <c r="C176" s="252" t="s">
        <v>952</v>
      </c>
      <c r="D176" s="253" t="s">
        <v>953</v>
      </c>
      <c r="E176" s="254" t="s">
        <v>337</v>
      </c>
      <c r="F176" s="254" t="s">
        <v>338</v>
      </c>
      <c r="G176" s="255"/>
      <c r="H176" s="256">
        <v>0.0</v>
      </c>
      <c r="I176" s="257"/>
      <c r="J176" s="98" t="s">
        <v>213</v>
      </c>
      <c r="K176" s="96" t="s">
        <v>54</v>
      </c>
      <c r="L176" s="280"/>
    </row>
    <row r="177" ht="15.75" customHeight="1">
      <c r="A177" s="251">
        <v>46254.0</v>
      </c>
      <c r="B177" s="252">
        <v>2.7309502E7</v>
      </c>
      <c r="C177" s="252" t="s">
        <v>954</v>
      </c>
      <c r="D177" s="253" t="s">
        <v>955</v>
      </c>
      <c r="E177" s="254" t="s">
        <v>337</v>
      </c>
      <c r="F177" s="254" t="s">
        <v>338</v>
      </c>
      <c r="G177" s="255"/>
      <c r="H177" s="256">
        <v>0.0</v>
      </c>
      <c r="I177" s="257"/>
      <c r="J177" s="98" t="s">
        <v>213</v>
      </c>
      <c r="K177" s="96" t="s">
        <v>54</v>
      </c>
      <c r="L177" s="280"/>
    </row>
    <row r="178" ht="15.75" customHeight="1">
      <c r="A178" s="251">
        <v>46254.0</v>
      </c>
      <c r="B178" s="252">
        <v>2.7309078E7</v>
      </c>
      <c r="C178" s="252" t="s">
        <v>956</v>
      </c>
      <c r="D178" s="253" t="s">
        <v>957</v>
      </c>
      <c r="E178" s="254" t="s">
        <v>337</v>
      </c>
      <c r="F178" s="254" t="s">
        <v>434</v>
      </c>
      <c r="G178" s="255"/>
      <c r="H178" s="256">
        <v>0.0</v>
      </c>
      <c r="I178" s="257"/>
      <c r="J178" s="98" t="s">
        <v>213</v>
      </c>
      <c r="K178" s="96" t="s">
        <v>54</v>
      </c>
      <c r="L178" s="280"/>
    </row>
    <row r="179" ht="15.75" customHeight="1">
      <c r="A179" s="251">
        <v>46254.0</v>
      </c>
      <c r="B179" s="252">
        <v>2.7308182E7</v>
      </c>
      <c r="C179" s="252" t="s">
        <v>958</v>
      </c>
      <c r="D179" s="257"/>
      <c r="E179" s="254" t="s">
        <v>362</v>
      </c>
      <c r="F179" s="254" t="s">
        <v>338</v>
      </c>
      <c r="G179" s="255"/>
      <c r="H179" s="256">
        <v>0.0</v>
      </c>
      <c r="I179" s="257"/>
      <c r="J179" s="98" t="s">
        <v>213</v>
      </c>
      <c r="K179" s="96" t="s">
        <v>54</v>
      </c>
      <c r="L179" s="280"/>
    </row>
    <row r="180" ht="15.75" customHeight="1">
      <c r="A180" s="251">
        <v>46254.0</v>
      </c>
      <c r="B180" s="252">
        <v>2.7305766E7</v>
      </c>
      <c r="C180" s="252" t="s">
        <v>959</v>
      </c>
      <c r="D180" s="253" t="s">
        <v>960</v>
      </c>
      <c r="E180" s="254" t="s">
        <v>362</v>
      </c>
      <c r="F180" s="254" t="s">
        <v>590</v>
      </c>
      <c r="G180" s="255"/>
      <c r="H180" s="256">
        <v>0.0</v>
      </c>
      <c r="I180" s="257"/>
      <c r="J180" s="98" t="s">
        <v>213</v>
      </c>
      <c r="K180" s="96" t="s">
        <v>54</v>
      </c>
      <c r="L180" s="280"/>
    </row>
    <row r="181" ht="15.75" customHeight="1">
      <c r="A181" s="251">
        <v>46254.0</v>
      </c>
      <c r="B181" s="252">
        <v>2.7305004E7</v>
      </c>
      <c r="C181" s="252" t="s">
        <v>967</v>
      </c>
      <c r="D181" s="253" t="s">
        <v>969</v>
      </c>
      <c r="E181" s="254" t="s">
        <v>362</v>
      </c>
      <c r="F181" s="254" t="s">
        <v>334</v>
      </c>
      <c r="G181" s="255"/>
      <c r="H181" s="256">
        <v>0.0</v>
      </c>
      <c r="I181" s="257"/>
      <c r="J181" s="98" t="s">
        <v>213</v>
      </c>
      <c r="K181" s="96" t="s">
        <v>54</v>
      </c>
      <c r="L181" s="280"/>
    </row>
    <row r="182" ht="15.75" customHeight="1">
      <c r="A182" s="251">
        <v>46254.0</v>
      </c>
      <c r="B182" s="252">
        <v>2.7304744E7</v>
      </c>
      <c r="C182" s="252" t="s">
        <v>977</v>
      </c>
      <c r="D182" s="253" t="s">
        <v>979</v>
      </c>
      <c r="E182" s="254" t="s">
        <v>362</v>
      </c>
      <c r="F182" s="254" t="s">
        <v>590</v>
      </c>
      <c r="G182" s="255"/>
      <c r="H182" s="256">
        <v>0.0</v>
      </c>
      <c r="I182" s="257"/>
      <c r="J182" s="98" t="s">
        <v>213</v>
      </c>
      <c r="K182" s="96" t="s">
        <v>54</v>
      </c>
      <c r="L182" s="280"/>
    </row>
    <row r="183" ht="15.75" customHeight="1">
      <c r="A183" s="251">
        <v>46254.0</v>
      </c>
      <c r="B183" s="252">
        <v>2.730457E7</v>
      </c>
      <c r="C183" s="252" t="s">
        <v>997</v>
      </c>
      <c r="D183" s="253" t="s">
        <v>999</v>
      </c>
      <c r="E183" s="254" t="s">
        <v>337</v>
      </c>
      <c r="F183" s="254" t="s">
        <v>338</v>
      </c>
      <c r="G183" s="255"/>
      <c r="H183" s="256">
        <v>0.0</v>
      </c>
      <c r="I183" s="257"/>
      <c r="J183" s="98" t="s">
        <v>213</v>
      </c>
      <c r="K183" s="96" t="s">
        <v>54</v>
      </c>
      <c r="L183" s="280"/>
    </row>
    <row r="184" ht="15.75" customHeight="1">
      <c r="A184" s="251">
        <v>46254.0</v>
      </c>
      <c r="B184" s="252">
        <v>2.7304404E7</v>
      </c>
      <c r="C184" s="252" t="s">
        <v>1008</v>
      </c>
      <c r="D184" s="253" t="s">
        <v>1009</v>
      </c>
      <c r="E184" s="254" t="s">
        <v>337</v>
      </c>
      <c r="F184" s="254" t="s">
        <v>338</v>
      </c>
      <c r="G184" s="255"/>
      <c r="H184" s="256">
        <v>0.0</v>
      </c>
      <c r="I184" s="257"/>
      <c r="J184" s="98" t="s">
        <v>213</v>
      </c>
      <c r="K184" s="96" t="s">
        <v>54</v>
      </c>
      <c r="L184" s="280"/>
    </row>
    <row r="185" ht="15.75" customHeight="1">
      <c r="A185" s="251">
        <v>46254.0</v>
      </c>
      <c r="B185" s="252">
        <v>2.7304168E7</v>
      </c>
      <c r="C185" s="252" t="s">
        <v>1014</v>
      </c>
      <c r="D185" s="253" t="s">
        <v>1015</v>
      </c>
      <c r="E185" s="254" t="s">
        <v>362</v>
      </c>
      <c r="F185" s="254" t="s">
        <v>334</v>
      </c>
      <c r="G185" s="255"/>
      <c r="H185" s="256">
        <v>0.0</v>
      </c>
      <c r="I185" s="257"/>
      <c r="J185" s="98" t="s">
        <v>213</v>
      </c>
      <c r="K185" s="96" t="s">
        <v>54</v>
      </c>
      <c r="L185" s="280"/>
    </row>
    <row r="186" ht="15.75" customHeight="1">
      <c r="A186" s="251">
        <v>46253.0</v>
      </c>
      <c r="B186" s="252">
        <v>2.730292E7</v>
      </c>
      <c r="C186" s="252" t="s">
        <v>1016</v>
      </c>
      <c r="D186" s="253" t="s">
        <v>1017</v>
      </c>
      <c r="E186" s="254" t="s">
        <v>337</v>
      </c>
      <c r="F186" s="254" t="s">
        <v>338</v>
      </c>
      <c r="G186" s="255"/>
      <c r="H186" s="256">
        <v>0.0</v>
      </c>
      <c r="I186" s="257"/>
      <c r="J186" s="98" t="s">
        <v>213</v>
      </c>
      <c r="K186" s="96" t="s">
        <v>54</v>
      </c>
      <c r="L186" s="280"/>
    </row>
    <row r="187" ht="15.75" customHeight="1">
      <c r="A187" s="251">
        <v>46253.0</v>
      </c>
      <c r="B187" s="252">
        <v>2.730118E7</v>
      </c>
      <c r="C187" s="252" t="s">
        <v>1018</v>
      </c>
      <c r="D187" s="257"/>
      <c r="E187" s="254" t="s">
        <v>126</v>
      </c>
      <c r="F187" s="254" t="s">
        <v>334</v>
      </c>
      <c r="G187" s="255"/>
      <c r="H187" s="256">
        <v>0.0</v>
      </c>
      <c r="I187" s="257"/>
      <c r="J187" s="98" t="s">
        <v>213</v>
      </c>
      <c r="K187" s="96" t="s">
        <v>54</v>
      </c>
      <c r="L187" s="280"/>
    </row>
    <row r="188" ht="15.75" customHeight="1">
      <c r="A188" s="251">
        <v>46253.0</v>
      </c>
      <c r="B188" s="252">
        <v>2.7301176E7</v>
      </c>
      <c r="C188" s="252" t="s">
        <v>1019</v>
      </c>
      <c r="D188" s="253" t="s">
        <v>1020</v>
      </c>
      <c r="E188" s="254" t="s">
        <v>362</v>
      </c>
      <c r="F188" s="254" t="s">
        <v>590</v>
      </c>
      <c r="G188" s="255"/>
      <c r="H188" s="256">
        <v>0.0</v>
      </c>
      <c r="I188" s="257"/>
      <c r="J188" s="98" t="s">
        <v>213</v>
      </c>
      <c r="K188" s="96" t="s">
        <v>54</v>
      </c>
      <c r="L188" s="280"/>
    </row>
    <row r="189" ht="15.75" customHeight="1">
      <c r="A189" s="251">
        <v>46253.0</v>
      </c>
      <c r="B189" s="252">
        <v>2.7299936E7</v>
      </c>
      <c r="C189" s="252" t="s">
        <v>1021</v>
      </c>
      <c r="D189" s="253" t="s">
        <v>1022</v>
      </c>
      <c r="E189" s="254" t="s">
        <v>337</v>
      </c>
      <c r="F189" s="254" t="s">
        <v>338</v>
      </c>
      <c r="G189" s="255"/>
      <c r="H189" s="256">
        <v>0.0</v>
      </c>
      <c r="I189" s="257"/>
      <c r="J189" s="98" t="s">
        <v>213</v>
      </c>
      <c r="K189" s="96" t="s">
        <v>54</v>
      </c>
      <c r="L189" s="280"/>
    </row>
    <row r="190" ht="15.75" customHeight="1">
      <c r="A190" s="251">
        <v>46253.0</v>
      </c>
      <c r="B190" s="252">
        <v>2.7299128E7</v>
      </c>
      <c r="C190" s="252" t="s">
        <v>1023</v>
      </c>
      <c r="D190" s="253" t="s">
        <v>1024</v>
      </c>
      <c r="E190" s="254" t="s">
        <v>362</v>
      </c>
      <c r="F190" s="254" t="s">
        <v>590</v>
      </c>
      <c r="G190" s="255"/>
      <c r="H190" s="256">
        <v>0.0</v>
      </c>
      <c r="I190" s="257"/>
      <c r="J190" s="98" t="s">
        <v>213</v>
      </c>
      <c r="K190" s="96" t="s">
        <v>54</v>
      </c>
      <c r="L190" s="280"/>
    </row>
    <row r="191" ht="15.75" customHeight="1">
      <c r="A191" s="251">
        <v>46253.0</v>
      </c>
      <c r="B191" s="252">
        <v>2.7295726E7</v>
      </c>
      <c r="C191" s="252" t="s">
        <v>1025</v>
      </c>
      <c r="D191" s="253" t="s">
        <v>1026</v>
      </c>
      <c r="E191" s="254" t="s">
        <v>362</v>
      </c>
      <c r="F191" s="254" t="s">
        <v>334</v>
      </c>
      <c r="G191" s="255"/>
      <c r="H191" s="256">
        <v>0.0</v>
      </c>
      <c r="I191" s="257"/>
      <c r="J191" s="98" t="s">
        <v>213</v>
      </c>
      <c r="K191" s="96" t="s">
        <v>54</v>
      </c>
      <c r="L191" s="280"/>
    </row>
    <row r="192" ht="15.75" customHeight="1">
      <c r="A192" s="251">
        <v>46253.0</v>
      </c>
      <c r="B192" s="252">
        <v>2.7293862E7</v>
      </c>
      <c r="C192" s="252" t="s">
        <v>1027</v>
      </c>
      <c r="D192" s="253" t="s">
        <v>1028</v>
      </c>
      <c r="E192" s="254" t="s">
        <v>337</v>
      </c>
      <c r="F192" s="254" t="s">
        <v>338</v>
      </c>
      <c r="G192" s="255"/>
      <c r="H192" s="256">
        <v>0.0</v>
      </c>
      <c r="I192" s="257"/>
      <c r="J192" s="98" t="s">
        <v>213</v>
      </c>
      <c r="K192" s="96" t="s">
        <v>54</v>
      </c>
      <c r="L192" s="280"/>
    </row>
    <row r="193" ht="15.75" customHeight="1">
      <c r="A193" s="251">
        <v>46252.0</v>
      </c>
      <c r="B193" s="252">
        <v>2.7293358E7</v>
      </c>
      <c r="C193" s="252" t="s">
        <v>1029</v>
      </c>
      <c r="D193" s="253" t="s">
        <v>1030</v>
      </c>
      <c r="E193" s="254" t="s">
        <v>362</v>
      </c>
      <c r="F193" s="254" t="s">
        <v>334</v>
      </c>
      <c r="G193" s="255"/>
      <c r="H193" s="256">
        <v>0.0</v>
      </c>
      <c r="I193" s="257"/>
      <c r="J193" s="98" t="s">
        <v>213</v>
      </c>
      <c r="K193" s="96" t="s">
        <v>54</v>
      </c>
      <c r="L193" s="280"/>
    </row>
    <row r="194" ht="15.75" customHeight="1">
      <c r="A194" s="251">
        <v>46252.0</v>
      </c>
      <c r="B194" s="252">
        <v>2.7293254E7</v>
      </c>
      <c r="C194" s="252" t="s">
        <v>1031</v>
      </c>
      <c r="D194" s="253" t="s">
        <v>1032</v>
      </c>
      <c r="E194" s="254" t="s">
        <v>337</v>
      </c>
      <c r="F194" s="254" t="s">
        <v>338</v>
      </c>
      <c r="G194" s="255"/>
      <c r="H194" s="256">
        <v>0.0</v>
      </c>
      <c r="I194" s="257"/>
      <c r="J194" s="98" t="s">
        <v>213</v>
      </c>
      <c r="K194" s="96" t="s">
        <v>54</v>
      </c>
      <c r="L194" s="280"/>
    </row>
    <row r="195" ht="15.75" customHeight="1">
      <c r="A195" s="251">
        <v>46252.0</v>
      </c>
      <c r="B195" s="252">
        <v>2.7292914E7</v>
      </c>
      <c r="C195" s="252" t="s">
        <v>1033</v>
      </c>
      <c r="D195" s="253" t="s">
        <v>1034</v>
      </c>
      <c r="E195" s="254" t="s">
        <v>362</v>
      </c>
      <c r="F195" s="254" t="s">
        <v>334</v>
      </c>
      <c r="G195" s="255"/>
      <c r="H195" s="256">
        <v>0.0</v>
      </c>
      <c r="I195" s="257"/>
      <c r="J195" s="98" t="s">
        <v>213</v>
      </c>
      <c r="K195" s="96" t="s">
        <v>54</v>
      </c>
      <c r="L195" s="280"/>
    </row>
    <row r="196" ht="15.75" customHeight="1">
      <c r="A196" s="251">
        <v>46252.0</v>
      </c>
      <c r="B196" s="252">
        <v>2.7292908E7</v>
      </c>
      <c r="C196" s="252" t="s">
        <v>1035</v>
      </c>
      <c r="D196" s="253" t="s">
        <v>1036</v>
      </c>
      <c r="E196" s="254" t="s">
        <v>337</v>
      </c>
      <c r="F196" s="254" t="s">
        <v>338</v>
      </c>
      <c r="G196" s="255"/>
      <c r="H196" s="256">
        <v>0.0</v>
      </c>
      <c r="I196" s="257"/>
      <c r="J196" s="98" t="s">
        <v>213</v>
      </c>
      <c r="K196" s="96" t="s">
        <v>54</v>
      </c>
      <c r="L196" s="280"/>
    </row>
    <row r="197" ht="15.75" customHeight="1">
      <c r="A197" s="251">
        <v>46252.0</v>
      </c>
      <c r="B197" s="252">
        <v>2.7292384E7</v>
      </c>
      <c r="C197" s="252" t="s">
        <v>1037</v>
      </c>
      <c r="D197" s="253" t="s">
        <v>1038</v>
      </c>
      <c r="E197" s="254" t="s">
        <v>362</v>
      </c>
      <c r="F197" s="254" t="s">
        <v>334</v>
      </c>
      <c r="G197" s="255"/>
      <c r="H197" s="256">
        <v>0.0</v>
      </c>
      <c r="I197" s="257"/>
      <c r="J197" s="98" t="s">
        <v>213</v>
      </c>
      <c r="K197" s="96" t="s">
        <v>54</v>
      </c>
      <c r="L197" s="280"/>
    </row>
    <row r="198" ht="15.75" customHeight="1">
      <c r="A198" s="251">
        <v>46252.0</v>
      </c>
      <c r="B198" s="252">
        <v>2.72915E7</v>
      </c>
      <c r="C198" s="252" t="s">
        <v>1039</v>
      </c>
      <c r="D198" s="253" t="s">
        <v>1040</v>
      </c>
      <c r="E198" s="254" t="s">
        <v>362</v>
      </c>
      <c r="F198" s="254" t="s">
        <v>590</v>
      </c>
      <c r="G198" s="255"/>
      <c r="H198" s="256">
        <v>0.0</v>
      </c>
      <c r="I198" s="257"/>
      <c r="J198" s="98" t="s">
        <v>213</v>
      </c>
      <c r="K198" s="96" t="s">
        <v>54</v>
      </c>
      <c r="L198" s="280"/>
    </row>
    <row r="199" ht="15.75" customHeight="1">
      <c r="A199" s="251">
        <v>46252.0</v>
      </c>
      <c r="B199" s="252">
        <v>2.728968E7</v>
      </c>
      <c r="C199" s="252" t="s">
        <v>1041</v>
      </c>
      <c r="D199" s="253" t="s">
        <v>1042</v>
      </c>
      <c r="E199" s="254" t="s">
        <v>337</v>
      </c>
      <c r="F199" s="254" t="s">
        <v>434</v>
      </c>
      <c r="G199" s="255"/>
      <c r="H199" s="256">
        <v>0.0</v>
      </c>
      <c r="I199" s="257"/>
      <c r="J199" s="98" t="s">
        <v>213</v>
      </c>
      <c r="K199" s="96" t="s">
        <v>54</v>
      </c>
      <c r="L199" s="280"/>
    </row>
    <row r="200" ht="15.75" customHeight="1">
      <c r="A200" s="251">
        <v>46252.0</v>
      </c>
      <c r="B200" s="252">
        <v>2.728633E7</v>
      </c>
      <c r="C200" s="252" t="s">
        <v>1043</v>
      </c>
      <c r="D200" s="253" t="s">
        <v>1044</v>
      </c>
      <c r="E200" s="254" t="s">
        <v>129</v>
      </c>
      <c r="F200" s="254" t="s">
        <v>590</v>
      </c>
      <c r="G200" s="255"/>
      <c r="H200" s="256">
        <v>0.0</v>
      </c>
      <c r="I200" s="257"/>
      <c r="J200" s="98" t="s">
        <v>213</v>
      </c>
      <c r="K200" s="96" t="s">
        <v>54</v>
      </c>
      <c r="L200" s="280"/>
    </row>
    <row r="201" ht="15.75" customHeight="1">
      <c r="A201" s="251">
        <v>46252.0</v>
      </c>
      <c r="B201" s="252">
        <v>2.7285212E7</v>
      </c>
      <c r="C201" s="252" t="s">
        <v>1054</v>
      </c>
      <c r="D201" s="253" t="s">
        <v>1055</v>
      </c>
      <c r="E201" s="254" t="s">
        <v>362</v>
      </c>
      <c r="F201" s="254" t="s">
        <v>590</v>
      </c>
      <c r="G201" s="255"/>
      <c r="H201" s="256">
        <v>0.0</v>
      </c>
      <c r="I201" s="257"/>
      <c r="J201" s="98" t="s">
        <v>213</v>
      </c>
      <c r="K201" s="96" t="s">
        <v>54</v>
      </c>
      <c r="L201" s="280"/>
    </row>
    <row r="202" ht="15.75" customHeight="1">
      <c r="A202" s="251">
        <v>46252.0</v>
      </c>
      <c r="B202" s="252">
        <v>2.7285062E7</v>
      </c>
      <c r="C202" s="252" t="s">
        <v>1076</v>
      </c>
      <c r="D202" s="253" t="s">
        <v>1077</v>
      </c>
      <c r="E202" s="254" t="s">
        <v>337</v>
      </c>
      <c r="F202" s="254" t="s">
        <v>338</v>
      </c>
      <c r="G202" s="255"/>
      <c r="H202" s="256">
        <v>0.0</v>
      </c>
      <c r="I202" s="257"/>
      <c r="J202" s="98" t="s">
        <v>213</v>
      </c>
      <c r="K202" s="96" t="s">
        <v>54</v>
      </c>
      <c r="L202" s="280"/>
    </row>
    <row r="203" ht="15.75" customHeight="1">
      <c r="A203" s="251">
        <v>46251.0</v>
      </c>
      <c r="B203" s="252">
        <v>2.7284868E7</v>
      </c>
      <c r="C203" s="252" t="s">
        <v>1107</v>
      </c>
      <c r="D203" s="253" t="s">
        <v>1109</v>
      </c>
      <c r="E203" s="254" t="s">
        <v>337</v>
      </c>
      <c r="F203" s="254" t="s">
        <v>338</v>
      </c>
      <c r="G203" s="255"/>
      <c r="H203" s="256">
        <v>0.0</v>
      </c>
      <c r="I203" s="257"/>
      <c r="J203" s="98" t="s">
        <v>213</v>
      </c>
      <c r="K203" s="96" t="s">
        <v>54</v>
      </c>
      <c r="L203" s="280"/>
    </row>
    <row r="204" ht="15.75" customHeight="1">
      <c r="A204" s="251">
        <v>46251.0</v>
      </c>
      <c r="B204" s="252">
        <v>2.7284554E7</v>
      </c>
      <c r="C204" s="252" t="s">
        <v>1142</v>
      </c>
      <c r="D204" s="253" t="s">
        <v>1145</v>
      </c>
      <c r="E204" s="254" t="s">
        <v>129</v>
      </c>
      <c r="F204" s="254" t="s">
        <v>358</v>
      </c>
      <c r="G204" s="255"/>
      <c r="H204" s="256">
        <v>0.0</v>
      </c>
      <c r="I204" s="252" t="s">
        <v>1157</v>
      </c>
      <c r="J204" s="98" t="s">
        <v>213</v>
      </c>
      <c r="K204" s="96" t="s">
        <v>54</v>
      </c>
      <c r="L204" s="280"/>
    </row>
    <row r="205" ht="15.75" customHeight="1">
      <c r="A205" s="251">
        <v>46251.0</v>
      </c>
      <c r="B205" s="252">
        <v>2.7284066E7</v>
      </c>
      <c r="C205" s="252" t="s">
        <v>1180</v>
      </c>
      <c r="D205" s="253" t="s">
        <v>1181</v>
      </c>
      <c r="E205" s="254" t="s">
        <v>337</v>
      </c>
      <c r="F205" s="254" t="s">
        <v>338</v>
      </c>
      <c r="G205" s="255"/>
      <c r="H205" s="256">
        <v>0.0</v>
      </c>
      <c r="I205" s="257"/>
      <c r="J205" s="98" t="s">
        <v>213</v>
      </c>
      <c r="K205" s="96" t="s">
        <v>54</v>
      </c>
      <c r="L205" s="280"/>
    </row>
    <row r="206" ht="15.75" customHeight="1">
      <c r="A206" s="251">
        <v>46251.0</v>
      </c>
      <c r="B206" s="252">
        <v>2.7283876E7</v>
      </c>
      <c r="C206" s="252" t="s">
        <v>1211</v>
      </c>
      <c r="D206" s="253" t="s">
        <v>1212</v>
      </c>
      <c r="E206" s="254" t="s">
        <v>362</v>
      </c>
      <c r="F206" s="254" t="s">
        <v>590</v>
      </c>
      <c r="G206" s="255"/>
      <c r="H206" s="256">
        <v>0.0</v>
      </c>
      <c r="I206" s="257"/>
      <c r="J206" s="98" t="s">
        <v>213</v>
      </c>
      <c r="K206" s="96" t="s">
        <v>54</v>
      </c>
      <c r="L206" s="280"/>
    </row>
    <row r="207" ht="15.75" customHeight="1">
      <c r="A207" s="251">
        <v>46251.0</v>
      </c>
      <c r="B207" s="252">
        <v>2.728371E7</v>
      </c>
      <c r="C207" s="252" t="s">
        <v>1211</v>
      </c>
      <c r="D207" s="253" t="s">
        <v>1212</v>
      </c>
      <c r="E207" s="254" t="s">
        <v>337</v>
      </c>
      <c r="F207" s="254" t="s">
        <v>434</v>
      </c>
      <c r="G207" s="255"/>
      <c r="H207" s="256">
        <v>0.0</v>
      </c>
      <c r="I207" s="257"/>
      <c r="J207" s="98" t="s">
        <v>213</v>
      </c>
      <c r="K207" s="96" t="s">
        <v>54</v>
      </c>
      <c r="L207" s="280"/>
    </row>
    <row r="208" ht="15.75" customHeight="1">
      <c r="A208" s="251">
        <v>46251.0</v>
      </c>
      <c r="B208" s="252">
        <v>2.7282676E7</v>
      </c>
      <c r="C208" s="252" t="s">
        <v>1273</v>
      </c>
      <c r="D208" s="253" t="s">
        <v>1276</v>
      </c>
      <c r="E208" s="254" t="s">
        <v>337</v>
      </c>
      <c r="F208" s="254" t="s">
        <v>590</v>
      </c>
      <c r="G208" s="255"/>
      <c r="H208" s="256">
        <v>0.0</v>
      </c>
      <c r="I208" s="257"/>
      <c r="J208" s="98" t="s">
        <v>213</v>
      </c>
      <c r="K208" s="96" t="s">
        <v>54</v>
      </c>
      <c r="L208" s="280"/>
    </row>
    <row r="209" ht="15.75" customHeight="1">
      <c r="A209" s="251">
        <v>46251.0</v>
      </c>
      <c r="B209" s="252">
        <v>2.7282362E7</v>
      </c>
      <c r="C209" s="252" t="s">
        <v>1284</v>
      </c>
      <c r="D209" s="253" t="s">
        <v>1285</v>
      </c>
      <c r="E209" s="254" t="s">
        <v>362</v>
      </c>
      <c r="F209" s="254" t="s">
        <v>334</v>
      </c>
      <c r="G209" s="255"/>
      <c r="H209" s="256">
        <v>0.0</v>
      </c>
      <c r="I209" s="257"/>
      <c r="J209" s="98" t="s">
        <v>213</v>
      </c>
      <c r="K209" s="96" t="s">
        <v>54</v>
      </c>
      <c r="L209" s="280"/>
    </row>
    <row r="210" ht="15.75" customHeight="1">
      <c r="A210" s="251">
        <v>46251.0</v>
      </c>
      <c r="B210" s="252">
        <v>2.7279842E7</v>
      </c>
      <c r="C210" s="252" t="s">
        <v>1286</v>
      </c>
      <c r="D210" s="253" t="s">
        <v>1287</v>
      </c>
      <c r="E210" s="254" t="s">
        <v>362</v>
      </c>
      <c r="F210" s="254" t="s">
        <v>334</v>
      </c>
      <c r="G210" s="255"/>
      <c r="H210" s="256">
        <v>0.0</v>
      </c>
      <c r="I210" s="257"/>
      <c r="J210" s="98" t="s">
        <v>213</v>
      </c>
      <c r="K210" s="96" t="s">
        <v>54</v>
      </c>
      <c r="L210" s="280"/>
    </row>
    <row r="211" ht="15.75" customHeight="1">
      <c r="A211" s="251">
        <v>46251.0</v>
      </c>
      <c r="B211" s="252">
        <v>2.7277616E7</v>
      </c>
      <c r="C211" s="252" t="s">
        <v>1288</v>
      </c>
      <c r="D211" s="253" t="s">
        <v>1289</v>
      </c>
      <c r="E211" s="254" t="s">
        <v>337</v>
      </c>
      <c r="F211" s="254" t="s">
        <v>338</v>
      </c>
      <c r="G211" s="255"/>
      <c r="H211" s="256">
        <v>0.0</v>
      </c>
      <c r="I211" s="257"/>
      <c r="J211" s="98" t="s">
        <v>213</v>
      </c>
      <c r="K211" s="96" t="s">
        <v>54</v>
      </c>
      <c r="L211" s="280"/>
    </row>
    <row r="212" ht="15.75" customHeight="1">
      <c r="A212" s="251">
        <v>46251.0</v>
      </c>
      <c r="B212" s="252">
        <v>2.7277322E7</v>
      </c>
      <c r="C212" s="252" t="s">
        <v>1290</v>
      </c>
      <c r="D212" s="253" t="s">
        <v>1291</v>
      </c>
      <c r="E212" s="254" t="s">
        <v>362</v>
      </c>
      <c r="F212" s="254" t="s">
        <v>334</v>
      </c>
      <c r="G212" s="255"/>
      <c r="H212" s="256">
        <v>0.0</v>
      </c>
      <c r="I212" s="257"/>
      <c r="J212" s="98" t="s">
        <v>213</v>
      </c>
      <c r="K212" s="96" t="s">
        <v>54</v>
      </c>
      <c r="L212" s="280"/>
    </row>
    <row r="213" ht="15.75" customHeight="1">
      <c r="A213" s="251">
        <v>46250.0</v>
      </c>
      <c r="B213" s="252">
        <v>2.72769E7</v>
      </c>
      <c r="C213" s="252" t="s">
        <v>1292</v>
      </c>
      <c r="D213" s="253" t="s">
        <v>1293</v>
      </c>
      <c r="E213" s="254" t="s">
        <v>337</v>
      </c>
      <c r="F213" s="254" t="s">
        <v>338</v>
      </c>
      <c r="G213" s="255"/>
      <c r="H213" s="256">
        <v>0.0</v>
      </c>
      <c r="I213" s="257"/>
      <c r="J213" s="98" t="s">
        <v>213</v>
      </c>
      <c r="K213" s="96" t="s">
        <v>54</v>
      </c>
      <c r="L213" s="280"/>
    </row>
    <row r="214" ht="15.75" customHeight="1">
      <c r="A214" s="251">
        <v>46250.0</v>
      </c>
      <c r="B214" s="252">
        <v>2.7276548E7</v>
      </c>
      <c r="C214" s="252" t="s">
        <v>1294</v>
      </c>
      <c r="D214" s="253" t="s">
        <v>1295</v>
      </c>
      <c r="E214" s="254" t="s">
        <v>362</v>
      </c>
      <c r="F214" s="254" t="s">
        <v>334</v>
      </c>
      <c r="G214" s="255"/>
      <c r="H214" s="256">
        <v>0.0</v>
      </c>
      <c r="I214" s="257"/>
      <c r="J214" s="98" t="s">
        <v>213</v>
      </c>
      <c r="K214" s="96" t="s">
        <v>54</v>
      </c>
      <c r="L214" s="280"/>
    </row>
    <row r="215" ht="15.75" customHeight="1">
      <c r="A215" s="251">
        <v>46250.0</v>
      </c>
      <c r="B215" s="252">
        <v>2.7276448E7</v>
      </c>
      <c r="C215" s="252" t="s">
        <v>1296</v>
      </c>
      <c r="D215" s="253" t="s">
        <v>1297</v>
      </c>
      <c r="E215" s="254" t="s">
        <v>337</v>
      </c>
      <c r="F215" s="254" t="s">
        <v>338</v>
      </c>
      <c r="G215" s="255"/>
      <c r="H215" s="256">
        <v>0.0</v>
      </c>
      <c r="I215" s="257"/>
      <c r="J215" s="98" t="s">
        <v>213</v>
      </c>
      <c r="K215" s="96" t="s">
        <v>54</v>
      </c>
      <c r="L215" s="280"/>
    </row>
    <row r="216" ht="15.75" customHeight="1">
      <c r="A216" s="251">
        <v>46250.0</v>
      </c>
      <c r="B216" s="252">
        <v>2.7276184E7</v>
      </c>
      <c r="C216" s="252" t="s">
        <v>1298</v>
      </c>
      <c r="D216" s="253" t="s">
        <v>1299</v>
      </c>
      <c r="E216" s="254" t="s">
        <v>337</v>
      </c>
      <c r="F216" s="254" t="s">
        <v>338</v>
      </c>
      <c r="G216" s="255"/>
      <c r="H216" s="256">
        <v>0.0</v>
      </c>
      <c r="I216" s="257"/>
      <c r="J216" s="98" t="s">
        <v>213</v>
      </c>
      <c r="K216" s="96" t="s">
        <v>54</v>
      </c>
      <c r="L216" s="280"/>
    </row>
    <row r="217" ht="15.75" customHeight="1">
      <c r="A217" s="251">
        <v>46250.0</v>
      </c>
      <c r="B217" s="252">
        <v>2.7276058E7</v>
      </c>
      <c r="C217" s="252" t="s">
        <v>1300</v>
      </c>
      <c r="D217" s="253" t="s">
        <v>1301</v>
      </c>
      <c r="E217" s="254" t="s">
        <v>362</v>
      </c>
      <c r="F217" s="254" t="s">
        <v>334</v>
      </c>
      <c r="G217" s="255"/>
      <c r="H217" s="256">
        <v>0.0</v>
      </c>
      <c r="I217" s="257"/>
      <c r="J217" s="98" t="s">
        <v>213</v>
      </c>
      <c r="K217" s="96" t="s">
        <v>54</v>
      </c>
      <c r="L217" s="280"/>
    </row>
    <row r="218" ht="15.75" customHeight="1">
      <c r="A218" s="251">
        <v>46247.0</v>
      </c>
      <c r="B218" s="252">
        <v>2.7250042E7</v>
      </c>
      <c r="C218" s="252" t="s">
        <v>1302</v>
      </c>
      <c r="D218" s="253" t="s">
        <v>1303</v>
      </c>
      <c r="E218" s="254" t="s">
        <v>1304</v>
      </c>
      <c r="F218" s="254" t="s">
        <v>338</v>
      </c>
      <c r="G218" s="255"/>
      <c r="H218" s="256">
        <v>0.0</v>
      </c>
      <c r="I218" s="257"/>
      <c r="J218" s="98" t="s">
        <v>213</v>
      </c>
      <c r="K218" s="96" t="s">
        <v>54</v>
      </c>
      <c r="L218" s="280"/>
    </row>
    <row r="219" ht="15.75" customHeight="1">
      <c r="A219" s="251">
        <v>46247.0</v>
      </c>
      <c r="B219" s="252">
        <v>2.7248364E7</v>
      </c>
      <c r="C219" s="252" t="s">
        <v>1305</v>
      </c>
      <c r="D219" s="253" t="s">
        <v>1306</v>
      </c>
      <c r="E219" s="254" t="s">
        <v>1304</v>
      </c>
      <c r="F219" s="254" t="s">
        <v>338</v>
      </c>
      <c r="G219" s="255"/>
      <c r="H219" s="256">
        <v>0.0</v>
      </c>
      <c r="I219" s="257"/>
      <c r="J219" s="98" t="s">
        <v>213</v>
      </c>
      <c r="K219" s="96" t="s">
        <v>54</v>
      </c>
      <c r="L219" s="280"/>
    </row>
    <row r="220" ht="15.75" customHeight="1">
      <c r="A220" s="251">
        <v>46246.0</v>
      </c>
      <c r="B220" s="252">
        <v>2.7246106E7</v>
      </c>
      <c r="C220" s="252" t="s">
        <v>1307</v>
      </c>
      <c r="D220" s="253" t="s">
        <v>1308</v>
      </c>
      <c r="E220" s="254" t="s">
        <v>1304</v>
      </c>
      <c r="F220" s="254" t="s">
        <v>338</v>
      </c>
      <c r="G220" s="255"/>
      <c r="H220" s="256">
        <v>0.0</v>
      </c>
      <c r="I220" s="257"/>
      <c r="J220" s="98" t="s">
        <v>213</v>
      </c>
      <c r="K220" s="96" t="s">
        <v>54</v>
      </c>
      <c r="L220" s="280"/>
    </row>
    <row r="221" ht="15.75" customHeight="1">
      <c r="A221" s="251">
        <v>46246.0</v>
      </c>
      <c r="B221" s="252">
        <v>2.7244636E7</v>
      </c>
      <c r="C221" s="252" t="s">
        <v>1316</v>
      </c>
      <c r="D221" s="253" t="s">
        <v>1319</v>
      </c>
      <c r="E221" s="254" t="s">
        <v>1304</v>
      </c>
      <c r="F221" s="254" t="s">
        <v>338</v>
      </c>
      <c r="G221" s="255"/>
      <c r="H221" s="256">
        <v>0.0</v>
      </c>
      <c r="I221" s="257"/>
      <c r="J221" s="98" t="s">
        <v>213</v>
      </c>
      <c r="K221" s="96" t="s">
        <v>54</v>
      </c>
      <c r="L221" s="280"/>
    </row>
    <row r="222" ht="15.75" customHeight="1">
      <c r="A222" s="251">
        <v>46246.0</v>
      </c>
      <c r="B222" s="252">
        <v>2.7244316E7</v>
      </c>
      <c r="C222" s="252" t="s">
        <v>1333</v>
      </c>
      <c r="D222" s="253" t="s">
        <v>1334</v>
      </c>
      <c r="E222" s="254" t="s">
        <v>1304</v>
      </c>
      <c r="F222" s="254" t="s">
        <v>410</v>
      </c>
      <c r="G222" s="255"/>
      <c r="H222" s="256">
        <v>0.0</v>
      </c>
      <c r="I222" s="252" t="s">
        <v>1342</v>
      </c>
      <c r="J222" s="98" t="s">
        <v>213</v>
      </c>
      <c r="K222" s="96" t="s">
        <v>54</v>
      </c>
      <c r="L222" s="280"/>
    </row>
    <row r="223" ht="15.75" customHeight="1">
      <c r="A223" s="251">
        <v>46246.0</v>
      </c>
      <c r="B223" s="252">
        <v>2.7243674E7</v>
      </c>
      <c r="C223" s="252" t="s">
        <v>1352</v>
      </c>
      <c r="D223" s="253" t="s">
        <v>1354</v>
      </c>
      <c r="E223" s="254" t="s">
        <v>1304</v>
      </c>
      <c r="F223" s="254" t="s">
        <v>338</v>
      </c>
      <c r="G223" s="255"/>
      <c r="H223" s="256">
        <v>0.0</v>
      </c>
      <c r="I223" s="257"/>
      <c r="J223" s="98" t="s">
        <v>213</v>
      </c>
      <c r="K223" s="96" t="s">
        <v>54</v>
      </c>
      <c r="L223" s="280"/>
    </row>
    <row r="224" ht="15.75" customHeight="1">
      <c r="A224" s="251">
        <v>46246.0</v>
      </c>
      <c r="B224" s="252">
        <v>2.7243258E7</v>
      </c>
      <c r="C224" s="252" t="s">
        <v>1375</v>
      </c>
      <c r="D224" s="253" t="s">
        <v>1378</v>
      </c>
      <c r="E224" s="254" t="s">
        <v>1304</v>
      </c>
      <c r="F224" s="254" t="s">
        <v>410</v>
      </c>
      <c r="G224" s="255"/>
      <c r="H224" s="256">
        <v>0.0</v>
      </c>
      <c r="I224" s="252" t="s">
        <v>1391</v>
      </c>
      <c r="J224" s="98" t="s">
        <v>213</v>
      </c>
      <c r="K224" s="96" t="s">
        <v>54</v>
      </c>
      <c r="L224" s="280"/>
    </row>
    <row r="225" ht="15.75" customHeight="1">
      <c r="A225" s="251">
        <v>46246.0</v>
      </c>
      <c r="B225" s="252">
        <v>2.723883E7</v>
      </c>
      <c r="C225" s="252" t="s">
        <v>1403</v>
      </c>
      <c r="D225" s="253" t="s">
        <v>1405</v>
      </c>
      <c r="E225" s="254" t="s">
        <v>337</v>
      </c>
      <c r="F225" s="254" t="s">
        <v>434</v>
      </c>
      <c r="G225" s="255"/>
      <c r="H225" s="256">
        <v>0.0</v>
      </c>
      <c r="I225" s="257"/>
      <c r="J225" s="98" t="s">
        <v>213</v>
      </c>
      <c r="K225" s="96" t="s">
        <v>54</v>
      </c>
      <c r="L225" s="280"/>
    </row>
    <row r="226" ht="15.75" customHeight="1">
      <c r="A226" s="251">
        <v>46246.0</v>
      </c>
      <c r="B226" s="252">
        <v>2.72386E7</v>
      </c>
      <c r="C226" s="252" t="s">
        <v>1423</v>
      </c>
      <c r="D226" s="253" t="s">
        <v>1425</v>
      </c>
      <c r="E226" s="254" t="s">
        <v>337</v>
      </c>
      <c r="F226" s="254" t="s">
        <v>338</v>
      </c>
      <c r="G226" s="255"/>
      <c r="H226" s="256">
        <v>0.0</v>
      </c>
      <c r="I226" s="257"/>
      <c r="J226" s="98" t="s">
        <v>213</v>
      </c>
      <c r="K226" s="96" t="s">
        <v>54</v>
      </c>
      <c r="L226" s="280"/>
    </row>
    <row r="227" ht="15.75" customHeight="1">
      <c r="A227" s="251">
        <v>46245.0</v>
      </c>
      <c r="B227" s="252">
        <v>2.72384E7</v>
      </c>
      <c r="C227" s="252" t="s">
        <v>1445</v>
      </c>
      <c r="D227" s="253" t="s">
        <v>1447</v>
      </c>
      <c r="E227" s="254" t="s">
        <v>337</v>
      </c>
      <c r="F227" s="254" t="s">
        <v>338</v>
      </c>
      <c r="G227" s="255"/>
      <c r="H227" s="256">
        <v>0.0</v>
      </c>
      <c r="I227" s="257"/>
      <c r="J227" s="98" t="s">
        <v>213</v>
      </c>
      <c r="K227" s="96" t="s">
        <v>54</v>
      </c>
      <c r="L227" s="280"/>
    </row>
    <row r="228" ht="15.75" customHeight="1">
      <c r="A228" s="251">
        <v>46245.0</v>
      </c>
      <c r="B228" s="252">
        <v>2.7238054E7</v>
      </c>
      <c r="C228" s="252" t="s">
        <v>1479</v>
      </c>
      <c r="D228" s="253" t="s">
        <v>1481</v>
      </c>
      <c r="E228" s="254" t="s">
        <v>337</v>
      </c>
      <c r="F228" s="254" t="s">
        <v>338</v>
      </c>
      <c r="G228" s="255"/>
      <c r="H228" s="256">
        <v>0.0</v>
      </c>
      <c r="I228" s="257"/>
      <c r="J228" s="98" t="s">
        <v>213</v>
      </c>
      <c r="K228" s="96" t="s">
        <v>54</v>
      </c>
      <c r="L228" s="280"/>
    </row>
    <row r="229" ht="15.75" customHeight="1">
      <c r="A229" s="251">
        <v>46245.0</v>
      </c>
      <c r="B229" s="252">
        <v>2.7236906E7</v>
      </c>
      <c r="C229" s="252" t="s">
        <v>1023</v>
      </c>
      <c r="D229" s="253" t="s">
        <v>1024</v>
      </c>
      <c r="E229" s="254" t="s">
        <v>337</v>
      </c>
      <c r="F229" s="254" t="s">
        <v>338</v>
      </c>
      <c r="G229" s="255"/>
      <c r="H229" s="256">
        <v>0.0</v>
      </c>
      <c r="I229" s="257"/>
      <c r="J229" s="98" t="s">
        <v>213</v>
      </c>
      <c r="K229" s="96" t="s">
        <v>54</v>
      </c>
      <c r="L229" s="280"/>
    </row>
    <row r="230" ht="15.75" customHeight="1">
      <c r="A230" s="251">
        <v>46245.0</v>
      </c>
      <c r="B230" s="252">
        <v>2.7236656E7</v>
      </c>
      <c r="C230" s="252" t="s">
        <v>1518</v>
      </c>
      <c r="D230" s="253" t="s">
        <v>1519</v>
      </c>
      <c r="E230" s="254" t="s">
        <v>337</v>
      </c>
      <c r="F230" s="254" t="s">
        <v>338</v>
      </c>
      <c r="G230" s="255"/>
      <c r="H230" s="256">
        <v>0.0</v>
      </c>
      <c r="I230" s="257"/>
      <c r="J230" s="98" t="s">
        <v>213</v>
      </c>
      <c r="K230" s="96" t="s">
        <v>54</v>
      </c>
      <c r="L230" s="280"/>
    </row>
    <row r="231" ht="15.75" customHeight="1">
      <c r="A231" s="251">
        <v>46245.0</v>
      </c>
      <c r="B231" s="252">
        <v>2.7235072E7</v>
      </c>
      <c r="C231" s="252" t="s">
        <v>1628</v>
      </c>
      <c r="D231" s="253" t="s">
        <v>1636</v>
      </c>
      <c r="E231" s="254" t="s">
        <v>337</v>
      </c>
      <c r="F231" s="254" t="s">
        <v>338</v>
      </c>
      <c r="G231" s="255"/>
      <c r="H231" s="256">
        <v>0.0</v>
      </c>
      <c r="I231" s="257"/>
      <c r="J231" s="98" t="s">
        <v>213</v>
      </c>
      <c r="K231" s="96" t="s">
        <v>54</v>
      </c>
      <c r="L231" s="280"/>
    </row>
    <row r="232" ht="15.75" customHeight="1">
      <c r="A232" s="251">
        <v>46245.0</v>
      </c>
      <c r="B232" s="252">
        <v>2.7231734E7</v>
      </c>
      <c r="C232" s="252" t="s">
        <v>1685</v>
      </c>
      <c r="D232" s="253" t="s">
        <v>1690</v>
      </c>
      <c r="E232" s="254" t="s">
        <v>337</v>
      </c>
      <c r="F232" s="254" t="s">
        <v>338</v>
      </c>
      <c r="G232" s="255"/>
      <c r="H232" s="256">
        <v>0.0</v>
      </c>
      <c r="I232" s="257"/>
      <c r="J232" s="98" t="s">
        <v>213</v>
      </c>
      <c r="K232" s="96" t="s">
        <v>54</v>
      </c>
      <c r="L232" s="280"/>
    </row>
    <row r="233" ht="15.75" customHeight="1">
      <c r="A233" s="251">
        <v>46245.0</v>
      </c>
      <c r="B233" s="252">
        <v>2.7230806E7</v>
      </c>
      <c r="C233" s="252" t="s">
        <v>1016</v>
      </c>
      <c r="D233" s="253" t="s">
        <v>1017</v>
      </c>
      <c r="E233" s="254" t="s">
        <v>1304</v>
      </c>
      <c r="F233" s="254" t="s">
        <v>338</v>
      </c>
      <c r="G233" s="255"/>
      <c r="H233" s="256">
        <v>0.0</v>
      </c>
      <c r="I233" s="257"/>
      <c r="J233" s="98" t="s">
        <v>213</v>
      </c>
      <c r="K233" s="96" t="s">
        <v>54</v>
      </c>
      <c r="L233" s="280"/>
    </row>
    <row r="234" ht="15.75" customHeight="1">
      <c r="A234" s="251">
        <v>46245.0</v>
      </c>
      <c r="B234" s="252">
        <v>2.723001E7</v>
      </c>
      <c r="C234" s="252" t="s">
        <v>1733</v>
      </c>
      <c r="D234" s="253" t="s">
        <v>1735</v>
      </c>
      <c r="E234" s="254" t="s">
        <v>337</v>
      </c>
      <c r="F234" s="254" t="s">
        <v>338</v>
      </c>
      <c r="G234" s="255"/>
      <c r="H234" s="256">
        <v>0.0</v>
      </c>
      <c r="I234" s="257"/>
      <c r="J234" s="98" t="s">
        <v>213</v>
      </c>
      <c r="K234" s="96" t="s">
        <v>54</v>
      </c>
      <c r="L234" s="280"/>
    </row>
    <row r="235" ht="15.75" customHeight="1">
      <c r="A235" s="251">
        <v>46245.0</v>
      </c>
      <c r="B235" s="252">
        <v>2.7229254E7</v>
      </c>
      <c r="C235" s="252" t="s">
        <v>1755</v>
      </c>
      <c r="D235" s="253" t="s">
        <v>1763</v>
      </c>
      <c r="E235" s="254" t="s">
        <v>337</v>
      </c>
      <c r="F235" s="254" t="s">
        <v>338</v>
      </c>
      <c r="G235" s="255"/>
      <c r="H235" s="256">
        <v>0.0</v>
      </c>
      <c r="I235" s="257"/>
      <c r="J235" s="98" t="s">
        <v>213</v>
      </c>
      <c r="K235" s="96" t="s">
        <v>54</v>
      </c>
      <c r="L235" s="280"/>
    </row>
    <row r="236" ht="15.75" customHeight="1">
      <c r="A236" s="251">
        <v>46244.0</v>
      </c>
      <c r="B236" s="252">
        <v>2.7225994E7</v>
      </c>
      <c r="C236" s="252" t="s">
        <v>1808</v>
      </c>
      <c r="D236" s="253" t="s">
        <v>1813</v>
      </c>
      <c r="E236" s="254" t="s">
        <v>337</v>
      </c>
      <c r="F236" s="254" t="s">
        <v>434</v>
      </c>
      <c r="G236" s="255"/>
      <c r="H236" s="256">
        <v>0.0</v>
      </c>
      <c r="I236" s="257"/>
      <c r="J236" s="98" t="s">
        <v>213</v>
      </c>
      <c r="K236" s="96" t="s">
        <v>54</v>
      </c>
      <c r="L236" s="280"/>
    </row>
    <row r="237" ht="15.75" customHeight="1">
      <c r="A237" s="251">
        <v>46244.0</v>
      </c>
      <c r="B237" s="252">
        <v>2.7223528E7</v>
      </c>
      <c r="C237" s="252" t="s">
        <v>1841</v>
      </c>
      <c r="D237" s="253" t="s">
        <v>1847</v>
      </c>
      <c r="E237" s="254" t="s">
        <v>337</v>
      </c>
      <c r="F237" s="254" t="s">
        <v>434</v>
      </c>
      <c r="G237" s="255"/>
      <c r="H237" s="256">
        <v>0.0</v>
      </c>
      <c r="I237" s="257"/>
      <c r="J237" s="98" t="s">
        <v>213</v>
      </c>
      <c r="K237" s="96" t="s">
        <v>54</v>
      </c>
      <c r="L237" s="280"/>
    </row>
    <row r="238" ht="15.75" customHeight="1">
      <c r="A238" s="251">
        <v>46244.0</v>
      </c>
      <c r="B238" s="252">
        <v>2.7222822E7</v>
      </c>
      <c r="C238" s="252" t="s">
        <v>1875</v>
      </c>
      <c r="D238" s="253" t="s">
        <v>1880</v>
      </c>
      <c r="E238" s="254" t="s">
        <v>1304</v>
      </c>
      <c r="F238" s="254" t="s">
        <v>338</v>
      </c>
      <c r="G238" s="255"/>
      <c r="H238" s="256">
        <v>0.0</v>
      </c>
      <c r="I238" s="257"/>
      <c r="J238" s="98" t="s">
        <v>213</v>
      </c>
      <c r="K238" s="96" t="s">
        <v>54</v>
      </c>
      <c r="L238" s="280"/>
    </row>
    <row r="239" ht="15.75" customHeight="1">
      <c r="A239" s="251">
        <v>46244.0</v>
      </c>
      <c r="B239" s="252">
        <v>2.7220544E7</v>
      </c>
      <c r="C239" s="252" t="s">
        <v>1906</v>
      </c>
      <c r="D239" s="253" t="s">
        <v>1909</v>
      </c>
      <c r="E239" s="254" t="s">
        <v>337</v>
      </c>
      <c r="F239" s="254" t="s">
        <v>338</v>
      </c>
      <c r="G239" s="255"/>
      <c r="H239" s="256">
        <v>0.0</v>
      </c>
      <c r="I239" s="257"/>
      <c r="J239" s="98" t="s">
        <v>213</v>
      </c>
      <c r="K239" s="96" t="s">
        <v>54</v>
      </c>
      <c r="L239" s="280"/>
    </row>
    <row r="240" ht="15.75" customHeight="1">
      <c r="A240" s="251">
        <v>46243.0</v>
      </c>
      <c r="B240" s="252">
        <v>2.7219058E7</v>
      </c>
      <c r="C240" s="252" t="s">
        <v>1925</v>
      </c>
      <c r="D240" s="253" t="s">
        <v>1927</v>
      </c>
      <c r="E240" s="254" t="s">
        <v>337</v>
      </c>
      <c r="F240" s="254" t="s">
        <v>338</v>
      </c>
      <c r="G240" s="255"/>
      <c r="H240" s="256">
        <v>0.0</v>
      </c>
      <c r="I240" s="257"/>
      <c r="J240" s="98" t="s">
        <v>213</v>
      </c>
      <c r="K240" s="96" t="s">
        <v>54</v>
      </c>
      <c r="L240" s="280"/>
    </row>
    <row r="241" ht="15.75" customHeight="1">
      <c r="A241" s="251">
        <v>46243.0</v>
      </c>
      <c r="B241" s="252">
        <v>2.7219032E7</v>
      </c>
      <c r="C241" s="252" t="s">
        <v>1945</v>
      </c>
      <c r="D241" s="253" t="s">
        <v>1947</v>
      </c>
      <c r="E241" s="254" t="s">
        <v>337</v>
      </c>
      <c r="F241" s="254" t="s">
        <v>338</v>
      </c>
      <c r="G241" s="255"/>
      <c r="H241" s="256">
        <v>0.0</v>
      </c>
      <c r="I241" s="257"/>
      <c r="J241" s="98" t="s">
        <v>213</v>
      </c>
      <c r="K241" s="96" t="s">
        <v>54</v>
      </c>
      <c r="L241" s="280"/>
    </row>
    <row r="242" ht="15.75" customHeight="1">
      <c r="A242" s="251">
        <v>46243.0</v>
      </c>
      <c r="B242" s="252">
        <v>2.7218722E7</v>
      </c>
      <c r="C242" s="252" t="s">
        <v>1960</v>
      </c>
      <c r="D242" s="253" t="s">
        <v>1961</v>
      </c>
      <c r="E242" s="254" t="s">
        <v>337</v>
      </c>
      <c r="F242" s="254" t="s">
        <v>338</v>
      </c>
      <c r="G242" s="255"/>
      <c r="H242" s="256">
        <v>0.0</v>
      </c>
      <c r="I242" s="257"/>
      <c r="J242" s="98" t="s">
        <v>213</v>
      </c>
      <c r="K242" s="96" t="s">
        <v>54</v>
      </c>
      <c r="L242" s="280"/>
    </row>
    <row r="243" ht="15.75" customHeight="1">
      <c r="A243" s="251">
        <v>46243.0</v>
      </c>
      <c r="B243" s="252">
        <v>2.7218366E7</v>
      </c>
      <c r="C243" s="252" t="s">
        <v>1978</v>
      </c>
      <c r="D243" s="253" t="s">
        <v>1979</v>
      </c>
      <c r="E243" s="254" t="s">
        <v>337</v>
      </c>
      <c r="F243" s="254" t="s">
        <v>338</v>
      </c>
      <c r="G243" s="255"/>
      <c r="H243" s="256">
        <v>0.0</v>
      </c>
      <c r="I243" s="257"/>
      <c r="J243" s="98" t="s">
        <v>213</v>
      </c>
      <c r="K243" s="96" t="s">
        <v>54</v>
      </c>
      <c r="L243" s="280"/>
    </row>
    <row r="244" ht="15.75" customHeight="1">
      <c r="A244" s="251">
        <v>46243.0</v>
      </c>
      <c r="B244" s="252">
        <v>2.721831E7</v>
      </c>
      <c r="C244" s="252" t="s">
        <v>1988</v>
      </c>
      <c r="D244" s="253" t="s">
        <v>1990</v>
      </c>
      <c r="E244" s="254" t="s">
        <v>337</v>
      </c>
      <c r="F244" s="254" t="s">
        <v>434</v>
      </c>
      <c r="G244" s="255"/>
      <c r="H244" s="256">
        <v>0.0</v>
      </c>
      <c r="I244" s="257"/>
      <c r="J244" s="98" t="s">
        <v>213</v>
      </c>
      <c r="K244" s="96" t="s">
        <v>54</v>
      </c>
      <c r="L244" s="280"/>
    </row>
    <row r="245" ht="15.75" customHeight="1">
      <c r="A245" s="251">
        <v>46243.0</v>
      </c>
      <c r="B245" s="252">
        <v>2.7217888E7</v>
      </c>
      <c r="C245" s="252" t="s">
        <v>1999</v>
      </c>
      <c r="D245" s="253" t="s">
        <v>2001</v>
      </c>
      <c r="E245" s="254" t="s">
        <v>337</v>
      </c>
      <c r="F245" s="254" t="s">
        <v>338</v>
      </c>
      <c r="G245" s="255"/>
      <c r="H245" s="256">
        <v>0.0</v>
      </c>
      <c r="I245" s="257"/>
      <c r="J245" s="98" t="s">
        <v>213</v>
      </c>
      <c r="K245" s="96" t="s">
        <v>54</v>
      </c>
      <c r="L245" s="280"/>
    </row>
    <row r="246" ht="15.75" customHeight="1">
      <c r="A246" s="251">
        <v>46243.0</v>
      </c>
      <c r="B246" s="252">
        <v>2.7217608E7</v>
      </c>
      <c r="C246" s="252" t="s">
        <v>2013</v>
      </c>
      <c r="D246" s="253" t="s">
        <v>2014</v>
      </c>
      <c r="E246" s="254" t="s">
        <v>1304</v>
      </c>
      <c r="F246" s="254" t="s">
        <v>338</v>
      </c>
      <c r="G246" s="255"/>
      <c r="H246" s="256">
        <v>0.0</v>
      </c>
      <c r="I246" s="257"/>
      <c r="J246" s="98" t="s">
        <v>213</v>
      </c>
      <c r="K246" s="96" t="s">
        <v>54</v>
      </c>
      <c r="L246" s="280"/>
    </row>
    <row r="247" ht="15.75" customHeight="1">
      <c r="A247" s="251">
        <v>46243.0</v>
      </c>
      <c r="B247" s="252">
        <v>2.7216956E7</v>
      </c>
      <c r="C247" s="252" t="s">
        <v>2015</v>
      </c>
      <c r="D247" s="253" t="s">
        <v>2016</v>
      </c>
      <c r="E247" s="254" t="s">
        <v>337</v>
      </c>
      <c r="F247" s="254" t="s">
        <v>338</v>
      </c>
      <c r="G247" s="255"/>
      <c r="H247" s="256">
        <v>0.0</v>
      </c>
      <c r="I247" s="257"/>
      <c r="J247" s="98" t="s">
        <v>213</v>
      </c>
      <c r="K247" s="96" t="s">
        <v>54</v>
      </c>
      <c r="L247" s="280"/>
    </row>
    <row r="248" ht="15.75" customHeight="1">
      <c r="A248" s="251">
        <v>46243.0</v>
      </c>
      <c r="B248" s="252">
        <v>2.7216878E7</v>
      </c>
      <c r="C248" s="252" t="s">
        <v>2017</v>
      </c>
      <c r="D248" s="253" t="s">
        <v>2018</v>
      </c>
      <c r="E248" s="254" t="s">
        <v>337</v>
      </c>
      <c r="F248" s="254" t="s">
        <v>338</v>
      </c>
      <c r="G248" s="255"/>
      <c r="H248" s="256">
        <v>0.0</v>
      </c>
      <c r="I248" s="257"/>
      <c r="J248" s="98" t="s">
        <v>213</v>
      </c>
      <c r="K248" s="96" t="s">
        <v>54</v>
      </c>
      <c r="L248" s="280"/>
    </row>
    <row r="249" ht="15.75" customHeight="1">
      <c r="A249" s="251">
        <v>46243.0</v>
      </c>
      <c r="B249" s="252">
        <v>2.7216824E7</v>
      </c>
      <c r="C249" s="252" t="s">
        <v>2019</v>
      </c>
      <c r="D249" s="253" t="s">
        <v>2020</v>
      </c>
      <c r="E249" s="254" t="s">
        <v>337</v>
      </c>
      <c r="F249" s="254" t="s">
        <v>338</v>
      </c>
      <c r="G249" s="255"/>
      <c r="H249" s="256">
        <v>0.0</v>
      </c>
      <c r="I249" s="257"/>
      <c r="J249" s="98" t="s">
        <v>213</v>
      </c>
      <c r="K249" s="96" t="s">
        <v>54</v>
      </c>
      <c r="L249" s="280"/>
    </row>
    <row r="250" ht="15.75" customHeight="1">
      <c r="A250" s="251">
        <v>46243.0</v>
      </c>
      <c r="B250" s="252">
        <v>2.7216206E7</v>
      </c>
      <c r="C250" s="252" t="s">
        <v>2021</v>
      </c>
      <c r="D250" s="253" t="s">
        <v>2022</v>
      </c>
      <c r="E250" s="254" t="s">
        <v>1304</v>
      </c>
      <c r="F250" s="254" t="s">
        <v>338</v>
      </c>
      <c r="G250" s="255"/>
      <c r="H250" s="256">
        <v>0.0</v>
      </c>
      <c r="I250" s="257"/>
      <c r="J250" s="98" t="s">
        <v>213</v>
      </c>
      <c r="K250" s="96" t="s">
        <v>54</v>
      </c>
      <c r="L250" s="280"/>
    </row>
    <row r="251" ht="15.75" customHeight="1">
      <c r="A251" s="251">
        <v>46243.0</v>
      </c>
      <c r="B251" s="252">
        <v>2.7214706E7</v>
      </c>
      <c r="C251" s="252" t="s">
        <v>2023</v>
      </c>
      <c r="D251" s="253" t="s">
        <v>2024</v>
      </c>
      <c r="E251" s="254" t="s">
        <v>337</v>
      </c>
      <c r="F251" s="254" t="s">
        <v>1011</v>
      </c>
      <c r="G251" s="256" t="s">
        <v>2025</v>
      </c>
      <c r="H251" s="256">
        <v>130000.0</v>
      </c>
      <c r="I251" s="257"/>
      <c r="J251" s="98" t="s">
        <v>213</v>
      </c>
      <c r="K251" s="96" t="s">
        <v>54</v>
      </c>
      <c r="L251" s="280"/>
    </row>
    <row r="252" ht="15.75" customHeight="1">
      <c r="A252" s="251">
        <v>46243.0</v>
      </c>
      <c r="B252" s="252">
        <v>2.7214638E7</v>
      </c>
      <c r="C252" s="252" t="s">
        <v>2026</v>
      </c>
      <c r="D252" s="253" t="s">
        <v>2027</v>
      </c>
      <c r="E252" s="254" t="s">
        <v>337</v>
      </c>
      <c r="F252" s="254" t="s">
        <v>338</v>
      </c>
      <c r="G252" s="255"/>
      <c r="H252" s="256">
        <v>0.0</v>
      </c>
      <c r="I252" s="257"/>
      <c r="J252" s="98" t="s">
        <v>213</v>
      </c>
      <c r="K252" s="96" t="s">
        <v>54</v>
      </c>
      <c r="L252" s="280"/>
    </row>
    <row r="253" ht="15.75" customHeight="1">
      <c r="A253" s="251">
        <v>46243.0</v>
      </c>
      <c r="B253" s="252">
        <v>2.7213708E7</v>
      </c>
      <c r="C253" s="252" t="s">
        <v>2028</v>
      </c>
      <c r="D253" s="253" t="s">
        <v>2029</v>
      </c>
      <c r="E253" s="254" t="s">
        <v>126</v>
      </c>
      <c r="F253" s="254" t="s">
        <v>434</v>
      </c>
      <c r="G253" s="255"/>
      <c r="H253" s="256">
        <v>0.0</v>
      </c>
      <c r="I253" s="257"/>
      <c r="J253" s="98" t="s">
        <v>213</v>
      </c>
      <c r="K253" s="96" t="s">
        <v>54</v>
      </c>
      <c r="L253" s="280"/>
    </row>
    <row r="254" ht="15.75" customHeight="1">
      <c r="A254" s="251">
        <v>46243.0</v>
      </c>
      <c r="B254" s="252">
        <v>2.7213692E7</v>
      </c>
      <c r="C254" s="252" t="s">
        <v>2030</v>
      </c>
      <c r="D254" s="253" t="s">
        <v>2031</v>
      </c>
      <c r="E254" s="254" t="s">
        <v>337</v>
      </c>
      <c r="F254" s="254" t="s">
        <v>338</v>
      </c>
      <c r="G254" s="255"/>
      <c r="H254" s="256">
        <v>0.0</v>
      </c>
      <c r="I254" s="257"/>
      <c r="J254" s="98" t="s">
        <v>213</v>
      </c>
      <c r="K254" s="96" t="s">
        <v>54</v>
      </c>
      <c r="L254" s="280"/>
    </row>
    <row r="255" ht="15.75" customHeight="1">
      <c r="A255" s="251">
        <v>46243.0</v>
      </c>
      <c r="B255" s="252">
        <v>2.7212802E7</v>
      </c>
      <c r="C255" s="252" t="s">
        <v>2032</v>
      </c>
      <c r="D255" s="253" t="s">
        <v>2033</v>
      </c>
      <c r="E255" s="254" t="s">
        <v>362</v>
      </c>
      <c r="F255" s="254" t="s">
        <v>334</v>
      </c>
      <c r="G255" s="255"/>
      <c r="H255" s="256">
        <v>0.0</v>
      </c>
      <c r="I255" s="257"/>
      <c r="J255" s="98" t="s">
        <v>213</v>
      </c>
      <c r="K255" s="96" t="s">
        <v>54</v>
      </c>
      <c r="L255" s="280"/>
    </row>
    <row r="256" ht="15.75" customHeight="1">
      <c r="A256" s="251">
        <v>46242.0</v>
      </c>
      <c r="B256" s="252">
        <v>2.7212154E7</v>
      </c>
      <c r="C256" s="252" t="s">
        <v>2034</v>
      </c>
      <c r="D256" s="253" t="s">
        <v>2035</v>
      </c>
      <c r="E256" s="254" t="s">
        <v>362</v>
      </c>
      <c r="F256" s="254" t="s">
        <v>334</v>
      </c>
      <c r="G256" s="255"/>
      <c r="H256" s="256">
        <v>0.0</v>
      </c>
      <c r="I256" s="257"/>
      <c r="J256" s="98" t="s">
        <v>213</v>
      </c>
      <c r="K256" s="96" t="s">
        <v>54</v>
      </c>
      <c r="L256" s="280"/>
    </row>
    <row r="257" ht="15.75" customHeight="1">
      <c r="A257" s="251">
        <v>46242.0</v>
      </c>
      <c r="B257" s="252">
        <v>2.7212066E7</v>
      </c>
      <c r="C257" s="252" t="s">
        <v>2036</v>
      </c>
      <c r="D257" s="253" t="s">
        <v>2037</v>
      </c>
      <c r="E257" s="254" t="s">
        <v>362</v>
      </c>
      <c r="F257" s="254" t="s">
        <v>334</v>
      </c>
      <c r="G257" s="255"/>
      <c r="H257" s="256">
        <v>0.0</v>
      </c>
      <c r="I257" s="257"/>
      <c r="J257" s="98" t="s">
        <v>213</v>
      </c>
      <c r="K257" s="96" t="s">
        <v>54</v>
      </c>
      <c r="L257" s="280"/>
    </row>
    <row r="258" ht="15.75" customHeight="1">
      <c r="A258" s="251">
        <v>46242.0</v>
      </c>
      <c r="B258" s="252">
        <v>2.721189E7</v>
      </c>
      <c r="C258" s="252" t="s">
        <v>413</v>
      </c>
      <c r="D258" s="253" t="s">
        <v>2038</v>
      </c>
      <c r="E258" s="254" t="s">
        <v>362</v>
      </c>
      <c r="F258" s="254" t="s">
        <v>334</v>
      </c>
      <c r="G258" s="255"/>
      <c r="H258" s="256">
        <v>0.0</v>
      </c>
      <c r="I258" s="257"/>
      <c r="J258" s="98" t="s">
        <v>213</v>
      </c>
      <c r="K258" s="96" t="s">
        <v>54</v>
      </c>
      <c r="L258" s="280"/>
    </row>
    <row r="259" ht="15.75" customHeight="1">
      <c r="A259" s="251">
        <v>46242.0</v>
      </c>
      <c r="B259" s="252">
        <v>2.7211858E7</v>
      </c>
      <c r="C259" s="252" t="s">
        <v>2039</v>
      </c>
      <c r="D259" s="253" t="s">
        <v>2040</v>
      </c>
      <c r="E259" s="254" t="s">
        <v>1304</v>
      </c>
      <c r="F259" s="254" t="s">
        <v>338</v>
      </c>
      <c r="G259" s="255"/>
      <c r="H259" s="256">
        <v>0.0</v>
      </c>
      <c r="I259" s="257"/>
      <c r="J259" s="98" t="s">
        <v>213</v>
      </c>
      <c r="K259" s="96" t="s">
        <v>54</v>
      </c>
      <c r="L259" s="280"/>
    </row>
    <row r="260" ht="15.75" customHeight="1">
      <c r="A260" s="251">
        <v>46242.0</v>
      </c>
      <c r="B260" s="252">
        <v>2.7211214E7</v>
      </c>
      <c r="C260" s="252" t="s">
        <v>2041</v>
      </c>
      <c r="D260" s="253" t="s">
        <v>2042</v>
      </c>
      <c r="E260" s="254" t="s">
        <v>362</v>
      </c>
      <c r="F260" s="254" t="s">
        <v>334</v>
      </c>
      <c r="G260" s="255"/>
      <c r="H260" s="256">
        <v>0.0</v>
      </c>
      <c r="I260" s="257"/>
      <c r="J260" s="98" t="s">
        <v>213</v>
      </c>
      <c r="K260" s="96" t="s">
        <v>54</v>
      </c>
      <c r="L260" s="280"/>
    </row>
    <row r="261" ht="15.75" customHeight="1">
      <c r="A261" s="251">
        <v>46242.0</v>
      </c>
      <c r="B261" s="252">
        <v>2.7211044E7</v>
      </c>
      <c r="C261" s="252" t="s">
        <v>2043</v>
      </c>
      <c r="D261" s="253" t="s">
        <v>2044</v>
      </c>
      <c r="E261" s="254" t="s">
        <v>337</v>
      </c>
      <c r="F261" s="254" t="s">
        <v>338</v>
      </c>
      <c r="G261" s="255"/>
      <c r="H261" s="256">
        <v>0.0</v>
      </c>
      <c r="I261" s="257"/>
      <c r="J261" s="98" t="s">
        <v>213</v>
      </c>
      <c r="K261" s="96" t="s">
        <v>54</v>
      </c>
      <c r="L261" s="280"/>
    </row>
    <row r="262" ht="15.75" customHeight="1">
      <c r="A262" s="251">
        <v>46242.0</v>
      </c>
      <c r="B262" s="252">
        <v>2.7209868E7</v>
      </c>
      <c r="C262" s="252" t="s">
        <v>2045</v>
      </c>
      <c r="D262" s="253" t="s">
        <v>2046</v>
      </c>
      <c r="E262" s="254" t="s">
        <v>362</v>
      </c>
      <c r="F262" s="254" t="s">
        <v>334</v>
      </c>
      <c r="G262" s="255"/>
      <c r="H262" s="256">
        <v>0.0</v>
      </c>
      <c r="I262" s="257"/>
      <c r="J262" s="98" t="s">
        <v>213</v>
      </c>
      <c r="K262" s="96" t="s">
        <v>54</v>
      </c>
      <c r="L262" s="280"/>
    </row>
    <row r="263" ht="15.75" customHeight="1">
      <c r="A263" s="251">
        <v>46242.0</v>
      </c>
      <c r="B263" s="252">
        <v>2.7209708E7</v>
      </c>
      <c r="C263" s="252" t="s">
        <v>2047</v>
      </c>
      <c r="D263" s="253" t="s">
        <v>2048</v>
      </c>
      <c r="E263" s="254" t="s">
        <v>337</v>
      </c>
      <c r="F263" s="254" t="s">
        <v>338</v>
      </c>
      <c r="G263" s="255"/>
      <c r="H263" s="256">
        <v>0.0</v>
      </c>
      <c r="I263" s="257"/>
      <c r="J263" s="98" t="s">
        <v>213</v>
      </c>
      <c r="K263" s="96" t="s">
        <v>54</v>
      </c>
      <c r="L263" s="280"/>
    </row>
    <row r="264" ht="15.75" customHeight="1">
      <c r="A264" s="251">
        <v>46242.0</v>
      </c>
      <c r="B264" s="252">
        <v>2.720905E7</v>
      </c>
      <c r="C264" s="252" t="s">
        <v>2049</v>
      </c>
      <c r="D264" s="253" t="s">
        <v>1295</v>
      </c>
      <c r="E264" s="254" t="s">
        <v>362</v>
      </c>
      <c r="F264" s="254" t="s">
        <v>334</v>
      </c>
      <c r="G264" s="255"/>
      <c r="H264" s="256">
        <v>0.0</v>
      </c>
      <c r="I264" s="257"/>
      <c r="J264" s="98" t="s">
        <v>213</v>
      </c>
      <c r="K264" s="96" t="s">
        <v>54</v>
      </c>
      <c r="L264" s="280"/>
    </row>
    <row r="265" ht="15.75" customHeight="1">
      <c r="A265" s="251">
        <v>46242.0</v>
      </c>
      <c r="B265" s="252">
        <v>2.7208856E7</v>
      </c>
      <c r="C265" s="252" t="s">
        <v>2050</v>
      </c>
      <c r="D265" s="253" t="s">
        <v>2051</v>
      </c>
      <c r="E265" s="254" t="s">
        <v>362</v>
      </c>
      <c r="F265" s="254" t="s">
        <v>334</v>
      </c>
      <c r="G265" s="255"/>
      <c r="H265" s="256">
        <v>0.0</v>
      </c>
      <c r="I265" s="257"/>
      <c r="J265" s="98" t="s">
        <v>213</v>
      </c>
      <c r="K265" s="96" t="s">
        <v>54</v>
      </c>
      <c r="L265" s="280"/>
    </row>
    <row r="266" ht="15.75" customHeight="1">
      <c r="A266" s="251">
        <v>46242.0</v>
      </c>
      <c r="B266" s="252">
        <v>2.7208028E7</v>
      </c>
      <c r="C266" s="252" t="s">
        <v>2052</v>
      </c>
      <c r="D266" s="253" t="s">
        <v>2053</v>
      </c>
      <c r="E266" s="254" t="s">
        <v>362</v>
      </c>
      <c r="F266" s="254" t="s">
        <v>334</v>
      </c>
      <c r="G266" s="255"/>
      <c r="H266" s="256">
        <v>0.0</v>
      </c>
      <c r="I266" s="257"/>
      <c r="J266" s="98" t="s">
        <v>213</v>
      </c>
      <c r="K266" s="96" t="s">
        <v>54</v>
      </c>
      <c r="L266" s="280"/>
    </row>
    <row r="267" ht="15.75" customHeight="1">
      <c r="A267" s="251">
        <v>46242.0</v>
      </c>
      <c r="B267" s="252">
        <v>2.7207886E7</v>
      </c>
      <c r="C267" s="252" t="s">
        <v>2054</v>
      </c>
      <c r="D267" s="253" t="s">
        <v>2055</v>
      </c>
      <c r="E267" s="254" t="s">
        <v>362</v>
      </c>
      <c r="F267" s="254" t="s">
        <v>334</v>
      </c>
      <c r="G267" s="255"/>
      <c r="H267" s="256">
        <v>0.0</v>
      </c>
      <c r="I267" s="257"/>
      <c r="J267" s="98" t="s">
        <v>213</v>
      </c>
      <c r="K267" s="96" t="s">
        <v>54</v>
      </c>
      <c r="L267" s="280"/>
    </row>
    <row r="268" ht="15.75" customHeight="1">
      <c r="A268" s="251">
        <v>46242.0</v>
      </c>
      <c r="B268" s="252">
        <v>2.7207824E7</v>
      </c>
      <c r="C268" s="252" t="s">
        <v>2056</v>
      </c>
      <c r="D268" s="253" t="s">
        <v>2057</v>
      </c>
      <c r="E268" s="254" t="s">
        <v>129</v>
      </c>
      <c r="F268" s="254" t="s">
        <v>590</v>
      </c>
      <c r="G268" s="255"/>
      <c r="H268" s="256">
        <v>0.0</v>
      </c>
      <c r="I268" s="257"/>
      <c r="J268" s="98" t="s">
        <v>213</v>
      </c>
      <c r="K268" s="96" t="s">
        <v>54</v>
      </c>
      <c r="L268" s="280"/>
    </row>
    <row r="269" ht="15.75" customHeight="1">
      <c r="A269" s="251">
        <v>46242.0</v>
      </c>
      <c r="B269" s="252">
        <v>2.7207432E7</v>
      </c>
      <c r="C269" s="252" t="s">
        <v>2058</v>
      </c>
      <c r="D269" s="253" t="s">
        <v>2059</v>
      </c>
      <c r="E269" s="254" t="s">
        <v>362</v>
      </c>
      <c r="F269" s="254" t="s">
        <v>334</v>
      </c>
      <c r="G269" s="255"/>
      <c r="H269" s="256">
        <v>0.0</v>
      </c>
      <c r="I269" s="257"/>
      <c r="J269" s="98" t="s">
        <v>213</v>
      </c>
      <c r="K269" s="96" t="s">
        <v>54</v>
      </c>
      <c r="L269" s="280"/>
    </row>
    <row r="270" ht="15.75" customHeight="1">
      <c r="A270" s="251">
        <v>46242.0</v>
      </c>
      <c r="B270" s="252">
        <v>2.7207104E7</v>
      </c>
      <c r="C270" s="252" t="s">
        <v>2060</v>
      </c>
      <c r="D270" s="253" t="s">
        <v>2061</v>
      </c>
      <c r="E270" s="254" t="s">
        <v>362</v>
      </c>
      <c r="F270" s="254" t="s">
        <v>334</v>
      </c>
      <c r="G270" s="255"/>
      <c r="H270" s="256">
        <v>0.0</v>
      </c>
      <c r="I270" s="257"/>
      <c r="J270" s="98" t="s">
        <v>213</v>
      </c>
      <c r="K270" s="96" t="s">
        <v>54</v>
      </c>
      <c r="L270" s="280"/>
    </row>
    <row r="271" ht="15.75" customHeight="1">
      <c r="A271" s="251">
        <v>46242.0</v>
      </c>
      <c r="B271" s="252">
        <v>2.7207036E7</v>
      </c>
      <c r="C271" s="252" t="s">
        <v>2062</v>
      </c>
      <c r="D271" s="253" t="s">
        <v>2063</v>
      </c>
      <c r="E271" s="254" t="s">
        <v>362</v>
      </c>
      <c r="F271" s="254" t="s">
        <v>334</v>
      </c>
      <c r="G271" s="255"/>
      <c r="H271" s="256">
        <v>0.0</v>
      </c>
      <c r="I271" s="257"/>
      <c r="J271" s="98" t="s">
        <v>213</v>
      </c>
      <c r="K271" s="96" t="s">
        <v>54</v>
      </c>
      <c r="L271" s="280"/>
    </row>
    <row r="272" ht="15.75" customHeight="1">
      <c r="A272" s="251">
        <v>46242.0</v>
      </c>
      <c r="B272" s="252">
        <v>2.7206886E7</v>
      </c>
      <c r="C272" s="252" t="s">
        <v>2064</v>
      </c>
      <c r="D272" s="253" t="s">
        <v>2065</v>
      </c>
      <c r="E272" s="254" t="s">
        <v>337</v>
      </c>
      <c r="F272" s="254" t="s">
        <v>338</v>
      </c>
      <c r="G272" s="255"/>
      <c r="H272" s="256">
        <v>0.0</v>
      </c>
      <c r="I272" s="257"/>
      <c r="J272" s="98" t="s">
        <v>213</v>
      </c>
      <c r="K272" s="96" t="s">
        <v>54</v>
      </c>
      <c r="L272" s="280"/>
    </row>
    <row r="273" ht="15.75" customHeight="1">
      <c r="A273" s="251">
        <v>46242.0</v>
      </c>
      <c r="B273" s="252">
        <v>2.7206022E7</v>
      </c>
      <c r="C273" s="252" t="s">
        <v>2066</v>
      </c>
      <c r="D273" s="253" t="s">
        <v>2067</v>
      </c>
      <c r="E273" s="254" t="s">
        <v>362</v>
      </c>
      <c r="F273" s="254" t="s">
        <v>334</v>
      </c>
      <c r="G273" s="255"/>
      <c r="H273" s="256">
        <v>0.0</v>
      </c>
      <c r="I273" s="257"/>
      <c r="J273" s="98" t="s">
        <v>213</v>
      </c>
      <c r="K273" s="96" t="s">
        <v>54</v>
      </c>
      <c r="L273" s="280"/>
    </row>
    <row r="274" ht="15.75" customHeight="1">
      <c r="A274" s="251">
        <v>46242.0</v>
      </c>
      <c r="B274" s="252">
        <v>2.7205984E7</v>
      </c>
      <c r="C274" s="252" t="s">
        <v>2068</v>
      </c>
      <c r="D274" s="253" t="s">
        <v>2069</v>
      </c>
      <c r="E274" s="254" t="s">
        <v>337</v>
      </c>
      <c r="F274" s="254" t="s">
        <v>338</v>
      </c>
      <c r="G274" s="255"/>
      <c r="H274" s="256">
        <v>0.0</v>
      </c>
      <c r="I274" s="257"/>
      <c r="J274" s="98" t="s">
        <v>213</v>
      </c>
      <c r="K274" s="96" t="s">
        <v>54</v>
      </c>
      <c r="L274" s="280"/>
    </row>
    <row r="275" ht="15.75" customHeight="1">
      <c r="A275" s="251">
        <v>46242.0</v>
      </c>
      <c r="B275" s="252">
        <v>2.7205978E7</v>
      </c>
      <c r="C275" s="252" t="s">
        <v>2070</v>
      </c>
      <c r="D275" s="253" t="s">
        <v>2071</v>
      </c>
      <c r="E275" s="254" t="s">
        <v>362</v>
      </c>
      <c r="F275" s="254" t="s">
        <v>334</v>
      </c>
      <c r="G275" s="255"/>
      <c r="H275" s="256">
        <v>0.0</v>
      </c>
      <c r="I275" s="257"/>
      <c r="J275" s="98" t="s">
        <v>213</v>
      </c>
      <c r="K275" s="96" t="s">
        <v>54</v>
      </c>
      <c r="L275" s="280"/>
    </row>
    <row r="276" ht="15.75" customHeight="1">
      <c r="A276" s="251">
        <v>46241.0</v>
      </c>
      <c r="B276" s="252">
        <v>2.720476E7</v>
      </c>
      <c r="C276" s="252" t="s">
        <v>2072</v>
      </c>
      <c r="D276" s="253" t="s">
        <v>2073</v>
      </c>
      <c r="E276" s="254" t="s">
        <v>362</v>
      </c>
      <c r="F276" s="254" t="s">
        <v>334</v>
      </c>
      <c r="G276" s="255"/>
      <c r="H276" s="256">
        <v>0.0</v>
      </c>
      <c r="I276" s="257"/>
      <c r="J276" s="98" t="s">
        <v>213</v>
      </c>
      <c r="K276" s="96" t="s">
        <v>54</v>
      </c>
      <c r="L276" s="280"/>
    </row>
    <row r="277" ht="15.75" customHeight="1">
      <c r="A277" s="251">
        <v>46241.0</v>
      </c>
      <c r="B277" s="252">
        <v>2.7204494E7</v>
      </c>
      <c r="C277" s="252" t="s">
        <v>2074</v>
      </c>
      <c r="D277" s="253" t="s">
        <v>2075</v>
      </c>
      <c r="E277" s="254" t="s">
        <v>362</v>
      </c>
      <c r="F277" s="254" t="s">
        <v>334</v>
      </c>
      <c r="G277" s="255"/>
      <c r="H277" s="256">
        <v>0.0</v>
      </c>
      <c r="I277" s="257"/>
      <c r="J277" s="98" t="s">
        <v>213</v>
      </c>
      <c r="K277" s="96" t="s">
        <v>54</v>
      </c>
      <c r="L277" s="280"/>
    </row>
    <row r="278" ht="15.75" customHeight="1">
      <c r="A278" s="251">
        <v>46241.0</v>
      </c>
      <c r="B278" s="252">
        <v>2.720449E7</v>
      </c>
      <c r="C278" s="252" t="s">
        <v>2076</v>
      </c>
      <c r="D278" s="253" t="s">
        <v>2075</v>
      </c>
      <c r="E278" s="254" t="s">
        <v>362</v>
      </c>
      <c r="F278" s="254" t="s">
        <v>334</v>
      </c>
      <c r="G278" s="255"/>
      <c r="H278" s="256">
        <v>0.0</v>
      </c>
      <c r="I278" s="257"/>
      <c r="J278" s="98" t="s">
        <v>213</v>
      </c>
      <c r="K278" s="96" t="s">
        <v>54</v>
      </c>
      <c r="L278" s="280"/>
    </row>
    <row r="279" ht="15.75" customHeight="1">
      <c r="A279" s="251">
        <v>46241.0</v>
      </c>
      <c r="B279" s="252">
        <v>2.7204472E7</v>
      </c>
      <c r="C279" s="252" t="s">
        <v>2077</v>
      </c>
      <c r="D279" s="253" t="s">
        <v>2078</v>
      </c>
      <c r="E279" s="254" t="s">
        <v>362</v>
      </c>
      <c r="F279" s="254" t="s">
        <v>334</v>
      </c>
      <c r="G279" s="255"/>
      <c r="H279" s="256">
        <v>0.0</v>
      </c>
      <c r="I279" s="257"/>
      <c r="J279" s="98" t="s">
        <v>213</v>
      </c>
      <c r="K279" s="96" t="s">
        <v>54</v>
      </c>
      <c r="L279" s="280"/>
    </row>
    <row r="280" ht="15.75" customHeight="1">
      <c r="A280" s="251">
        <v>46241.0</v>
      </c>
      <c r="B280" s="252">
        <v>2.7204248E7</v>
      </c>
      <c r="C280" s="252" t="s">
        <v>2079</v>
      </c>
      <c r="D280" s="253" t="s">
        <v>2080</v>
      </c>
      <c r="E280" s="254" t="s">
        <v>337</v>
      </c>
      <c r="F280" s="254" t="s">
        <v>338</v>
      </c>
      <c r="G280" s="255"/>
      <c r="H280" s="256">
        <v>0.0</v>
      </c>
      <c r="I280" s="257"/>
      <c r="J280" s="98" t="s">
        <v>213</v>
      </c>
      <c r="K280" s="96" t="s">
        <v>54</v>
      </c>
      <c r="L280" s="280"/>
    </row>
    <row r="281" ht="15.75" customHeight="1">
      <c r="A281" s="251">
        <v>46241.0</v>
      </c>
      <c r="B281" s="252">
        <v>2.7203874E7</v>
      </c>
      <c r="C281" s="252" t="s">
        <v>2081</v>
      </c>
      <c r="D281" s="253" t="s">
        <v>2082</v>
      </c>
      <c r="E281" s="254" t="s">
        <v>337</v>
      </c>
      <c r="F281" s="254" t="s">
        <v>338</v>
      </c>
      <c r="G281" s="255"/>
      <c r="H281" s="256">
        <v>0.0</v>
      </c>
      <c r="I281" s="257"/>
      <c r="J281" s="98" t="s">
        <v>213</v>
      </c>
      <c r="K281" s="96" t="s">
        <v>54</v>
      </c>
      <c r="L281" s="280"/>
    </row>
    <row r="282" ht="15.75" customHeight="1">
      <c r="A282" s="251">
        <v>46241.0</v>
      </c>
      <c r="B282" s="252">
        <v>2.7203456E7</v>
      </c>
      <c r="C282" s="252" t="s">
        <v>2083</v>
      </c>
      <c r="D282" s="253" t="s">
        <v>2084</v>
      </c>
      <c r="E282" s="254" t="s">
        <v>337</v>
      </c>
      <c r="F282" s="254" t="s">
        <v>338</v>
      </c>
      <c r="G282" s="255"/>
      <c r="H282" s="256">
        <v>0.0</v>
      </c>
      <c r="I282" s="257"/>
      <c r="J282" s="98" t="s">
        <v>213</v>
      </c>
      <c r="K282" s="96" t="s">
        <v>54</v>
      </c>
      <c r="L282" s="280"/>
    </row>
    <row r="283" ht="15.75" customHeight="1">
      <c r="A283" s="251">
        <v>46241.0</v>
      </c>
      <c r="B283" s="252">
        <v>2.720341E7</v>
      </c>
      <c r="C283" s="252" t="s">
        <v>2085</v>
      </c>
      <c r="D283" s="253" t="s">
        <v>2086</v>
      </c>
      <c r="E283" s="254" t="s">
        <v>337</v>
      </c>
      <c r="F283" s="254" t="s">
        <v>434</v>
      </c>
      <c r="G283" s="255"/>
      <c r="H283" s="256">
        <v>0.0</v>
      </c>
      <c r="I283" s="257"/>
      <c r="J283" s="98" t="s">
        <v>213</v>
      </c>
      <c r="K283" s="96" t="s">
        <v>54</v>
      </c>
      <c r="L283" s="280"/>
    </row>
    <row r="284" ht="15.75" customHeight="1">
      <c r="A284" s="251">
        <v>46241.0</v>
      </c>
      <c r="B284" s="252">
        <v>2.720333E7</v>
      </c>
      <c r="C284" s="252" t="s">
        <v>2087</v>
      </c>
      <c r="D284" s="253" t="s">
        <v>2088</v>
      </c>
      <c r="E284" s="254" t="s">
        <v>362</v>
      </c>
      <c r="F284" s="254" t="s">
        <v>334</v>
      </c>
      <c r="G284" s="255"/>
      <c r="H284" s="256">
        <v>0.0</v>
      </c>
      <c r="I284" s="257"/>
      <c r="J284" s="98" t="s">
        <v>213</v>
      </c>
      <c r="K284" s="96" t="s">
        <v>54</v>
      </c>
      <c r="L284" s="280"/>
    </row>
    <row r="285" ht="15.75" customHeight="1">
      <c r="A285" s="251">
        <v>46241.0</v>
      </c>
      <c r="B285" s="252">
        <v>2.720323E7</v>
      </c>
      <c r="C285" s="252" t="s">
        <v>2089</v>
      </c>
      <c r="D285" s="253" t="s">
        <v>2090</v>
      </c>
      <c r="E285" s="254" t="s">
        <v>362</v>
      </c>
      <c r="F285" s="254" t="s">
        <v>334</v>
      </c>
      <c r="G285" s="255"/>
      <c r="H285" s="256">
        <v>0.0</v>
      </c>
      <c r="I285" s="257"/>
      <c r="J285" s="98" t="s">
        <v>213</v>
      </c>
      <c r="K285" s="96" t="s">
        <v>54</v>
      </c>
      <c r="L285" s="280"/>
    </row>
    <row r="286" ht="15.75" customHeight="1">
      <c r="A286" s="251">
        <v>46241.0</v>
      </c>
      <c r="B286" s="252">
        <v>2.7203228E7</v>
      </c>
      <c r="C286" s="252" t="s">
        <v>2091</v>
      </c>
      <c r="D286" s="253" t="s">
        <v>2092</v>
      </c>
      <c r="E286" s="254" t="s">
        <v>362</v>
      </c>
      <c r="F286" s="254" t="s">
        <v>338</v>
      </c>
      <c r="G286" s="255"/>
      <c r="H286" s="256">
        <v>0.0</v>
      </c>
      <c r="I286" s="257"/>
      <c r="J286" s="98" t="s">
        <v>213</v>
      </c>
      <c r="K286" s="96" t="s">
        <v>54</v>
      </c>
      <c r="L286" s="280"/>
    </row>
    <row r="287" ht="15.75" customHeight="1">
      <c r="A287" s="251">
        <v>46241.0</v>
      </c>
      <c r="B287" s="252">
        <v>2.7202722E7</v>
      </c>
      <c r="C287" s="252" t="s">
        <v>2093</v>
      </c>
      <c r="D287" s="253" t="s">
        <v>2094</v>
      </c>
      <c r="E287" s="254" t="s">
        <v>362</v>
      </c>
      <c r="F287" s="254" t="s">
        <v>334</v>
      </c>
      <c r="G287" s="255"/>
      <c r="H287" s="256">
        <v>0.0</v>
      </c>
      <c r="I287" s="257"/>
      <c r="J287" s="98" t="s">
        <v>213</v>
      </c>
      <c r="K287" s="96" t="s">
        <v>54</v>
      </c>
      <c r="L287" s="280"/>
    </row>
    <row r="288" ht="15.75" customHeight="1">
      <c r="A288" s="251">
        <v>46241.0</v>
      </c>
      <c r="B288" s="252">
        <v>2.7202716E7</v>
      </c>
      <c r="C288" s="252" t="s">
        <v>2095</v>
      </c>
      <c r="D288" s="253" t="s">
        <v>2096</v>
      </c>
      <c r="E288" s="254" t="s">
        <v>362</v>
      </c>
      <c r="F288" s="254" t="s">
        <v>334</v>
      </c>
      <c r="G288" s="255"/>
      <c r="H288" s="256">
        <v>0.0</v>
      </c>
      <c r="I288" s="257"/>
      <c r="J288" s="98" t="s">
        <v>213</v>
      </c>
      <c r="K288" s="96" t="s">
        <v>54</v>
      </c>
      <c r="L288" s="280"/>
    </row>
    <row r="289" ht="15.75" customHeight="1">
      <c r="A289" s="251">
        <v>46241.0</v>
      </c>
      <c r="B289" s="252">
        <v>2.7196468E7</v>
      </c>
      <c r="C289" s="252" t="s">
        <v>2097</v>
      </c>
      <c r="D289" s="253" t="s">
        <v>2098</v>
      </c>
      <c r="E289" s="254" t="s">
        <v>175</v>
      </c>
      <c r="F289" s="254" t="s">
        <v>434</v>
      </c>
      <c r="G289" s="255"/>
      <c r="H289" s="256">
        <v>0.0</v>
      </c>
      <c r="I289" s="252" t="s">
        <v>2099</v>
      </c>
      <c r="J289" s="98" t="s">
        <v>213</v>
      </c>
      <c r="K289" s="96" t="s">
        <v>54</v>
      </c>
      <c r="L289" s="280"/>
    </row>
    <row r="290" ht="15.75" customHeight="1">
      <c r="A290" s="251">
        <v>46240.0</v>
      </c>
      <c r="B290" s="252">
        <v>2.719089E7</v>
      </c>
      <c r="C290" s="252" t="s">
        <v>939</v>
      </c>
      <c r="D290" s="253" t="s">
        <v>2100</v>
      </c>
      <c r="E290" s="254" t="s">
        <v>175</v>
      </c>
      <c r="F290" s="254" t="s">
        <v>434</v>
      </c>
      <c r="G290" s="255"/>
      <c r="H290" s="256">
        <v>0.0</v>
      </c>
      <c r="I290" s="252" t="s">
        <v>2101</v>
      </c>
      <c r="J290" s="98" t="s">
        <v>213</v>
      </c>
      <c r="K290" s="96" t="s">
        <v>54</v>
      </c>
      <c r="L290" s="280"/>
    </row>
    <row r="291" ht="15.75" customHeight="1">
      <c r="A291" s="251">
        <v>46239.0</v>
      </c>
      <c r="B291" s="252">
        <v>2.7183922E7</v>
      </c>
      <c r="C291" s="252" t="s">
        <v>2102</v>
      </c>
      <c r="D291" s="253" t="s">
        <v>2103</v>
      </c>
      <c r="E291" s="254" t="s">
        <v>175</v>
      </c>
      <c r="F291" s="254" t="s">
        <v>590</v>
      </c>
      <c r="G291" s="255"/>
      <c r="H291" s="256">
        <v>0.0</v>
      </c>
      <c r="I291" s="257"/>
      <c r="J291" s="98" t="s">
        <v>213</v>
      </c>
      <c r="K291" s="96" t="s">
        <v>54</v>
      </c>
      <c r="L291" s="280"/>
    </row>
    <row r="292" ht="15.75" customHeight="1">
      <c r="A292" s="251">
        <v>46238.0</v>
      </c>
      <c r="B292" s="252">
        <v>2.7173678E7</v>
      </c>
      <c r="C292" s="252" t="s">
        <v>2104</v>
      </c>
      <c r="D292" s="253" t="s">
        <v>2105</v>
      </c>
      <c r="E292" s="254" t="s">
        <v>337</v>
      </c>
      <c r="F292" s="254" t="s">
        <v>338</v>
      </c>
      <c r="G292" s="255"/>
      <c r="H292" s="256">
        <v>0.0</v>
      </c>
      <c r="I292" s="257"/>
      <c r="J292" s="98" t="s">
        <v>213</v>
      </c>
      <c r="K292" s="96" t="s">
        <v>54</v>
      </c>
      <c r="L292" s="280"/>
    </row>
    <row r="293" ht="15.75" customHeight="1">
      <c r="A293" s="251">
        <v>46237.0</v>
      </c>
      <c r="B293" s="252">
        <v>2.7164334E7</v>
      </c>
      <c r="C293" s="252" t="s">
        <v>2106</v>
      </c>
      <c r="D293" s="253" t="s">
        <v>2107</v>
      </c>
      <c r="E293" s="254" t="s">
        <v>175</v>
      </c>
      <c r="F293" s="254" t="s">
        <v>434</v>
      </c>
      <c r="G293" s="255"/>
      <c r="H293" s="256">
        <v>0.0</v>
      </c>
      <c r="I293" s="252" t="s">
        <v>2108</v>
      </c>
      <c r="J293" s="98" t="s">
        <v>213</v>
      </c>
      <c r="K293" s="96" t="s">
        <v>54</v>
      </c>
      <c r="L293" s="280"/>
    </row>
    <row r="294" ht="15.75" customHeight="1">
      <c r="A294" s="251">
        <v>46237.0</v>
      </c>
      <c r="B294" s="252">
        <v>2.7163974E7</v>
      </c>
      <c r="C294" s="252" t="s">
        <v>2109</v>
      </c>
      <c r="D294" s="253" t="s">
        <v>2110</v>
      </c>
      <c r="E294" s="254" t="s">
        <v>175</v>
      </c>
      <c r="F294" s="254" t="s">
        <v>590</v>
      </c>
      <c r="G294" s="255"/>
      <c r="H294" s="256">
        <v>0.0</v>
      </c>
      <c r="I294" s="257"/>
      <c r="J294" s="98" t="s">
        <v>213</v>
      </c>
      <c r="K294" s="96" t="s">
        <v>54</v>
      </c>
      <c r="L294" s="280"/>
    </row>
    <row r="295" ht="15.75" customHeight="1">
      <c r="A295" s="251">
        <v>46237.0</v>
      </c>
      <c r="B295" s="252">
        <v>2.7161904E7</v>
      </c>
      <c r="C295" s="252" t="s">
        <v>2111</v>
      </c>
      <c r="D295" s="253" t="s">
        <v>2112</v>
      </c>
      <c r="E295" s="254" t="s">
        <v>337</v>
      </c>
      <c r="F295" s="254" t="s">
        <v>338</v>
      </c>
      <c r="G295" s="255"/>
      <c r="H295" s="256">
        <v>0.0</v>
      </c>
      <c r="I295" s="257"/>
      <c r="J295" s="98" t="s">
        <v>213</v>
      </c>
      <c r="K295" s="96" t="s">
        <v>54</v>
      </c>
      <c r="L295" s="280"/>
    </row>
    <row r="296" ht="15.75" customHeight="1">
      <c r="A296" s="251">
        <v>46237.0</v>
      </c>
      <c r="B296" s="252">
        <v>2.7161898E7</v>
      </c>
      <c r="C296" s="252" t="s">
        <v>2113</v>
      </c>
      <c r="D296" s="253" t="s">
        <v>2114</v>
      </c>
      <c r="E296" s="254" t="s">
        <v>337</v>
      </c>
      <c r="F296" s="254" t="s">
        <v>1011</v>
      </c>
      <c r="G296" s="256" t="s">
        <v>2115</v>
      </c>
      <c r="H296" s="256">
        <v>176000.0</v>
      </c>
      <c r="I296" s="257"/>
      <c r="J296" s="98" t="s">
        <v>213</v>
      </c>
      <c r="K296" s="96" t="s">
        <v>54</v>
      </c>
      <c r="L296" s="280"/>
    </row>
    <row r="297" ht="15.75" customHeight="1">
      <c r="A297" s="251">
        <v>46237.0</v>
      </c>
      <c r="B297" s="252">
        <v>2.7161804E7</v>
      </c>
      <c r="C297" s="252" t="s">
        <v>2116</v>
      </c>
      <c r="D297" s="253" t="s">
        <v>2117</v>
      </c>
      <c r="E297" s="254" t="s">
        <v>337</v>
      </c>
      <c r="F297" s="254" t="s">
        <v>434</v>
      </c>
      <c r="G297" s="255"/>
      <c r="H297" s="256">
        <v>0.0</v>
      </c>
      <c r="I297" s="257"/>
      <c r="J297" s="98" t="s">
        <v>213</v>
      </c>
      <c r="K297" s="96" t="s">
        <v>54</v>
      </c>
      <c r="L297" s="280"/>
    </row>
    <row r="298" ht="15.75" customHeight="1">
      <c r="A298" s="251">
        <v>46237.0</v>
      </c>
      <c r="B298" s="252">
        <v>2.716168E7</v>
      </c>
      <c r="C298" s="252" t="s">
        <v>2118</v>
      </c>
      <c r="D298" s="253" t="s">
        <v>2119</v>
      </c>
      <c r="E298" s="254" t="s">
        <v>337</v>
      </c>
      <c r="F298" s="254" t="s">
        <v>338</v>
      </c>
      <c r="G298" s="255"/>
      <c r="H298" s="256">
        <v>0.0</v>
      </c>
      <c r="I298" s="257"/>
      <c r="J298" s="98" t="s">
        <v>213</v>
      </c>
      <c r="K298" s="96" t="s">
        <v>54</v>
      </c>
      <c r="L298" s="280"/>
    </row>
    <row r="299" ht="15.75" customHeight="1">
      <c r="A299" s="251">
        <v>46237.0</v>
      </c>
      <c r="B299" s="252">
        <v>2.7160854E7</v>
      </c>
      <c r="C299" s="252" t="s">
        <v>2120</v>
      </c>
      <c r="D299" s="253" t="s">
        <v>2121</v>
      </c>
      <c r="E299" s="254" t="s">
        <v>337</v>
      </c>
      <c r="F299" s="254" t="s">
        <v>338</v>
      </c>
      <c r="G299" s="255"/>
      <c r="H299" s="256">
        <v>0.0</v>
      </c>
      <c r="I299" s="257"/>
      <c r="J299" s="98" t="s">
        <v>213</v>
      </c>
      <c r="K299" s="96" t="s">
        <v>54</v>
      </c>
      <c r="L299" s="280"/>
    </row>
    <row r="300" ht="15.75" customHeight="1">
      <c r="A300" s="251">
        <v>46237.0</v>
      </c>
      <c r="B300" s="252">
        <v>2.716084E7</v>
      </c>
      <c r="C300" s="252" t="s">
        <v>2122</v>
      </c>
      <c r="D300" s="253" t="s">
        <v>2123</v>
      </c>
      <c r="E300" s="254" t="s">
        <v>337</v>
      </c>
      <c r="F300" s="254" t="s">
        <v>338</v>
      </c>
      <c r="G300" s="255"/>
      <c r="H300" s="256">
        <v>0.0</v>
      </c>
      <c r="I300" s="257"/>
      <c r="J300" s="98" t="s">
        <v>213</v>
      </c>
      <c r="K300" s="96" t="s">
        <v>54</v>
      </c>
      <c r="L300" s="280"/>
    </row>
    <row r="301" ht="15.75" customHeight="1">
      <c r="A301" s="251">
        <v>46237.0</v>
      </c>
      <c r="B301" s="252">
        <v>2.7160834E7</v>
      </c>
      <c r="C301" s="252" t="s">
        <v>2124</v>
      </c>
      <c r="D301" s="253" t="s">
        <v>2125</v>
      </c>
      <c r="E301" s="254" t="s">
        <v>337</v>
      </c>
      <c r="F301" s="254" t="s">
        <v>410</v>
      </c>
      <c r="G301" s="255"/>
      <c r="H301" s="256">
        <v>0.0</v>
      </c>
      <c r="I301" s="257"/>
      <c r="J301" s="98" t="s">
        <v>213</v>
      </c>
      <c r="K301" s="96" t="s">
        <v>54</v>
      </c>
      <c r="L301" s="280"/>
    </row>
    <row r="302" ht="15.75" customHeight="1">
      <c r="A302" s="251">
        <v>46237.0</v>
      </c>
      <c r="B302" s="252">
        <v>2.7160626E7</v>
      </c>
      <c r="C302" s="252" t="s">
        <v>2126</v>
      </c>
      <c r="D302" s="253" t="s">
        <v>2127</v>
      </c>
      <c r="E302" s="254" t="s">
        <v>337</v>
      </c>
      <c r="F302" s="254" t="s">
        <v>338</v>
      </c>
      <c r="G302" s="255"/>
      <c r="H302" s="256">
        <v>0.0</v>
      </c>
      <c r="I302" s="257"/>
      <c r="J302" s="98" t="s">
        <v>213</v>
      </c>
      <c r="K302" s="96" t="s">
        <v>54</v>
      </c>
      <c r="L302" s="280"/>
    </row>
    <row r="303" ht="15.75" customHeight="1">
      <c r="A303" s="251">
        <v>46236.0</v>
      </c>
      <c r="B303" s="252">
        <v>2.7160594E7</v>
      </c>
      <c r="C303" s="252" t="s">
        <v>2128</v>
      </c>
      <c r="D303" s="253" t="s">
        <v>2129</v>
      </c>
      <c r="E303" s="254" t="s">
        <v>337</v>
      </c>
      <c r="F303" s="254" t="s">
        <v>434</v>
      </c>
      <c r="G303" s="255"/>
      <c r="H303" s="256">
        <v>0.0</v>
      </c>
      <c r="I303" s="257"/>
      <c r="J303" s="98" t="s">
        <v>213</v>
      </c>
      <c r="K303" s="96" t="s">
        <v>54</v>
      </c>
      <c r="L303" s="280"/>
    </row>
    <row r="304" ht="15.75" customHeight="1">
      <c r="A304" s="251">
        <v>46236.0</v>
      </c>
      <c r="B304" s="252">
        <v>2.7160588E7</v>
      </c>
      <c r="C304" s="252" t="s">
        <v>2130</v>
      </c>
      <c r="D304" s="253" t="s">
        <v>2131</v>
      </c>
      <c r="E304" s="254" t="s">
        <v>337</v>
      </c>
      <c r="F304" s="254" t="s">
        <v>338</v>
      </c>
      <c r="G304" s="255"/>
      <c r="H304" s="256">
        <v>0.0</v>
      </c>
      <c r="I304" s="257"/>
      <c r="J304" s="98" t="s">
        <v>213</v>
      </c>
      <c r="K304" s="96" t="s">
        <v>54</v>
      </c>
      <c r="L304" s="280"/>
    </row>
    <row r="305" ht="15.75" customHeight="1">
      <c r="A305" s="251">
        <v>46236.0</v>
      </c>
      <c r="B305" s="252">
        <v>2.7160462E7</v>
      </c>
      <c r="C305" s="252" t="s">
        <v>2132</v>
      </c>
      <c r="D305" s="253" t="s">
        <v>2133</v>
      </c>
      <c r="E305" s="254" t="s">
        <v>337</v>
      </c>
      <c r="F305" s="254" t="s">
        <v>338</v>
      </c>
      <c r="G305" s="255"/>
      <c r="H305" s="256">
        <v>0.0</v>
      </c>
      <c r="I305" s="257"/>
      <c r="J305" s="98" t="s">
        <v>213</v>
      </c>
      <c r="K305" s="96" t="s">
        <v>54</v>
      </c>
      <c r="L305" s="280"/>
    </row>
    <row r="306" ht="15.75" customHeight="1">
      <c r="A306" s="251">
        <v>46236.0</v>
      </c>
      <c r="B306" s="252">
        <v>2.7159884E7</v>
      </c>
      <c r="C306" s="252" t="s">
        <v>2134</v>
      </c>
      <c r="D306" s="253" t="s">
        <v>2135</v>
      </c>
      <c r="E306" s="254" t="s">
        <v>337</v>
      </c>
      <c r="F306" s="254" t="s">
        <v>338</v>
      </c>
      <c r="G306" s="255"/>
      <c r="H306" s="256">
        <v>0.0</v>
      </c>
      <c r="I306" s="257"/>
      <c r="J306" s="98" t="s">
        <v>213</v>
      </c>
      <c r="K306" s="96" t="s">
        <v>54</v>
      </c>
      <c r="L306" s="280"/>
    </row>
    <row r="307" ht="15.75" customHeight="1">
      <c r="A307" s="251">
        <v>46236.0</v>
      </c>
      <c r="B307" s="252">
        <v>2.7159756E7</v>
      </c>
      <c r="C307" s="252" t="s">
        <v>2136</v>
      </c>
      <c r="D307" s="253" t="s">
        <v>2137</v>
      </c>
      <c r="E307" s="254" t="s">
        <v>337</v>
      </c>
      <c r="F307" s="254" t="s">
        <v>338</v>
      </c>
      <c r="G307" s="255"/>
      <c r="H307" s="256">
        <v>0.0</v>
      </c>
      <c r="I307" s="257"/>
      <c r="J307" s="98" t="s">
        <v>213</v>
      </c>
      <c r="K307" s="96" t="s">
        <v>54</v>
      </c>
      <c r="L307" s="280"/>
    </row>
    <row r="308" ht="15.75" customHeight="1">
      <c r="A308" s="251">
        <v>46236.0</v>
      </c>
      <c r="B308" s="252">
        <v>2.7159656E7</v>
      </c>
      <c r="C308" s="252" t="s">
        <v>2138</v>
      </c>
      <c r="D308" s="253" t="s">
        <v>2139</v>
      </c>
      <c r="E308" s="254" t="s">
        <v>337</v>
      </c>
      <c r="F308" s="254" t="s">
        <v>338</v>
      </c>
      <c r="G308" s="255"/>
      <c r="H308" s="256">
        <v>0.0</v>
      </c>
      <c r="I308" s="257"/>
      <c r="J308" s="98" t="s">
        <v>213</v>
      </c>
      <c r="K308" s="96" t="s">
        <v>54</v>
      </c>
      <c r="L308" s="280"/>
    </row>
    <row r="309" ht="15.75" customHeight="1">
      <c r="A309" s="251">
        <v>46236.0</v>
      </c>
      <c r="B309" s="252">
        <v>2.7158174E7</v>
      </c>
      <c r="C309" s="252" t="s">
        <v>2140</v>
      </c>
      <c r="D309" s="253" t="s">
        <v>2141</v>
      </c>
      <c r="E309" s="254" t="s">
        <v>337</v>
      </c>
      <c r="F309" s="254" t="s">
        <v>338</v>
      </c>
      <c r="G309" s="255"/>
      <c r="H309" s="256">
        <v>0.0</v>
      </c>
      <c r="I309" s="257"/>
      <c r="J309" s="98" t="s">
        <v>213</v>
      </c>
      <c r="K309" s="96" t="s">
        <v>54</v>
      </c>
      <c r="L309" s="280"/>
    </row>
    <row r="310" ht="15.75" customHeight="1">
      <c r="A310" s="251">
        <v>46236.0</v>
      </c>
      <c r="B310" s="252">
        <v>2.7157328E7</v>
      </c>
      <c r="C310" s="252" t="s">
        <v>2142</v>
      </c>
      <c r="D310" s="253" t="s">
        <v>2143</v>
      </c>
      <c r="E310" s="254" t="s">
        <v>337</v>
      </c>
      <c r="F310" s="254" t="s">
        <v>338</v>
      </c>
      <c r="G310" s="255"/>
      <c r="H310" s="256">
        <v>0.0</v>
      </c>
      <c r="I310" s="257"/>
      <c r="J310" s="98" t="s">
        <v>213</v>
      </c>
      <c r="K310" s="96" t="s">
        <v>54</v>
      </c>
      <c r="L310" s="280"/>
    </row>
    <row r="311" ht="15.75" customHeight="1">
      <c r="A311" s="251">
        <v>46236.0</v>
      </c>
      <c r="B311" s="252">
        <v>2.7157206E7</v>
      </c>
      <c r="C311" s="252" t="s">
        <v>2144</v>
      </c>
      <c r="D311" s="253" t="s">
        <v>2145</v>
      </c>
      <c r="E311" s="254" t="s">
        <v>337</v>
      </c>
      <c r="F311" s="254" t="s">
        <v>338</v>
      </c>
      <c r="G311" s="255"/>
      <c r="H311" s="256">
        <v>0.0</v>
      </c>
      <c r="I311" s="257"/>
      <c r="J311" s="98" t="s">
        <v>213</v>
      </c>
      <c r="K311" s="96" t="s">
        <v>54</v>
      </c>
      <c r="L311" s="280"/>
    </row>
    <row r="312" ht="15.75" customHeight="1">
      <c r="A312" s="251">
        <v>46236.0</v>
      </c>
      <c r="B312" s="252">
        <v>2.7156968E7</v>
      </c>
      <c r="C312" s="257"/>
      <c r="D312" s="253" t="s">
        <v>2146</v>
      </c>
      <c r="E312" s="254" t="s">
        <v>337</v>
      </c>
      <c r="F312" s="254" t="s">
        <v>338</v>
      </c>
      <c r="G312" s="255"/>
      <c r="H312" s="256">
        <v>0.0</v>
      </c>
      <c r="I312" s="257"/>
      <c r="J312" s="98" t="s">
        <v>213</v>
      </c>
      <c r="K312" s="96" t="s">
        <v>54</v>
      </c>
      <c r="L312" s="280"/>
    </row>
    <row r="313" ht="15.75" customHeight="1">
      <c r="A313" s="251">
        <v>46236.0</v>
      </c>
      <c r="B313" s="252">
        <v>2.7155526E7</v>
      </c>
      <c r="C313" s="252" t="s">
        <v>2147</v>
      </c>
      <c r="D313" s="253" t="s">
        <v>2148</v>
      </c>
      <c r="E313" s="254" t="s">
        <v>175</v>
      </c>
      <c r="F313" s="254" t="s">
        <v>590</v>
      </c>
      <c r="G313" s="255"/>
      <c r="H313" s="256">
        <v>0.0</v>
      </c>
      <c r="I313" s="257"/>
      <c r="J313" s="98" t="s">
        <v>213</v>
      </c>
      <c r="K313" s="96" t="s">
        <v>54</v>
      </c>
      <c r="L313" s="280"/>
    </row>
    <row r="314" ht="15.75" customHeight="1">
      <c r="A314" s="251">
        <v>46235.0</v>
      </c>
      <c r="B314" s="252">
        <v>2.7152346E7</v>
      </c>
      <c r="C314" s="252" t="s">
        <v>2149</v>
      </c>
      <c r="D314" s="253" t="s">
        <v>2150</v>
      </c>
      <c r="E314" s="254" t="s">
        <v>175</v>
      </c>
      <c r="F314" s="254" t="s">
        <v>590</v>
      </c>
      <c r="G314" s="255"/>
      <c r="H314" s="256">
        <v>0.0</v>
      </c>
      <c r="I314" s="257"/>
      <c r="J314" s="98" t="s">
        <v>213</v>
      </c>
      <c r="K314" s="96" t="s">
        <v>54</v>
      </c>
      <c r="L314" s="280"/>
    </row>
    <row r="315" ht="15.75" customHeight="1">
      <c r="A315" s="251">
        <v>46235.0</v>
      </c>
      <c r="B315" s="252">
        <v>2.7149292E7</v>
      </c>
      <c r="C315" s="252" t="s">
        <v>2151</v>
      </c>
      <c r="D315" s="253" t="s">
        <v>2152</v>
      </c>
      <c r="E315" s="254" t="s">
        <v>362</v>
      </c>
      <c r="F315" s="254" t="s">
        <v>334</v>
      </c>
      <c r="G315" s="255"/>
      <c r="H315" s="256">
        <v>0.0</v>
      </c>
      <c r="I315" s="257"/>
      <c r="J315" s="98" t="s">
        <v>213</v>
      </c>
      <c r="K315" s="96" t="s">
        <v>54</v>
      </c>
      <c r="L315" s="280"/>
    </row>
    <row r="316" ht="15.75" customHeight="1">
      <c r="A316" s="251">
        <v>46235.0</v>
      </c>
      <c r="B316" s="252">
        <v>2.7148302E7</v>
      </c>
      <c r="C316" s="252" t="s">
        <v>2153</v>
      </c>
      <c r="D316" s="253" t="s">
        <v>2154</v>
      </c>
      <c r="E316" s="254" t="s">
        <v>175</v>
      </c>
      <c r="F316" s="254" t="s">
        <v>590</v>
      </c>
      <c r="G316" s="255"/>
      <c r="H316" s="256">
        <v>0.0</v>
      </c>
      <c r="I316" s="257"/>
      <c r="J316" s="98" t="s">
        <v>213</v>
      </c>
      <c r="K316" s="96" t="s">
        <v>54</v>
      </c>
      <c r="L316" s="280"/>
    </row>
    <row r="317" ht="15.75" customHeight="1">
      <c r="A317" s="251">
        <v>46235.0</v>
      </c>
      <c r="B317" s="252">
        <v>2.714824E7</v>
      </c>
      <c r="C317" s="252" t="s">
        <v>2155</v>
      </c>
      <c r="D317" s="253" t="s">
        <v>2156</v>
      </c>
      <c r="E317" s="254" t="s">
        <v>175</v>
      </c>
      <c r="F317" s="254" t="s">
        <v>590</v>
      </c>
      <c r="G317" s="255"/>
      <c r="H317" s="256">
        <v>0.0</v>
      </c>
      <c r="I317" s="257"/>
      <c r="J317" s="98" t="s">
        <v>213</v>
      </c>
      <c r="K317" s="96" t="s">
        <v>54</v>
      </c>
      <c r="L317" s="280"/>
    </row>
    <row r="318" ht="15.75" customHeight="1">
      <c r="A318" s="251">
        <v>46235.0</v>
      </c>
      <c r="B318" s="252">
        <v>2.7147882E7</v>
      </c>
      <c r="C318" s="252" t="s">
        <v>2157</v>
      </c>
      <c r="D318" s="253" t="s">
        <v>2158</v>
      </c>
      <c r="E318" s="254" t="s">
        <v>175</v>
      </c>
      <c r="F318" s="254" t="s">
        <v>590</v>
      </c>
      <c r="G318" s="255"/>
      <c r="H318" s="256">
        <v>0.0</v>
      </c>
      <c r="I318" s="257"/>
      <c r="J318" s="98" t="s">
        <v>213</v>
      </c>
      <c r="K318" s="96" t="s">
        <v>54</v>
      </c>
      <c r="L318" s="280"/>
    </row>
    <row r="319" ht="15.75" customHeight="1">
      <c r="A319" s="251">
        <v>46234.0</v>
      </c>
      <c r="B319" s="252">
        <v>2.71455E7</v>
      </c>
      <c r="C319" s="252" t="s">
        <v>2159</v>
      </c>
      <c r="D319" s="253" t="s">
        <v>2160</v>
      </c>
      <c r="E319" s="254" t="s">
        <v>175</v>
      </c>
      <c r="F319" s="254" t="s">
        <v>590</v>
      </c>
      <c r="G319" s="255"/>
      <c r="H319" s="256">
        <v>0.0</v>
      </c>
      <c r="I319" s="257"/>
      <c r="J319" s="98" t="s">
        <v>213</v>
      </c>
      <c r="K319" s="96" t="s">
        <v>54</v>
      </c>
      <c r="L319" s="280"/>
    </row>
    <row r="320" ht="15.75" customHeight="1">
      <c r="A320" s="251">
        <v>46234.0</v>
      </c>
      <c r="B320" s="252">
        <v>2.7143324E7</v>
      </c>
      <c r="C320" s="252" t="s">
        <v>2161</v>
      </c>
      <c r="D320" s="253" t="s">
        <v>2162</v>
      </c>
      <c r="E320" s="254" t="s">
        <v>175</v>
      </c>
      <c r="F320" s="254" t="s">
        <v>590</v>
      </c>
      <c r="G320" s="255"/>
      <c r="H320" s="256">
        <v>0.0</v>
      </c>
      <c r="I320" s="257"/>
      <c r="J320" s="98" t="s">
        <v>213</v>
      </c>
      <c r="K320" s="96" t="s">
        <v>54</v>
      </c>
      <c r="L320" s="280"/>
    </row>
    <row r="321" ht="15.75" customHeight="1">
      <c r="A321" s="251">
        <v>46234.0</v>
      </c>
      <c r="B321" s="252">
        <v>2.7142484E7</v>
      </c>
      <c r="C321" s="252" t="s">
        <v>2163</v>
      </c>
      <c r="D321" s="253" t="s">
        <v>2164</v>
      </c>
      <c r="E321" s="254" t="s">
        <v>175</v>
      </c>
      <c r="F321" s="254" t="s">
        <v>590</v>
      </c>
      <c r="G321" s="255"/>
      <c r="H321" s="256">
        <v>0.0</v>
      </c>
      <c r="I321" s="257"/>
      <c r="J321" s="98" t="s">
        <v>213</v>
      </c>
      <c r="K321" s="96" t="s">
        <v>54</v>
      </c>
      <c r="L321" s="280"/>
    </row>
    <row r="322" ht="15.75" customHeight="1">
      <c r="A322" s="251">
        <v>46234.0</v>
      </c>
      <c r="B322" s="252">
        <v>2.713993E7</v>
      </c>
      <c r="C322" s="252" t="s">
        <v>2165</v>
      </c>
      <c r="D322" s="253" t="s">
        <v>2166</v>
      </c>
      <c r="E322" s="254" t="s">
        <v>337</v>
      </c>
      <c r="F322" s="254" t="s">
        <v>338</v>
      </c>
      <c r="G322" s="255"/>
      <c r="H322" s="256">
        <v>0.0</v>
      </c>
      <c r="I322" s="257"/>
      <c r="J322" s="98" t="s">
        <v>213</v>
      </c>
      <c r="K322" s="96" t="s">
        <v>54</v>
      </c>
      <c r="L322" s="280"/>
    </row>
    <row r="323" ht="15.75" customHeight="1">
      <c r="A323" s="251">
        <v>46233.0</v>
      </c>
      <c r="B323" s="252">
        <v>2.7139754E7</v>
      </c>
      <c r="C323" s="252" t="s">
        <v>2167</v>
      </c>
      <c r="D323" s="253" t="s">
        <v>2168</v>
      </c>
      <c r="E323" s="254" t="s">
        <v>337</v>
      </c>
      <c r="F323" s="254" t="s">
        <v>338</v>
      </c>
      <c r="G323" s="255"/>
      <c r="H323" s="256">
        <v>0.0</v>
      </c>
      <c r="I323" s="257"/>
      <c r="J323" s="98" t="s">
        <v>213</v>
      </c>
      <c r="K323" s="96" t="s">
        <v>54</v>
      </c>
      <c r="L323" s="280"/>
    </row>
    <row r="324" ht="15.75" customHeight="1">
      <c r="A324" s="251">
        <v>46233.0</v>
      </c>
      <c r="B324" s="252">
        <v>2.7139708E7</v>
      </c>
      <c r="C324" s="252" t="s">
        <v>2169</v>
      </c>
      <c r="D324" s="253" t="s">
        <v>2170</v>
      </c>
      <c r="E324" s="254" t="s">
        <v>337</v>
      </c>
      <c r="F324" s="254" t="s">
        <v>338</v>
      </c>
      <c r="G324" s="255"/>
      <c r="H324" s="256">
        <v>0.0</v>
      </c>
      <c r="I324" s="257"/>
      <c r="J324" s="98" t="s">
        <v>213</v>
      </c>
      <c r="K324" s="96" t="s">
        <v>54</v>
      </c>
      <c r="L324" s="280"/>
    </row>
    <row r="325" ht="15.75" customHeight="1">
      <c r="A325" s="251">
        <v>46233.0</v>
      </c>
      <c r="B325" s="252">
        <v>2.7139384E7</v>
      </c>
      <c r="C325" s="257"/>
      <c r="D325" s="253" t="s">
        <v>2171</v>
      </c>
      <c r="E325" s="254" t="s">
        <v>175</v>
      </c>
      <c r="F325" s="254" t="s">
        <v>590</v>
      </c>
      <c r="G325" s="255"/>
      <c r="H325" s="256">
        <v>0.0</v>
      </c>
      <c r="I325" s="257"/>
      <c r="J325" s="98" t="s">
        <v>213</v>
      </c>
      <c r="K325" s="96" t="s">
        <v>54</v>
      </c>
      <c r="L325" s="280"/>
    </row>
    <row r="326" ht="15.75" customHeight="1">
      <c r="A326" s="251">
        <v>46233.0</v>
      </c>
      <c r="B326" s="252">
        <v>2.7139068E7</v>
      </c>
      <c r="C326" s="252" t="s">
        <v>2172</v>
      </c>
      <c r="D326" s="253" t="s">
        <v>2173</v>
      </c>
      <c r="E326" s="254" t="s">
        <v>337</v>
      </c>
      <c r="F326" s="254" t="s">
        <v>338</v>
      </c>
      <c r="G326" s="255"/>
      <c r="H326" s="256">
        <v>0.0</v>
      </c>
      <c r="I326" s="257"/>
      <c r="J326" s="98" t="s">
        <v>213</v>
      </c>
      <c r="K326" s="96" t="s">
        <v>54</v>
      </c>
      <c r="L326" s="280"/>
    </row>
    <row r="327" ht="15.75" customHeight="1">
      <c r="A327" s="251">
        <v>46233.0</v>
      </c>
      <c r="B327" s="252">
        <v>2.7138808E7</v>
      </c>
      <c r="C327" s="252" t="s">
        <v>2174</v>
      </c>
      <c r="D327" s="253" t="s">
        <v>2175</v>
      </c>
      <c r="E327" s="254" t="s">
        <v>337</v>
      </c>
      <c r="F327" s="254" t="s">
        <v>338</v>
      </c>
      <c r="G327" s="255"/>
      <c r="H327" s="256">
        <v>0.0</v>
      </c>
      <c r="I327" s="257"/>
      <c r="J327" s="98" t="s">
        <v>213</v>
      </c>
      <c r="K327" s="96" t="s">
        <v>54</v>
      </c>
      <c r="L327" s="280"/>
    </row>
    <row r="328" ht="15.75" customHeight="1">
      <c r="A328" s="251">
        <v>46233.0</v>
      </c>
      <c r="B328" s="252">
        <v>2.7138728E7</v>
      </c>
      <c r="C328" s="252" t="s">
        <v>2176</v>
      </c>
      <c r="D328" s="253" t="s">
        <v>2177</v>
      </c>
      <c r="E328" s="254" t="s">
        <v>337</v>
      </c>
      <c r="F328" s="254" t="s">
        <v>338</v>
      </c>
      <c r="G328" s="255"/>
      <c r="H328" s="256">
        <v>0.0</v>
      </c>
      <c r="I328" s="257"/>
      <c r="J328" s="98" t="s">
        <v>213</v>
      </c>
      <c r="K328" s="96" t="s">
        <v>54</v>
      </c>
      <c r="L328" s="280"/>
    </row>
    <row r="329" ht="15.75" customHeight="1">
      <c r="A329" s="251">
        <v>46233.0</v>
      </c>
      <c r="B329" s="252">
        <v>2.7137852E7</v>
      </c>
      <c r="C329" s="252" t="s">
        <v>2178</v>
      </c>
      <c r="D329" s="253" t="s">
        <v>2179</v>
      </c>
      <c r="E329" s="254" t="s">
        <v>362</v>
      </c>
      <c r="F329" s="254" t="s">
        <v>590</v>
      </c>
      <c r="G329" s="255"/>
      <c r="H329" s="256">
        <v>0.0</v>
      </c>
      <c r="I329" s="257"/>
      <c r="J329" s="98" t="s">
        <v>213</v>
      </c>
      <c r="K329" s="96" t="s">
        <v>54</v>
      </c>
      <c r="L329" s="280"/>
    </row>
    <row r="330" ht="15.75" customHeight="1">
      <c r="A330" s="251">
        <v>46233.0</v>
      </c>
      <c r="B330" s="252">
        <v>2.7137678E7</v>
      </c>
      <c r="C330" s="252" t="s">
        <v>2180</v>
      </c>
      <c r="D330" s="253" t="s">
        <v>2181</v>
      </c>
      <c r="E330" s="254" t="s">
        <v>337</v>
      </c>
      <c r="F330" s="254" t="s">
        <v>338</v>
      </c>
      <c r="G330" s="255"/>
      <c r="H330" s="256">
        <v>0.0</v>
      </c>
      <c r="I330" s="257"/>
      <c r="J330" s="98" t="s">
        <v>213</v>
      </c>
      <c r="K330" s="96" t="s">
        <v>54</v>
      </c>
      <c r="L330" s="280"/>
    </row>
    <row r="331" ht="15.75" customHeight="1">
      <c r="A331" s="251">
        <v>46233.0</v>
      </c>
      <c r="B331" s="252">
        <v>2.7137204E7</v>
      </c>
      <c r="C331" s="252" t="s">
        <v>2182</v>
      </c>
      <c r="D331" s="253" t="s">
        <v>2183</v>
      </c>
      <c r="E331" s="254" t="s">
        <v>337</v>
      </c>
      <c r="F331" s="254" t="s">
        <v>338</v>
      </c>
      <c r="G331" s="255"/>
      <c r="H331" s="256">
        <v>0.0</v>
      </c>
      <c r="I331" s="257"/>
      <c r="J331" s="98" t="s">
        <v>213</v>
      </c>
      <c r="K331" s="96" t="s">
        <v>54</v>
      </c>
      <c r="L331" s="280"/>
    </row>
    <row r="332" ht="15.75" customHeight="1">
      <c r="A332" s="251">
        <v>46233.0</v>
      </c>
      <c r="B332" s="252">
        <v>2.7136184E7</v>
      </c>
      <c r="C332" s="252" t="s">
        <v>2184</v>
      </c>
      <c r="D332" s="253" t="s">
        <v>2185</v>
      </c>
      <c r="E332" s="254" t="s">
        <v>337</v>
      </c>
      <c r="F332" s="254" t="s">
        <v>434</v>
      </c>
      <c r="G332" s="255"/>
      <c r="H332" s="256">
        <v>0.0</v>
      </c>
      <c r="I332" s="257"/>
      <c r="J332" s="98" t="s">
        <v>213</v>
      </c>
      <c r="K332" s="96" t="s">
        <v>54</v>
      </c>
      <c r="L332" s="280"/>
    </row>
    <row r="333" ht="15.75" customHeight="1">
      <c r="A333" s="251">
        <v>46233.0</v>
      </c>
      <c r="B333" s="252">
        <v>2.7132562E7</v>
      </c>
      <c r="C333" s="252" t="s">
        <v>2186</v>
      </c>
      <c r="D333" s="253" t="s">
        <v>2187</v>
      </c>
      <c r="E333" s="254" t="s">
        <v>175</v>
      </c>
      <c r="F333" s="254" t="s">
        <v>590</v>
      </c>
      <c r="G333" s="255"/>
      <c r="H333" s="256">
        <v>0.0</v>
      </c>
      <c r="I333" s="257"/>
      <c r="J333" s="98" t="s">
        <v>213</v>
      </c>
      <c r="K333" s="96" t="s">
        <v>54</v>
      </c>
      <c r="L333" s="280"/>
    </row>
    <row r="334" ht="15.75" customHeight="1">
      <c r="A334" s="251">
        <v>46233.0</v>
      </c>
      <c r="B334" s="252">
        <v>2.7131088E7</v>
      </c>
      <c r="C334" s="252" t="s">
        <v>2188</v>
      </c>
      <c r="D334" s="253" t="s">
        <v>2189</v>
      </c>
      <c r="E334" s="254" t="s">
        <v>175</v>
      </c>
      <c r="F334" s="254" t="s">
        <v>590</v>
      </c>
      <c r="G334" s="255"/>
      <c r="H334" s="256">
        <v>0.0</v>
      </c>
      <c r="I334" s="257"/>
      <c r="J334" s="98" t="s">
        <v>213</v>
      </c>
      <c r="K334" s="96" t="s">
        <v>54</v>
      </c>
      <c r="L334" s="280"/>
    </row>
    <row r="335" ht="15.75" customHeight="1">
      <c r="A335" s="251">
        <v>46232.0</v>
      </c>
      <c r="B335" s="252">
        <v>2.713098E7</v>
      </c>
      <c r="C335" s="252" t="s">
        <v>2190</v>
      </c>
      <c r="D335" s="253" t="s">
        <v>2191</v>
      </c>
      <c r="E335" s="254" t="s">
        <v>175</v>
      </c>
      <c r="F335" s="254" t="s">
        <v>590</v>
      </c>
      <c r="G335" s="255"/>
      <c r="H335" s="256">
        <v>0.0</v>
      </c>
      <c r="I335" s="257"/>
      <c r="J335" s="98" t="s">
        <v>213</v>
      </c>
      <c r="K335" s="96" t="s">
        <v>54</v>
      </c>
      <c r="L335" s="280"/>
    </row>
    <row r="336" ht="15.75" customHeight="1">
      <c r="A336" s="251">
        <v>46232.0</v>
      </c>
      <c r="B336" s="252">
        <v>2.7130832E7</v>
      </c>
      <c r="C336" s="252" t="s">
        <v>2192</v>
      </c>
      <c r="D336" s="253" t="s">
        <v>2193</v>
      </c>
      <c r="E336" s="254" t="s">
        <v>175</v>
      </c>
      <c r="F336" s="254" t="s">
        <v>590</v>
      </c>
      <c r="G336" s="255"/>
      <c r="H336" s="256">
        <v>0.0</v>
      </c>
      <c r="I336" s="257"/>
      <c r="J336" s="98" t="s">
        <v>213</v>
      </c>
      <c r="K336" s="96" t="s">
        <v>54</v>
      </c>
      <c r="L336" s="280"/>
    </row>
    <row r="337" ht="15.75" customHeight="1">
      <c r="A337" s="251">
        <v>46232.0</v>
      </c>
      <c r="B337" s="252">
        <v>2.7130084E7</v>
      </c>
      <c r="C337" s="252" t="s">
        <v>2194</v>
      </c>
      <c r="D337" s="253" t="s">
        <v>2195</v>
      </c>
      <c r="E337" s="254" t="s">
        <v>175</v>
      </c>
      <c r="F337" s="254" t="s">
        <v>590</v>
      </c>
      <c r="G337" s="255"/>
      <c r="H337" s="256">
        <v>0.0</v>
      </c>
      <c r="I337" s="257"/>
      <c r="J337" s="98" t="s">
        <v>213</v>
      </c>
      <c r="K337" s="96" t="s">
        <v>54</v>
      </c>
      <c r="L337" s="280"/>
    </row>
    <row r="338" ht="15.75" customHeight="1">
      <c r="A338" s="251">
        <v>46232.0</v>
      </c>
      <c r="B338" s="252">
        <v>2.712642E7</v>
      </c>
      <c r="C338" s="252" t="s">
        <v>2196</v>
      </c>
      <c r="D338" s="253" t="s">
        <v>2197</v>
      </c>
      <c r="E338" s="254" t="s">
        <v>175</v>
      </c>
      <c r="F338" s="254" t="s">
        <v>590</v>
      </c>
      <c r="G338" s="255"/>
      <c r="H338" s="256">
        <v>0.0</v>
      </c>
      <c r="I338" s="257"/>
      <c r="J338" s="98" t="s">
        <v>213</v>
      </c>
      <c r="K338" s="96" t="s">
        <v>54</v>
      </c>
      <c r="L338" s="280"/>
    </row>
    <row r="339" ht="15.75" customHeight="1">
      <c r="A339" s="251">
        <v>46232.0</v>
      </c>
      <c r="B339" s="252">
        <v>2.712483E7</v>
      </c>
      <c r="C339" s="252" t="s">
        <v>2198</v>
      </c>
      <c r="D339" s="253" t="s">
        <v>2199</v>
      </c>
      <c r="E339" s="254" t="s">
        <v>337</v>
      </c>
      <c r="F339" s="254" t="s">
        <v>338</v>
      </c>
      <c r="G339" s="255"/>
      <c r="H339" s="256">
        <v>0.0</v>
      </c>
      <c r="I339" s="257"/>
      <c r="J339" s="98" t="s">
        <v>213</v>
      </c>
      <c r="K339" s="96" t="s">
        <v>54</v>
      </c>
      <c r="L339" s="280"/>
    </row>
    <row r="340" ht="15.75" customHeight="1">
      <c r="A340" s="251">
        <v>46232.0</v>
      </c>
      <c r="B340" s="252">
        <v>2.7123148E7</v>
      </c>
      <c r="C340" s="252" t="s">
        <v>2200</v>
      </c>
      <c r="D340" s="253" t="s">
        <v>2201</v>
      </c>
      <c r="E340" s="254" t="s">
        <v>337</v>
      </c>
      <c r="F340" s="254" t="s">
        <v>338</v>
      </c>
      <c r="G340" s="255"/>
      <c r="H340" s="256">
        <v>0.0</v>
      </c>
      <c r="I340" s="257"/>
      <c r="J340" s="98" t="s">
        <v>213</v>
      </c>
      <c r="K340" s="96" t="s">
        <v>54</v>
      </c>
      <c r="L340" s="280"/>
    </row>
    <row r="341" ht="15.75" customHeight="1">
      <c r="A341" s="251">
        <v>46232.0</v>
      </c>
      <c r="B341" s="252">
        <v>2.7123038E7</v>
      </c>
      <c r="C341" s="252" t="s">
        <v>2202</v>
      </c>
      <c r="D341" s="253" t="s">
        <v>2203</v>
      </c>
      <c r="E341" s="254" t="s">
        <v>337</v>
      </c>
      <c r="F341" s="254" t="s">
        <v>338</v>
      </c>
      <c r="G341" s="255"/>
      <c r="H341" s="256">
        <v>0.0</v>
      </c>
      <c r="I341" s="257"/>
      <c r="J341" s="98" t="s">
        <v>213</v>
      </c>
      <c r="K341" s="96" t="s">
        <v>54</v>
      </c>
      <c r="L341" s="280"/>
    </row>
    <row r="342" ht="15.75" customHeight="1">
      <c r="A342" s="251">
        <v>46232.0</v>
      </c>
      <c r="B342" s="252">
        <v>2.7122398E7</v>
      </c>
      <c r="C342" s="252" t="s">
        <v>2204</v>
      </c>
      <c r="D342" s="253" t="s">
        <v>2205</v>
      </c>
      <c r="E342" s="254" t="s">
        <v>337</v>
      </c>
      <c r="F342" s="254" t="s">
        <v>338</v>
      </c>
      <c r="G342" s="255"/>
      <c r="H342" s="256">
        <v>0.0</v>
      </c>
      <c r="I342" s="257"/>
      <c r="J342" s="98" t="s">
        <v>213</v>
      </c>
      <c r="K342" s="96" t="s">
        <v>54</v>
      </c>
      <c r="L342" s="280"/>
    </row>
    <row r="343" ht="15.75" customHeight="1">
      <c r="A343" s="251">
        <v>46231.0</v>
      </c>
      <c r="B343" s="252">
        <v>2.7121466E7</v>
      </c>
      <c r="C343" s="252" t="s">
        <v>2206</v>
      </c>
      <c r="D343" s="253" t="s">
        <v>2207</v>
      </c>
      <c r="E343" s="254" t="s">
        <v>337</v>
      </c>
      <c r="F343" s="254" t="s">
        <v>338</v>
      </c>
      <c r="G343" s="255"/>
      <c r="H343" s="256">
        <v>0.0</v>
      </c>
      <c r="I343" s="257"/>
      <c r="J343" s="98" t="s">
        <v>213</v>
      </c>
      <c r="K343" s="96" t="s">
        <v>54</v>
      </c>
      <c r="L343" s="280"/>
    </row>
    <row r="344" ht="15.75" customHeight="1">
      <c r="A344" s="251">
        <v>46231.0</v>
      </c>
      <c r="B344" s="252">
        <v>2.7121426E7</v>
      </c>
      <c r="C344" s="252" t="s">
        <v>2208</v>
      </c>
      <c r="D344" s="253" t="s">
        <v>2209</v>
      </c>
      <c r="E344" s="254" t="s">
        <v>337</v>
      </c>
      <c r="F344" s="254" t="s">
        <v>338</v>
      </c>
      <c r="G344" s="255"/>
      <c r="H344" s="256">
        <v>0.0</v>
      </c>
      <c r="I344" s="257"/>
      <c r="J344" s="98" t="s">
        <v>213</v>
      </c>
      <c r="K344" s="96" t="s">
        <v>54</v>
      </c>
      <c r="L344" s="280"/>
    </row>
    <row r="345" ht="15.75" customHeight="1">
      <c r="A345" s="251">
        <v>46231.0</v>
      </c>
      <c r="B345" s="252">
        <v>2.7120566E7</v>
      </c>
      <c r="C345" s="252" t="s">
        <v>2210</v>
      </c>
      <c r="D345" s="253" t="s">
        <v>2211</v>
      </c>
      <c r="E345" s="254" t="s">
        <v>337</v>
      </c>
      <c r="F345" s="254" t="s">
        <v>338</v>
      </c>
      <c r="G345" s="255"/>
      <c r="H345" s="256">
        <v>0.0</v>
      </c>
      <c r="I345" s="257"/>
      <c r="J345" s="98" t="s">
        <v>213</v>
      </c>
      <c r="K345" s="96" t="s">
        <v>54</v>
      </c>
      <c r="L345" s="280"/>
    </row>
    <row r="346" ht="15.75" customHeight="1">
      <c r="A346" s="251">
        <v>46231.0</v>
      </c>
      <c r="B346" s="252">
        <v>2.7119312E7</v>
      </c>
      <c r="C346" s="252" t="s">
        <v>2212</v>
      </c>
      <c r="D346" s="253" t="s">
        <v>2213</v>
      </c>
      <c r="E346" s="254" t="s">
        <v>175</v>
      </c>
      <c r="F346" s="254" t="s">
        <v>590</v>
      </c>
      <c r="G346" s="255"/>
      <c r="H346" s="256">
        <v>0.0</v>
      </c>
      <c r="I346" s="257"/>
      <c r="J346" s="98" t="s">
        <v>213</v>
      </c>
      <c r="K346" s="96" t="s">
        <v>54</v>
      </c>
      <c r="L346" s="280"/>
    </row>
    <row r="347" ht="15.75" customHeight="1">
      <c r="A347" s="251">
        <v>46231.0</v>
      </c>
      <c r="B347" s="252">
        <v>2.7116222E7</v>
      </c>
      <c r="C347" s="252" t="s">
        <v>2214</v>
      </c>
      <c r="D347" s="253" t="s">
        <v>2215</v>
      </c>
      <c r="E347" s="254" t="s">
        <v>175</v>
      </c>
      <c r="F347" s="254" t="s">
        <v>590</v>
      </c>
      <c r="G347" s="255"/>
      <c r="H347" s="256">
        <v>0.0</v>
      </c>
      <c r="I347" s="257"/>
      <c r="J347" s="98" t="s">
        <v>213</v>
      </c>
      <c r="K347" s="96" t="s">
        <v>54</v>
      </c>
      <c r="L347" s="280"/>
    </row>
    <row r="348" ht="15.75" customHeight="1">
      <c r="A348" s="251">
        <v>46231.0</v>
      </c>
      <c r="B348" s="252">
        <v>2.7113494E7</v>
      </c>
      <c r="C348" s="252" t="s">
        <v>2216</v>
      </c>
      <c r="D348" s="253" t="s">
        <v>2217</v>
      </c>
      <c r="E348" s="254" t="s">
        <v>175</v>
      </c>
      <c r="F348" s="254" t="s">
        <v>590</v>
      </c>
      <c r="G348" s="255"/>
      <c r="H348" s="256">
        <v>0.0</v>
      </c>
      <c r="I348" s="257"/>
      <c r="J348" s="98" t="s">
        <v>213</v>
      </c>
      <c r="K348" s="96" t="s">
        <v>54</v>
      </c>
      <c r="L348" s="280"/>
    </row>
    <row r="349" ht="15.75" customHeight="1">
      <c r="A349" s="251">
        <v>46231.0</v>
      </c>
      <c r="B349" s="252">
        <v>2.7113476E7</v>
      </c>
      <c r="C349" s="252" t="s">
        <v>2218</v>
      </c>
      <c r="D349" s="253" t="s">
        <v>2219</v>
      </c>
      <c r="E349" s="254" t="s">
        <v>175</v>
      </c>
      <c r="F349" s="254" t="s">
        <v>590</v>
      </c>
      <c r="G349" s="255"/>
      <c r="H349" s="256">
        <v>0.0</v>
      </c>
      <c r="I349" s="257"/>
      <c r="J349" s="98" t="s">
        <v>213</v>
      </c>
      <c r="K349" s="96" t="s">
        <v>54</v>
      </c>
      <c r="L349" s="280"/>
    </row>
    <row r="350" ht="15.75" customHeight="1">
      <c r="A350" s="251">
        <v>46230.0</v>
      </c>
      <c r="B350" s="252">
        <v>2.7111582E7</v>
      </c>
      <c r="C350" s="252" t="s">
        <v>2220</v>
      </c>
      <c r="D350" s="253" t="s">
        <v>2221</v>
      </c>
      <c r="E350" s="254" t="s">
        <v>175</v>
      </c>
      <c r="F350" s="254" t="s">
        <v>590</v>
      </c>
      <c r="G350" s="255"/>
      <c r="H350" s="256">
        <v>0.0</v>
      </c>
      <c r="I350" s="257"/>
      <c r="J350" s="98" t="s">
        <v>213</v>
      </c>
      <c r="K350" s="96" t="s">
        <v>54</v>
      </c>
      <c r="L350" s="280"/>
    </row>
    <row r="351" ht="15.75" customHeight="1">
      <c r="A351" s="251">
        <v>46230.0</v>
      </c>
      <c r="B351" s="252">
        <v>2.7110694E7</v>
      </c>
      <c r="C351" s="252" t="s">
        <v>2222</v>
      </c>
      <c r="D351" s="253" t="s">
        <v>2223</v>
      </c>
      <c r="E351" s="254" t="s">
        <v>175</v>
      </c>
      <c r="F351" s="254" t="s">
        <v>434</v>
      </c>
      <c r="G351" s="255"/>
      <c r="H351" s="256">
        <v>0.0</v>
      </c>
      <c r="I351" s="257"/>
      <c r="J351" s="98" t="s">
        <v>213</v>
      </c>
      <c r="K351" s="96" t="s">
        <v>54</v>
      </c>
      <c r="L351" s="280"/>
    </row>
    <row r="352" ht="15.75" customHeight="1">
      <c r="A352" s="251">
        <v>46230.0</v>
      </c>
      <c r="B352" s="252">
        <v>2.7109446E7</v>
      </c>
      <c r="C352" s="252" t="s">
        <v>2224</v>
      </c>
      <c r="D352" s="253" t="s">
        <v>2225</v>
      </c>
      <c r="E352" s="254" t="s">
        <v>337</v>
      </c>
      <c r="F352" s="254" t="s">
        <v>358</v>
      </c>
      <c r="G352" s="255"/>
      <c r="H352" s="256">
        <v>0.0</v>
      </c>
      <c r="I352" s="257"/>
      <c r="J352" s="98" t="s">
        <v>213</v>
      </c>
      <c r="K352" s="96" t="s">
        <v>54</v>
      </c>
      <c r="L352" s="280"/>
    </row>
    <row r="353" ht="15.75" customHeight="1">
      <c r="A353" s="251">
        <v>46230.0</v>
      </c>
      <c r="B353" s="252">
        <v>2.7109168E7</v>
      </c>
      <c r="C353" s="252" t="s">
        <v>2226</v>
      </c>
      <c r="D353" s="253" t="s">
        <v>2227</v>
      </c>
      <c r="E353" s="254" t="s">
        <v>337</v>
      </c>
      <c r="F353" s="254" t="s">
        <v>338</v>
      </c>
      <c r="G353" s="255"/>
      <c r="H353" s="256">
        <v>0.0</v>
      </c>
      <c r="I353" s="257"/>
      <c r="J353" s="98" t="s">
        <v>213</v>
      </c>
      <c r="K353" s="96" t="s">
        <v>54</v>
      </c>
      <c r="L353" s="280"/>
    </row>
    <row r="354" ht="15.75" customHeight="1">
      <c r="A354" s="251">
        <v>46230.0</v>
      </c>
      <c r="B354" s="252">
        <v>2.7107752E7</v>
      </c>
      <c r="C354" s="252" t="s">
        <v>2228</v>
      </c>
      <c r="D354" s="253" t="s">
        <v>2229</v>
      </c>
      <c r="E354" s="254" t="s">
        <v>175</v>
      </c>
      <c r="F354" s="254" t="s">
        <v>590</v>
      </c>
      <c r="G354" s="255"/>
      <c r="H354" s="256">
        <v>0.0</v>
      </c>
      <c r="I354" s="257"/>
      <c r="J354" s="98" t="s">
        <v>213</v>
      </c>
      <c r="K354" s="96" t="s">
        <v>54</v>
      </c>
      <c r="L354" s="280"/>
    </row>
    <row r="355" ht="15.75" customHeight="1">
      <c r="A355" s="251">
        <v>46230.0</v>
      </c>
      <c r="B355" s="252">
        <v>2.7107328E7</v>
      </c>
      <c r="C355" s="252" t="s">
        <v>2230</v>
      </c>
      <c r="D355" s="253" t="s">
        <v>2231</v>
      </c>
      <c r="E355" s="254" t="s">
        <v>337</v>
      </c>
      <c r="F355" s="254" t="s">
        <v>434</v>
      </c>
      <c r="G355" s="255"/>
      <c r="H355" s="256">
        <v>0.0</v>
      </c>
      <c r="I355" s="257"/>
      <c r="J355" s="98" t="s">
        <v>213</v>
      </c>
      <c r="K355" s="96" t="s">
        <v>54</v>
      </c>
      <c r="L355" s="280"/>
    </row>
    <row r="356" ht="15.75" customHeight="1">
      <c r="A356" s="251">
        <v>46230.0</v>
      </c>
      <c r="B356" s="252">
        <v>2.7106792E7</v>
      </c>
      <c r="C356" s="252" t="s">
        <v>2232</v>
      </c>
      <c r="D356" s="253" t="s">
        <v>2233</v>
      </c>
      <c r="E356" s="254" t="s">
        <v>175</v>
      </c>
      <c r="F356" s="254" t="s">
        <v>590</v>
      </c>
      <c r="G356" s="255"/>
      <c r="H356" s="256">
        <v>0.0</v>
      </c>
      <c r="I356" s="257"/>
      <c r="J356" s="98" t="s">
        <v>213</v>
      </c>
      <c r="K356" s="96" t="s">
        <v>54</v>
      </c>
      <c r="L356" s="280"/>
    </row>
    <row r="357" ht="15.75" customHeight="1">
      <c r="A357" s="251">
        <v>46230.0</v>
      </c>
      <c r="B357" s="252">
        <v>2.710654E7</v>
      </c>
      <c r="C357" s="252" t="s">
        <v>2234</v>
      </c>
      <c r="D357" s="253" t="s">
        <v>2235</v>
      </c>
      <c r="E357" s="254" t="s">
        <v>175</v>
      </c>
      <c r="F357" s="254" t="s">
        <v>590</v>
      </c>
      <c r="G357" s="255"/>
      <c r="H357" s="256">
        <v>0.0</v>
      </c>
      <c r="I357" s="257"/>
      <c r="J357" s="98" t="s">
        <v>213</v>
      </c>
      <c r="K357" s="96" t="s">
        <v>54</v>
      </c>
      <c r="L357" s="280"/>
    </row>
    <row r="358" ht="15.75" customHeight="1">
      <c r="A358" s="251">
        <v>46230.0</v>
      </c>
      <c r="B358" s="252">
        <v>2.7105244E7</v>
      </c>
      <c r="C358" s="252" t="s">
        <v>2236</v>
      </c>
      <c r="D358" s="253" t="s">
        <v>2237</v>
      </c>
      <c r="E358" s="254" t="s">
        <v>362</v>
      </c>
      <c r="F358" s="254" t="s">
        <v>590</v>
      </c>
      <c r="G358" s="255"/>
      <c r="H358" s="256">
        <v>0.0</v>
      </c>
      <c r="I358" s="257"/>
      <c r="J358" s="98" t="s">
        <v>213</v>
      </c>
      <c r="K358" s="96" t="s">
        <v>54</v>
      </c>
      <c r="L358" s="280"/>
    </row>
    <row r="359" ht="15.75" customHeight="1">
      <c r="A359" s="251">
        <v>46230.0</v>
      </c>
      <c r="B359" s="252">
        <v>2.7105202E7</v>
      </c>
      <c r="C359" s="252" t="s">
        <v>2238</v>
      </c>
      <c r="D359" s="253" t="s">
        <v>2239</v>
      </c>
      <c r="E359" s="254" t="s">
        <v>337</v>
      </c>
      <c r="F359" s="254" t="s">
        <v>434</v>
      </c>
      <c r="G359" s="255"/>
      <c r="H359" s="256">
        <v>0.0</v>
      </c>
      <c r="I359" s="257"/>
      <c r="J359" s="98" t="s">
        <v>213</v>
      </c>
      <c r="K359" s="96" t="s">
        <v>54</v>
      </c>
      <c r="L359" s="280"/>
    </row>
    <row r="360" ht="15.75" customHeight="1">
      <c r="A360" s="251">
        <v>46230.0</v>
      </c>
      <c r="B360" s="252">
        <v>2.7102894E7</v>
      </c>
      <c r="C360" s="252" t="s">
        <v>2240</v>
      </c>
      <c r="D360" s="253" t="s">
        <v>2241</v>
      </c>
      <c r="E360" s="254" t="s">
        <v>337</v>
      </c>
      <c r="F360" s="254" t="s">
        <v>358</v>
      </c>
      <c r="G360" s="255"/>
      <c r="H360" s="256">
        <v>0.0</v>
      </c>
      <c r="I360" s="257"/>
      <c r="J360" s="98" t="s">
        <v>213</v>
      </c>
      <c r="K360" s="96" t="s">
        <v>54</v>
      </c>
      <c r="L360" s="280"/>
    </row>
    <row r="361" ht="15.75" customHeight="1">
      <c r="A361" s="251">
        <v>46229.0</v>
      </c>
      <c r="B361" s="252">
        <v>2.7102358E7</v>
      </c>
      <c r="C361" s="252" t="s">
        <v>2242</v>
      </c>
      <c r="D361" s="253" t="s">
        <v>2243</v>
      </c>
      <c r="E361" s="254" t="s">
        <v>362</v>
      </c>
      <c r="F361" s="254" t="s">
        <v>334</v>
      </c>
      <c r="G361" s="255"/>
      <c r="H361" s="256">
        <v>0.0</v>
      </c>
      <c r="I361" s="252" t="s">
        <v>2244</v>
      </c>
      <c r="J361" s="98" t="s">
        <v>213</v>
      </c>
      <c r="K361" s="96" t="s">
        <v>54</v>
      </c>
      <c r="L361" s="280"/>
    </row>
    <row r="362" ht="15.75" customHeight="1">
      <c r="A362" s="251">
        <v>46229.0</v>
      </c>
      <c r="B362" s="252">
        <v>2.7100952E7</v>
      </c>
      <c r="C362" s="252" t="s">
        <v>2245</v>
      </c>
      <c r="D362" s="253" t="s">
        <v>2246</v>
      </c>
      <c r="E362" s="254" t="s">
        <v>362</v>
      </c>
      <c r="F362" s="254" t="s">
        <v>334</v>
      </c>
      <c r="G362" s="255"/>
      <c r="H362" s="256">
        <v>0.0</v>
      </c>
      <c r="I362" s="257"/>
      <c r="J362" s="98" t="s">
        <v>213</v>
      </c>
      <c r="K362" s="96" t="s">
        <v>54</v>
      </c>
      <c r="L362" s="280"/>
    </row>
    <row r="363" ht="15.75" customHeight="1">
      <c r="A363" s="251">
        <v>46229.0</v>
      </c>
      <c r="B363" s="252">
        <v>2.7099234E7</v>
      </c>
      <c r="C363" s="252" t="s">
        <v>2247</v>
      </c>
      <c r="D363" s="253" t="s">
        <v>2248</v>
      </c>
      <c r="E363" s="254" t="s">
        <v>337</v>
      </c>
      <c r="F363" s="254" t="s">
        <v>358</v>
      </c>
      <c r="G363" s="255"/>
      <c r="H363" s="256">
        <v>0.0</v>
      </c>
      <c r="I363" s="257"/>
      <c r="J363" s="98" t="s">
        <v>213</v>
      </c>
      <c r="K363" s="96" t="s">
        <v>54</v>
      </c>
      <c r="L363" s="280"/>
    </row>
    <row r="364" ht="15.75" customHeight="1">
      <c r="A364" s="251">
        <v>46229.0</v>
      </c>
      <c r="B364" s="252">
        <v>2.7096884E7</v>
      </c>
      <c r="C364" s="252" t="s">
        <v>2249</v>
      </c>
      <c r="D364" s="253" t="s">
        <v>2250</v>
      </c>
      <c r="E364" s="254" t="s">
        <v>362</v>
      </c>
      <c r="F364" s="254" t="s">
        <v>590</v>
      </c>
      <c r="G364" s="255"/>
      <c r="H364" s="256">
        <v>0.0</v>
      </c>
      <c r="I364" s="257"/>
      <c r="J364" s="98" t="s">
        <v>213</v>
      </c>
      <c r="K364" s="96" t="s">
        <v>54</v>
      </c>
      <c r="L364" s="280"/>
    </row>
    <row r="365" ht="15.75" customHeight="1">
      <c r="A365" s="251">
        <v>46229.0</v>
      </c>
      <c r="B365" s="252">
        <v>2.709614E7</v>
      </c>
      <c r="C365" s="252" t="s">
        <v>2251</v>
      </c>
      <c r="D365" s="253" t="s">
        <v>2252</v>
      </c>
      <c r="E365" s="254" t="s">
        <v>362</v>
      </c>
      <c r="F365" s="254" t="s">
        <v>590</v>
      </c>
      <c r="G365" s="255"/>
      <c r="H365" s="256">
        <v>0.0</v>
      </c>
      <c r="I365" s="257"/>
      <c r="J365" s="98" t="s">
        <v>213</v>
      </c>
      <c r="K365" s="96" t="s">
        <v>54</v>
      </c>
      <c r="L365" s="280"/>
    </row>
    <row r="366" ht="15.75" customHeight="1">
      <c r="A366" s="251">
        <v>46229.0</v>
      </c>
      <c r="B366" s="252">
        <v>2.7095812E7</v>
      </c>
      <c r="C366" s="252" t="s">
        <v>2253</v>
      </c>
      <c r="D366" s="253" t="s">
        <v>2254</v>
      </c>
      <c r="E366" s="254" t="s">
        <v>362</v>
      </c>
      <c r="F366" s="254" t="s">
        <v>334</v>
      </c>
      <c r="G366" s="255"/>
      <c r="H366" s="256">
        <v>0.0</v>
      </c>
      <c r="I366" s="257"/>
      <c r="J366" s="98" t="s">
        <v>213</v>
      </c>
      <c r="K366" s="96" t="s">
        <v>54</v>
      </c>
      <c r="L366" s="280"/>
    </row>
    <row r="367" ht="15.75" customHeight="1">
      <c r="A367" s="251">
        <v>46228.0</v>
      </c>
      <c r="B367" s="252">
        <v>2.7095326E7</v>
      </c>
      <c r="C367" s="252" t="s">
        <v>2255</v>
      </c>
      <c r="D367" s="253" t="s">
        <v>2256</v>
      </c>
      <c r="E367" s="254" t="s">
        <v>362</v>
      </c>
      <c r="F367" s="254" t="s">
        <v>590</v>
      </c>
      <c r="G367" s="255"/>
      <c r="H367" s="256">
        <v>0.0</v>
      </c>
      <c r="I367" s="257"/>
      <c r="J367" s="98" t="s">
        <v>213</v>
      </c>
      <c r="K367" s="96" t="s">
        <v>54</v>
      </c>
      <c r="L367" s="280"/>
    </row>
    <row r="368" ht="15.75" customHeight="1">
      <c r="A368" s="251">
        <v>46228.0</v>
      </c>
      <c r="B368" s="252">
        <v>2.7094442E7</v>
      </c>
      <c r="C368" s="252" t="s">
        <v>2257</v>
      </c>
      <c r="D368" s="253" t="s">
        <v>2258</v>
      </c>
      <c r="E368" s="254" t="s">
        <v>362</v>
      </c>
      <c r="F368" s="254" t="s">
        <v>334</v>
      </c>
      <c r="G368" s="255"/>
      <c r="H368" s="256">
        <v>0.0</v>
      </c>
      <c r="I368" s="257"/>
      <c r="J368" s="98" t="s">
        <v>213</v>
      </c>
      <c r="K368" s="96" t="s">
        <v>54</v>
      </c>
      <c r="L368" s="280"/>
    </row>
    <row r="369" ht="15.75" customHeight="1">
      <c r="A369" s="251">
        <v>46228.0</v>
      </c>
      <c r="B369" s="252">
        <v>2.7089608E7</v>
      </c>
      <c r="C369" s="252" t="s">
        <v>2259</v>
      </c>
      <c r="D369" s="253" t="s">
        <v>2260</v>
      </c>
      <c r="E369" s="254" t="s">
        <v>362</v>
      </c>
      <c r="F369" s="254" t="s">
        <v>334</v>
      </c>
      <c r="G369" s="255"/>
      <c r="H369" s="256">
        <v>0.0</v>
      </c>
      <c r="I369" s="257"/>
      <c r="J369" s="98" t="s">
        <v>213</v>
      </c>
      <c r="K369" s="96" t="s">
        <v>54</v>
      </c>
      <c r="L369" s="280"/>
    </row>
    <row r="370" ht="15.75" customHeight="1">
      <c r="A370" s="251">
        <v>46228.0</v>
      </c>
      <c r="B370" s="252">
        <v>2.7088618E7</v>
      </c>
      <c r="C370" s="252" t="s">
        <v>2261</v>
      </c>
      <c r="D370" s="253" t="s">
        <v>2262</v>
      </c>
      <c r="E370" s="254" t="s">
        <v>362</v>
      </c>
      <c r="F370" s="254" t="s">
        <v>334</v>
      </c>
      <c r="G370" s="255"/>
      <c r="H370" s="256">
        <v>0.0</v>
      </c>
      <c r="I370" s="257"/>
      <c r="J370" s="98" t="s">
        <v>213</v>
      </c>
      <c r="K370" s="96" t="s">
        <v>54</v>
      </c>
      <c r="L370" s="280"/>
    </row>
    <row r="371" ht="15.75" customHeight="1">
      <c r="A371" s="251">
        <v>46228.0</v>
      </c>
      <c r="B371" s="252">
        <v>2.7088588E7</v>
      </c>
      <c r="C371" s="252" t="s">
        <v>2263</v>
      </c>
      <c r="D371" s="253" t="s">
        <v>2264</v>
      </c>
      <c r="E371" s="254" t="s">
        <v>362</v>
      </c>
      <c r="F371" s="254" t="s">
        <v>334</v>
      </c>
      <c r="G371" s="255"/>
      <c r="H371" s="256">
        <v>0.0</v>
      </c>
      <c r="I371" s="257"/>
      <c r="J371" s="98" t="s">
        <v>213</v>
      </c>
      <c r="K371" s="96" t="s">
        <v>54</v>
      </c>
      <c r="L371" s="280"/>
    </row>
    <row r="372" ht="15.75" customHeight="1">
      <c r="A372" s="251">
        <v>46228.0</v>
      </c>
      <c r="B372" s="252">
        <v>2.7088562E7</v>
      </c>
      <c r="C372" s="252" t="s">
        <v>2265</v>
      </c>
      <c r="D372" s="253" t="s">
        <v>2266</v>
      </c>
      <c r="E372" s="254" t="s">
        <v>362</v>
      </c>
      <c r="F372" s="254" t="s">
        <v>334</v>
      </c>
      <c r="G372" s="255"/>
      <c r="H372" s="256">
        <v>0.0</v>
      </c>
      <c r="I372" s="257"/>
      <c r="J372" s="98" t="s">
        <v>213</v>
      </c>
      <c r="K372" s="96" t="s">
        <v>54</v>
      </c>
      <c r="L372" s="280"/>
    </row>
    <row r="373" ht="15.75" customHeight="1">
      <c r="A373" s="251">
        <v>46228.0</v>
      </c>
      <c r="B373" s="252">
        <v>2.7088126E7</v>
      </c>
      <c r="C373" s="252" t="s">
        <v>2267</v>
      </c>
      <c r="D373" s="253" t="s">
        <v>2268</v>
      </c>
      <c r="E373" s="254" t="s">
        <v>362</v>
      </c>
      <c r="F373" s="254" t="s">
        <v>590</v>
      </c>
      <c r="G373" s="255"/>
      <c r="H373" s="256">
        <v>0.0</v>
      </c>
      <c r="I373" s="252" t="s">
        <v>2269</v>
      </c>
      <c r="J373" s="98" t="s">
        <v>213</v>
      </c>
      <c r="K373" s="96" t="s">
        <v>54</v>
      </c>
      <c r="L373" s="280"/>
    </row>
    <row r="374" ht="15.75" customHeight="1">
      <c r="A374" s="251">
        <v>46227.0</v>
      </c>
      <c r="B374" s="252">
        <v>2.7085938E7</v>
      </c>
      <c r="C374" s="252" t="s">
        <v>2267</v>
      </c>
      <c r="D374" s="253" t="s">
        <v>2268</v>
      </c>
      <c r="E374" s="254" t="s">
        <v>362</v>
      </c>
      <c r="F374" s="254" t="s">
        <v>338</v>
      </c>
      <c r="G374" s="255"/>
      <c r="H374" s="256">
        <v>0.0</v>
      </c>
      <c r="I374" s="257"/>
      <c r="J374" s="98" t="s">
        <v>213</v>
      </c>
      <c r="K374" s="96" t="s">
        <v>54</v>
      </c>
      <c r="L374" s="280"/>
    </row>
    <row r="375" ht="15.75" customHeight="1">
      <c r="A375" s="251">
        <v>46227.0</v>
      </c>
      <c r="B375" s="252">
        <v>2.7081226E7</v>
      </c>
      <c r="C375" s="314" t="s">
        <v>2270</v>
      </c>
      <c r="D375" s="253" t="s">
        <v>2271</v>
      </c>
      <c r="E375" s="254" t="s">
        <v>129</v>
      </c>
      <c r="F375" s="254" t="s">
        <v>338</v>
      </c>
      <c r="G375" s="255"/>
      <c r="H375" s="256">
        <v>0.0</v>
      </c>
      <c r="I375" s="257"/>
      <c r="J375" s="98" t="s">
        <v>213</v>
      </c>
      <c r="K375" s="96" t="s">
        <v>54</v>
      </c>
      <c r="L375" s="280"/>
    </row>
    <row r="376" ht="15.75" customHeight="1">
      <c r="A376" s="251">
        <v>46227.0</v>
      </c>
      <c r="B376" s="252">
        <v>2.7080124E7</v>
      </c>
      <c r="C376" s="252" t="s">
        <v>2272</v>
      </c>
      <c r="D376" s="253" t="s">
        <v>2273</v>
      </c>
      <c r="E376" s="254" t="s">
        <v>129</v>
      </c>
      <c r="F376" s="254" t="s">
        <v>338</v>
      </c>
      <c r="G376" s="255"/>
      <c r="H376" s="256">
        <v>0.0</v>
      </c>
      <c r="I376" s="257"/>
      <c r="J376" s="98" t="s">
        <v>213</v>
      </c>
      <c r="K376" s="96" t="s">
        <v>54</v>
      </c>
      <c r="L376" s="280"/>
    </row>
    <row r="377" ht="15.75" customHeight="1">
      <c r="A377" s="251">
        <v>46227.0</v>
      </c>
      <c r="B377" s="252">
        <v>2.7079974E7</v>
      </c>
      <c r="C377" s="252" t="s">
        <v>2274</v>
      </c>
      <c r="D377" s="253" t="s">
        <v>2275</v>
      </c>
      <c r="E377" s="254" t="s">
        <v>337</v>
      </c>
      <c r="F377" s="254" t="s">
        <v>434</v>
      </c>
      <c r="G377" s="255"/>
      <c r="H377" s="256">
        <v>0.0</v>
      </c>
      <c r="I377" s="257"/>
      <c r="J377" s="98" t="s">
        <v>213</v>
      </c>
      <c r="K377" s="96" t="s">
        <v>54</v>
      </c>
      <c r="L377" s="280"/>
    </row>
    <row r="378" ht="15.75" customHeight="1">
      <c r="A378" s="251">
        <v>46226.0</v>
      </c>
      <c r="B378" s="252">
        <v>2.7079568E7</v>
      </c>
      <c r="C378" s="252" t="s">
        <v>2276</v>
      </c>
      <c r="D378" s="253" t="s">
        <v>2277</v>
      </c>
      <c r="E378" s="254" t="s">
        <v>337</v>
      </c>
      <c r="F378" s="254" t="s">
        <v>590</v>
      </c>
      <c r="G378" s="255"/>
      <c r="H378" s="256">
        <v>0.0</v>
      </c>
      <c r="I378" s="257"/>
      <c r="J378" s="98" t="s">
        <v>213</v>
      </c>
      <c r="K378" s="96" t="s">
        <v>54</v>
      </c>
      <c r="L378" s="280"/>
    </row>
    <row r="379" ht="15.75" customHeight="1">
      <c r="A379" s="251">
        <v>46226.0</v>
      </c>
      <c r="B379" s="252">
        <v>2.707879E7</v>
      </c>
      <c r="C379" s="252" t="s">
        <v>2278</v>
      </c>
      <c r="D379" s="253" t="s">
        <v>2279</v>
      </c>
      <c r="E379" s="254" t="s">
        <v>129</v>
      </c>
      <c r="F379" s="254" t="s">
        <v>338</v>
      </c>
      <c r="G379" s="255"/>
      <c r="H379" s="256">
        <v>0.0</v>
      </c>
      <c r="I379" s="257"/>
      <c r="J379" s="98" t="s">
        <v>213</v>
      </c>
      <c r="K379" s="96" t="s">
        <v>54</v>
      </c>
      <c r="L379" s="280"/>
    </row>
    <row r="380" ht="15.75" customHeight="1">
      <c r="A380" s="251">
        <v>46226.0</v>
      </c>
      <c r="B380" s="252">
        <v>2.7075246E7</v>
      </c>
      <c r="C380" s="252" t="s">
        <v>2280</v>
      </c>
      <c r="D380" s="253" t="s">
        <v>2281</v>
      </c>
      <c r="E380" s="254" t="s">
        <v>129</v>
      </c>
      <c r="F380" s="254" t="s">
        <v>338</v>
      </c>
      <c r="G380" s="255"/>
      <c r="H380" s="256">
        <v>0.0</v>
      </c>
      <c r="I380" s="257"/>
      <c r="J380" s="98" t="s">
        <v>213</v>
      </c>
      <c r="K380" s="96" t="s">
        <v>54</v>
      </c>
      <c r="L380" s="280"/>
    </row>
    <row r="381" ht="15.75" customHeight="1">
      <c r="A381" s="251">
        <v>46226.0</v>
      </c>
      <c r="B381" s="252">
        <v>2.7074544E7</v>
      </c>
      <c r="C381" s="252" t="s">
        <v>2282</v>
      </c>
      <c r="D381" s="253" t="s">
        <v>2283</v>
      </c>
      <c r="E381" s="254" t="s">
        <v>129</v>
      </c>
      <c r="F381" s="254" t="s">
        <v>338</v>
      </c>
      <c r="G381" s="255"/>
      <c r="H381" s="256">
        <v>0.0</v>
      </c>
      <c r="I381" s="257"/>
      <c r="J381" s="98" t="s">
        <v>213</v>
      </c>
      <c r="K381" s="96" t="s">
        <v>54</v>
      </c>
      <c r="L381" s="280"/>
    </row>
    <row r="382" ht="15.75" customHeight="1">
      <c r="A382" s="251">
        <v>46226.0</v>
      </c>
      <c r="B382" s="252">
        <v>2.7074116E7</v>
      </c>
      <c r="C382" s="252" t="s">
        <v>2284</v>
      </c>
      <c r="D382" s="253" t="s">
        <v>2285</v>
      </c>
      <c r="E382" s="254" t="s">
        <v>129</v>
      </c>
      <c r="F382" s="254" t="s">
        <v>338</v>
      </c>
      <c r="G382" s="255"/>
      <c r="H382" s="256">
        <v>0.0</v>
      </c>
      <c r="I382" s="257"/>
      <c r="J382" s="98" t="s">
        <v>213</v>
      </c>
      <c r="K382" s="96" t="s">
        <v>54</v>
      </c>
      <c r="L382" s="280"/>
    </row>
    <row r="383" ht="15.75" customHeight="1">
      <c r="A383" s="251">
        <v>46226.0</v>
      </c>
      <c r="B383" s="252">
        <v>2.707404E7</v>
      </c>
      <c r="C383" s="252" t="s">
        <v>2286</v>
      </c>
      <c r="D383" s="253" t="s">
        <v>2287</v>
      </c>
      <c r="E383" s="254" t="s">
        <v>362</v>
      </c>
      <c r="F383" s="254" t="s">
        <v>590</v>
      </c>
      <c r="G383" s="255"/>
      <c r="H383" s="256">
        <v>0.0</v>
      </c>
      <c r="I383" s="257"/>
      <c r="J383" s="98" t="s">
        <v>213</v>
      </c>
      <c r="K383" s="96" t="s">
        <v>54</v>
      </c>
      <c r="L383" s="280"/>
    </row>
    <row r="384" ht="15.75" customHeight="1">
      <c r="A384" s="251">
        <v>46226.0</v>
      </c>
      <c r="B384" s="252">
        <v>2.7071576E7</v>
      </c>
      <c r="C384" s="252" t="s">
        <v>2288</v>
      </c>
      <c r="D384" s="253" t="s">
        <v>2289</v>
      </c>
      <c r="E384" s="254" t="s">
        <v>337</v>
      </c>
      <c r="F384" s="254" t="s">
        <v>434</v>
      </c>
      <c r="G384" s="255"/>
      <c r="H384" s="256">
        <v>0.0</v>
      </c>
      <c r="I384" s="257"/>
      <c r="J384" s="98" t="s">
        <v>213</v>
      </c>
      <c r="K384" s="96" t="s">
        <v>54</v>
      </c>
      <c r="L384" s="280"/>
    </row>
    <row r="385" ht="15.75" customHeight="1">
      <c r="A385" s="251">
        <v>46226.0</v>
      </c>
      <c r="B385" s="252">
        <v>2.707148E7</v>
      </c>
      <c r="C385" s="252" t="s">
        <v>2290</v>
      </c>
      <c r="D385" s="253" t="s">
        <v>2291</v>
      </c>
      <c r="E385" s="254" t="s">
        <v>337</v>
      </c>
      <c r="F385" s="254" t="s">
        <v>434</v>
      </c>
      <c r="G385" s="255"/>
      <c r="H385" s="256">
        <v>0.0</v>
      </c>
      <c r="I385" s="257"/>
      <c r="J385" s="98" t="s">
        <v>213</v>
      </c>
      <c r="K385" s="96" t="s">
        <v>54</v>
      </c>
      <c r="L385" s="280"/>
    </row>
    <row r="386" ht="15.75" customHeight="1">
      <c r="A386" s="251">
        <v>46226.0</v>
      </c>
      <c r="B386" s="252">
        <v>2.7070712E7</v>
      </c>
      <c r="C386" s="252" t="s">
        <v>2292</v>
      </c>
      <c r="D386" s="253" t="s">
        <v>2293</v>
      </c>
      <c r="E386" s="254" t="s">
        <v>129</v>
      </c>
      <c r="F386" s="254" t="s">
        <v>338</v>
      </c>
      <c r="G386" s="255"/>
      <c r="H386" s="256">
        <v>0.0</v>
      </c>
      <c r="I386" s="257"/>
      <c r="J386" s="98" t="s">
        <v>213</v>
      </c>
      <c r="K386" s="96" t="s">
        <v>54</v>
      </c>
      <c r="L386" s="280"/>
    </row>
    <row r="387" ht="15.75" customHeight="1">
      <c r="A387" s="251">
        <v>46225.0</v>
      </c>
      <c r="B387" s="252">
        <v>2.707026E7</v>
      </c>
      <c r="C387" s="252" t="s">
        <v>2294</v>
      </c>
      <c r="D387" s="253" t="s">
        <v>2295</v>
      </c>
      <c r="E387" s="254" t="s">
        <v>337</v>
      </c>
      <c r="F387" s="254" t="s">
        <v>434</v>
      </c>
      <c r="G387" s="255"/>
      <c r="H387" s="256">
        <v>0.0</v>
      </c>
      <c r="I387" s="257"/>
      <c r="J387" s="98" t="s">
        <v>213</v>
      </c>
      <c r="K387" s="96" t="s">
        <v>54</v>
      </c>
      <c r="L387" s="280"/>
    </row>
    <row r="388" ht="15.75" customHeight="1">
      <c r="A388" s="251">
        <v>46225.0</v>
      </c>
      <c r="B388" s="252">
        <v>2.7070238E7</v>
      </c>
      <c r="C388" s="252" t="s">
        <v>2296</v>
      </c>
      <c r="D388" s="253" t="s">
        <v>2297</v>
      </c>
      <c r="E388" s="254" t="s">
        <v>337</v>
      </c>
      <c r="F388" s="254" t="s">
        <v>434</v>
      </c>
      <c r="G388" s="255"/>
      <c r="H388" s="256">
        <v>0.0</v>
      </c>
      <c r="I388" s="257"/>
      <c r="J388" s="98" t="s">
        <v>213</v>
      </c>
      <c r="K388" s="96" t="s">
        <v>54</v>
      </c>
      <c r="L388" s="280"/>
    </row>
    <row r="389" ht="15.75" customHeight="1">
      <c r="A389" s="251">
        <v>46225.0</v>
      </c>
      <c r="B389" s="252">
        <v>2.7069756E7</v>
      </c>
      <c r="C389" s="252" t="s">
        <v>2298</v>
      </c>
      <c r="D389" s="253" t="s">
        <v>2299</v>
      </c>
      <c r="E389" s="254" t="s">
        <v>337</v>
      </c>
      <c r="F389" s="254" t="s">
        <v>338</v>
      </c>
      <c r="G389" s="255"/>
      <c r="H389" s="256">
        <v>0.0</v>
      </c>
      <c r="I389" s="257"/>
      <c r="J389" s="98" t="s">
        <v>213</v>
      </c>
      <c r="K389" s="96" t="s">
        <v>54</v>
      </c>
      <c r="L389" s="280"/>
    </row>
    <row r="390" ht="15.75" customHeight="1">
      <c r="A390" s="251">
        <v>46225.0</v>
      </c>
      <c r="B390" s="252">
        <v>2.7068218E7</v>
      </c>
      <c r="C390" s="252" t="s">
        <v>2300</v>
      </c>
      <c r="D390" s="253" t="s">
        <v>2301</v>
      </c>
      <c r="E390" s="254" t="s">
        <v>129</v>
      </c>
      <c r="F390" s="254" t="s">
        <v>338</v>
      </c>
      <c r="G390" s="255"/>
      <c r="H390" s="256">
        <v>0.0</v>
      </c>
      <c r="I390" s="257"/>
      <c r="J390" s="98" t="s">
        <v>213</v>
      </c>
      <c r="K390" s="96" t="s">
        <v>54</v>
      </c>
      <c r="L390" s="280"/>
    </row>
    <row r="391" ht="15.75" customHeight="1">
      <c r="A391" s="251">
        <v>46225.0</v>
      </c>
      <c r="B391" s="252">
        <v>2.7062212E7</v>
      </c>
      <c r="C391" s="252" t="s">
        <v>2302</v>
      </c>
      <c r="D391" s="253" t="s">
        <v>2303</v>
      </c>
      <c r="E391" s="254" t="s">
        <v>337</v>
      </c>
      <c r="F391" s="254" t="s">
        <v>434</v>
      </c>
      <c r="G391" s="255"/>
      <c r="H391" s="256">
        <v>0.0</v>
      </c>
      <c r="I391" s="257"/>
      <c r="J391" s="98" t="s">
        <v>213</v>
      </c>
      <c r="K391" s="96" t="s">
        <v>54</v>
      </c>
      <c r="L391" s="280"/>
    </row>
    <row r="392" ht="15.75" customHeight="1">
      <c r="A392" s="251">
        <v>46225.0</v>
      </c>
      <c r="B392" s="252">
        <v>2.7060896E7</v>
      </c>
      <c r="C392" s="252" t="s">
        <v>2304</v>
      </c>
      <c r="D392" s="253" t="s">
        <v>2305</v>
      </c>
      <c r="E392" s="254" t="s">
        <v>337</v>
      </c>
      <c r="F392" s="254" t="s">
        <v>434</v>
      </c>
      <c r="G392" s="255"/>
      <c r="H392" s="256">
        <v>0.0</v>
      </c>
      <c r="I392" s="257"/>
      <c r="J392" s="98" t="s">
        <v>213</v>
      </c>
      <c r="K392" s="96" t="s">
        <v>54</v>
      </c>
      <c r="L392" s="280"/>
    </row>
    <row r="393" ht="15.75" customHeight="1">
      <c r="A393" s="251">
        <v>46224.0</v>
      </c>
      <c r="B393" s="252">
        <v>2.7060472E7</v>
      </c>
      <c r="C393" s="252" t="s">
        <v>2306</v>
      </c>
      <c r="D393" s="253" t="s">
        <v>2307</v>
      </c>
      <c r="E393" s="254" t="s">
        <v>129</v>
      </c>
      <c r="F393" s="254" t="s">
        <v>338</v>
      </c>
      <c r="G393" s="255"/>
      <c r="H393" s="256">
        <v>0.0</v>
      </c>
      <c r="I393" s="257"/>
      <c r="J393" s="98" t="s">
        <v>213</v>
      </c>
      <c r="K393" s="96" t="s">
        <v>54</v>
      </c>
      <c r="L393" s="280"/>
    </row>
    <row r="394" ht="15.75" customHeight="1">
      <c r="A394" s="251">
        <v>46224.0</v>
      </c>
      <c r="B394" s="252">
        <v>2.7059372E7</v>
      </c>
      <c r="C394" s="252" t="s">
        <v>2308</v>
      </c>
      <c r="D394" s="253" t="s">
        <v>2309</v>
      </c>
      <c r="E394" s="254" t="s">
        <v>129</v>
      </c>
      <c r="F394" s="254" t="s">
        <v>338</v>
      </c>
      <c r="G394" s="255"/>
      <c r="H394" s="256">
        <v>0.0</v>
      </c>
      <c r="I394" s="257"/>
      <c r="J394" s="98" t="s">
        <v>213</v>
      </c>
      <c r="K394" s="96" t="s">
        <v>54</v>
      </c>
      <c r="L394" s="280"/>
    </row>
    <row r="395" ht="15.75" customHeight="1">
      <c r="A395" s="251">
        <v>46224.0</v>
      </c>
      <c r="B395" s="252">
        <v>2.7059046E7</v>
      </c>
      <c r="C395" s="252" t="s">
        <v>2310</v>
      </c>
      <c r="D395" s="253" t="s">
        <v>2311</v>
      </c>
      <c r="E395" s="254" t="s">
        <v>129</v>
      </c>
      <c r="F395" s="254" t="s">
        <v>338</v>
      </c>
      <c r="G395" s="255"/>
      <c r="H395" s="256">
        <v>0.0</v>
      </c>
      <c r="I395" s="252" t="s">
        <v>2244</v>
      </c>
      <c r="J395" s="98" t="s">
        <v>213</v>
      </c>
      <c r="K395" s="96" t="s">
        <v>54</v>
      </c>
      <c r="L395" s="280"/>
    </row>
    <row r="396" ht="15.75" customHeight="1">
      <c r="A396" s="251">
        <v>46224.0</v>
      </c>
      <c r="B396" s="252">
        <v>2.705635E7</v>
      </c>
      <c r="C396" s="252" t="s">
        <v>2312</v>
      </c>
      <c r="D396" s="253" t="s">
        <v>2313</v>
      </c>
      <c r="E396" s="254" t="s">
        <v>129</v>
      </c>
      <c r="F396" s="254" t="s">
        <v>338</v>
      </c>
      <c r="G396" s="255"/>
      <c r="H396" s="256">
        <v>0.0</v>
      </c>
      <c r="I396" s="252" t="s">
        <v>2314</v>
      </c>
      <c r="J396" s="98" t="s">
        <v>213</v>
      </c>
      <c r="K396" s="96" t="s">
        <v>54</v>
      </c>
      <c r="L396" s="280"/>
    </row>
    <row r="397" ht="15.75" customHeight="1">
      <c r="A397" s="251">
        <v>46224.0</v>
      </c>
      <c r="B397" s="252">
        <v>2.7056262E7</v>
      </c>
      <c r="C397" s="252" t="s">
        <v>2315</v>
      </c>
      <c r="D397" s="253" t="s">
        <v>2316</v>
      </c>
      <c r="E397" s="254" t="s">
        <v>129</v>
      </c>
      <c r="F397" s="254" t="s">
        <v>338</v>
      </c>
      <c r="G397" s="255"/>
      <c r="H397" s="256">
        <v>0.0</v>
      </c>
      <c r="I397" s="252" t="s">
        <v>2244</v>
      </c>
      <c r="J397" s="98" t="s">
        <v>213</v>
      </c>
      <c r="K397" s="96" t="s">
        <v>54</v>
      </c>
      <c r="L397" s="280"/>
    </row>
    <row r="398" ht="15.75" customHeight="1">
      <c r="A398" s="251">
        <v>46224.0</v>
      </c>
      <c r="B398" s="252">
        <v>2.7054956E7</v>
      </c>
      <c r="C398" s="252" t="s">
        <v>2317</v>
      </c>
      <c r="D398" s="253" t="s">
        <v>2318</v>
      </c>
      <c r="E398" s="254" t="s">
        <v>129</v>
      </c>
      <c r="F398" s="254" t="s">
        <v>338</v>
      </c>
      <c r="G398" s="255"/>
      <c r="H398" s="256">
        <v>0.0</v>
      </c>
      <c r="I398" s="252" t="s">
        <v>2244</v>
      </c>
      <c r="J398" s="98" t="s">
        <v>213</v>
      </c>
      <c r="K398" s="96" t="s">
        <v>54</v>
      </c>
      <c r="L398" s="280"/>
    </row>
    <row r="399" ht="15.75" customHeight="1">
      <c r="A399" s="251">
        <v>46223.0</v>
      </c>
      <c r="B399" s="252">
        <v>2.7051504E7</v>
      </c>
      <c r="C399" s="252" t="s">
        <v>2319</v>
      </c>
      <c r="D399" s="253" t="s">
        <v>2320</v>
      </c>
      <c r="E399" s="254" t="s">
        <v>129</v>
      </c>
      <c r="F399" s="254" t="s">
        <v>338</v>
      </c>
      <c r="G399" s="255"/>
      <c r="H399" s="256">
        <v>0.0</v>
      </c>
      <c r="I399" s="252" t="s">
        <v>2321</v>
      </c>
      <c r="J399" s="98" t="s">
        <v>213</v>
      </c>
      <c r="K399" s="96" t="s">
        <v>54</v>
      </c>
      <c r="L399" s="280"/>
    </row>
    <row r="400" ht="15.75" customHeight="1">
      <c r="A400" s="251">
        <v>46223.0</v>
      </c>
      <c r="B400" s="252">
        <v>2.7051294E7</v>
      </c>
      <c r="C400" s="252" t="s">
        <v>2322</v>
      </c>
      <c r="D400" s="253" t="s">
        <v>2323</v>
      </c>
      <c r="E400" s="254" t="s">
        <v>129</v>
      </c>
      <c r="F400" s="254" t="s">
        <v>338</v>
      </c>
      <c r="G400" s="255"/>
      <c r="H400" s="256">
        <v>0.0</v>
      </c>
      <c r="I400" s="252" t="s">
        <v>2321</v>
      </c>
      <c r="J400" s="98" t="s">
        <v>213</v>
      </c>
      <c r="K400" s="96" t="s">
        <v>54</v>
      </c>
      <c r="L400" s="280"/>
    </row>
    <row r="401" ht="15.75" customHeight="1">
      <c r="A401" s="251">
        <v>46223.0</v>
      </c>
      <c r="B401" s="252">
        <v>2.7050162E7</v>
      </c>
      <c r="C401" s="252" t="s">
        <v>2324</v>
      </c>
      <c r="D401" s="253" t="s">
        <v>2325</v>
      </c>
      <c r="E401" s="254" t="s">
        <v>129</v>
      </c>
      <c r="F401" s="254" t="s">
        <v>338</v>
      </c>
      <c r="G401" s="255"/>
      <c r="H401" s="256">
        <v>0.0</v>
      </c>
      <c r="I401" s="252" t="s">
        <v>2244</v>
      </c>
      <c r="J401" s="98" t="s">
        <v>213</v>
      </c>
      <c r="K401" s="96" t="s">
        <v>54</v>
      </c>
      <c r="L401" s="280"/>
    </row>
    <row r="402" ht="15.75" customHeight="1">
      <c r="A402" s="251">
        <v>46223.0</v>
      </c>
      <c r="B402" s="252">
        <v>2.7049904E7</v>
      </c>
      <c r="C402" s="252" t="s">
        <v>2326</v>
      </c>
      <c r="D402" s="253" t="s">
        <v>2327</v>
      </c>
      <c r="E402" s="254" t="s">
        <v>129</v>
      </c>
      <c r="F402" s="254" t="s">
        <v>338</v>
      </c>
      <c r="G402" s="255"/>
      <c r="H402" s="256">
        <v>0.0</v>
      </c>
      <c r="I402" s="252" t="s">
        <v>2244</v>
      </c>
      <c r="J402" s="98" t="s">
        <v>213</v>
      </c>
      <c r="K402" s="96" t="s">
        <v>54</v>
      </c>
      <c r="L402" s="280"/>
    </row>
    <row r="403" ht="15.75" customHeight="1">
      <c r="A403" s="251">
        <v>46223.0</v>
      </c>
      <c r="B403" s="252">
        <v>2.7048522E7</v>
      </c>
      <c r="C403" s="252" t="s">
        <v>2328</v>
      </c>
      <c r="D403" s="253" t="s">
        <v>2329</v>
      </c>
      <c r="E403" s="254" t="s">
        <v>129</v>
      </c>
      <c r="F403" s="254" t="s">
        <v>338</v>
      </c>
      <c r="G403" s="255"/>
      <c r="H403" s="256">
        <v>0.0</v>
      </c>
      <c r="I403" s="252" t="s">
        <v>2244</v>
      </c>
      <c r="J403" s="98" t="s">
        <v>213</v>
      </c>
      <c r="K403" s="96" t="s">
        <v>54</v>
      </c>
      <c r="L403" s="280"/>
    </row>
    <row r="404" ht="15.75" customHeight="1">
      <c r="A404" s="251">
        <v>46223.0</v>
      </c>
      <c r="B404" s="252">
        <v>2.7045488E7</v>
      </c>
      <c r="C404" s="252" t="s">
        <v>1043</v>
      </c>
      <c r="D404" s="253" t="s">
        <v>1044</v>
      </c>
      <c r="E404" s="254" t="s">
        <v>129</v>
      </c>
      <c r="F404" s="254" t="s">
        <v>338</v>
      </c>
      <c r="G404" s="255"/>
      <c r="H404" s="256">
        <v>0.0</v>
      </c>
      <c r="I404" s="252" t="s">
        <v>2244</v>
      </c>
      <c r="J404" s="98" t="s">
        <v>213</v>
      </c>
      <c r="K404" s="96" t="s">
        <v>54</v>
      </c>
      <c r="L404" s="280"/>
    </row>
    <row r="405" ht="15.75" customHeight="1">
      <c r="A405" s="251">
        <v>46223.0</v>
      </c>
      <c r="B405" s="252">
        <v>2.7043958E7</v>
      </c>
      <c r="C405" s="252" t="s">
        <v>2330</v>
      </c>
      <c r="D405" s="253" t="s">
        <v>2331</v>
      </c>
      <c r="E405" s="254" t="s">
        <v>129</v>
      </c>
      <c r="F405" s="254" t="s">
        <v>338</v>
      </c>
      <c r="G405" s="255"/>
      <c r="H405" s="256">
        <v>0.0</v>
      </c>
      <c r="I405" s="252" t="s">
        <v>2244</v>
      </c>
      <c r="J405" s="98" t="s">
        <v>213</v>
      </c>
      <c r="K405" s="96" t="s">
        <v>54</v>
      </c>
      <c r="L405" s="280"/>
    </row>
    <row r="406" ht="15.75" customHeight="1">
      <c r="A406" s="251">
        <v>46223.0</v>
      </c>
      <c r="B406" s="252">
        <v>2.7043642E7</v>
      </c>
      <c r="C406" s="252" t="s">
        <v>2332</v>
      </c>
      <c r="D406" s="253" t="s">
        <v>2333</v>
      </c>
      <c r="E406" s="254" t="s">
        <v>129</v>
      </c>
      <c r="F406" s="254" t="s">
        <v>338</v>
      </c>
      <c r="G406" s="255"/>
      <c r="H406" s="256">
        <v>0.0</v>
      </c>
      <c r="I406" s="252" t="s">
        <v>2244</v>
      </c>
      <c r="J406" s="98" t="s">
        <v>213</v>
      </c>
      <c r="K406" s="96" t="s">
        <v>54</v>
      </c>
      <c r="L406" s="280"/>
    </row>
    <row r="407" ht="15.75" customHeight="1">
      <c r="A407" s="251">
        <v>46222.0</v>
      </c>
      <c r="B407" s="252">
        <v>2.7042582E7</v>
      </c>
      <c r="C407" s="252" t="s">
        <v>2334</v>
      </c>
      <c r="D407" s="253" t="s">
        <v>2335</v>
      </c>
      <c r="E407" s="254" t="s">
        <v>129</v>
      </c>
      <c r="F407" s="254" t="s">
        <v>338</v>
      </c>
      <c r="G407" s="255"/>
      <c r="H407" s="256">
        <v>0.0</v>
      </c>
      <c r="I407" s="252" t="s">
        <v>2321</v>
      </c>
      <c r="J407" s="98" t="s">
        <v>213</v>
      </c>
      <c r="K407" s="96" t="s">
        <v>54</v>
      </c>
      <c r="L407" s="280"/>
    </row>
    <row r="408" ht="15.75" customHeight="1">
      <c r="A408" s="251">
        <v>46222.0</v>
      </c>
      <c r="B408" s="252">
        <v>2.7042306E7</v>
      </c>
      <c r="C408" s="252" t="s">
        <v>2336</v>
      </c>
      <c r="D408" s="253" t="s">
        <v>2337</v>
      </c>
      <c r="E408" s="254" t="s">
        <v>129</v>
      </c>
      <c r="F408" s="254" t="s">
        <v>338</v>
      </c>
      <c r="G408" s="255"/>
      <c r="H408" s="256">
        <v>0.0</v>
      </c>
      <c r="I408" s="252" t="s">
        <v>2244</v>
      </c>
      <c r="J408" s="98" t="s">
        <v>213</v>
      </c>
      <c r="K408" s="96" t="s">
        <v>54</v>
      </c>
      <c r="L408" s="280"/>
    </row>
    <row r="409" ht="15.75" customHeight="1">
      <c r="A409" s="251">
        <v>46222.0</v>
      </c>
      <c r="B409" s="252">
        <v>2.7041928E7</v>
      </c>
      <c r="C409" s="252" t="s">
        <v>2338</v>
      </c>
      <c r="D409" s="253" t="s">
        <v>2339</v>
      </c>
      <c r="E409" s="254" t="s">
        <v>129</v>
      </c>
      <c r="F409" s="254" t="s">
        <v>338</v>
      </c>
      <c r="G409" s="255"/>
      <c r="H409" s="256">
        <v>0.0</v>
      </c>
      <c r="I409" s="257"/>
      <c r="J409" s="98" t="s">
        <v>213</v>
      </c>
      <c r="K409" s="96" t="s">
        <v>54</v>
      </c>
      <c r="L409" s="280"/>
    </row>
    <row r="410" ht="15.75" customHeight="1">
      <c r="A410" s="251">
        <v>46222.0</v>
      </c>
      <c r="B410" s="252">
        <v>2.7041654E7</v>
      </c>
      <c r="C410" s="252" t="s">
        <v>2340</v>
      </c>
      <c r="D410" s="253" t="s">
        <v>2341</v>
      </c>
      <c r="E410" s="254" t="s">
        <v>362</v>
      </c>
      <c r="F410" s="254" t="s">
        <v>334</v>
      </c>
      <c r="G410" s="255"/>
      <c r="H410" s="256">
        <v>0.0</v>
      </c>
      <c r="I410" s="252" t="s">
        <v>2244</v>
      </c>
      <c r="J410" s="98" t="s">
        <v>213</v>
      </c>
      <c r="K410" s="96" t="s">
        <v>54</v>
      </c>
      <c r="L410" s="280"/>
    </row>
    <row r="411" ht="15.75" customHeight="1">
      <c r="A411" s="251">
        <v>46222.0</v>
      </c>
      <c r="B411" s="252">
        <v>2.7041266E7</v>
      </c>
      <c r="C411" s="252" t="s">
        <v>2342</v>
      </c>
      <c r="D411" s="253" t="s">
        <v>2343</v>
      </c>
      <c r="E411" s="254" t="s">
        <v>129</v>
      </c>
      <c r="F411" s="254" t="s">
        <v>338</v>
      </c>
      <c r="G411" s="255"/>
      <c r="H411" s="256">
        <v>0.0</v>
      </c>
      <c r="I411" s="252" t="s">
        <v>2244</v>
      </c>
      <c r="J411" s="98" t="s">
        <v>213</v>
      </c>
      <c r="K411" s="96" t="s">
        <v>54</v>
      </c>
      <c r="L411" s="280"/>
    </row>
    <row r="412" ht="15.75" customHeight="1">
      <c r="A412" s="251">
        <v>46222.0</v>
      </c>
      <c r="B412" s="252">
        <v>2.7040058E7</v>
      </c>
      <c r="C412" s="252" t="s">
        <v>2344</v>
      </c>
      <c r="D412" s="253" t="s">
        <v>2345</v>
      </c>
      <c r="E412" s="254" t="s">
        <v>129</v>
      </c>
      <c r="F412" s="254" t="s">
        <v>338</v>
      </c>
      <c r="G412" s="255"/>
      <c r="H412" s="256">
        <v>0.0</v>
      </c>
      <c r="I412" s="257"/>
      <c r="J412" s="98" t="s">
        <v>213</v>
      </c>
      <c r="K412" s="96" t="s">
        <v>54</v>
      </c>
      <c r="L412" s="280"/>
    </row>
    <row r="413" ht="15.75" customHeight="1">
      <c r="A413" s="251">
        <v>46222.0</v>
      </c>
      <c r="B413" s="252">
        <v>2.7039048E7</v>
      </c>
      <c r="C413" s="252" t="s">
        <v>2346</v>
      </c>
      <c r="D413" s="253" t="s">
        <v>2347</v>
      </c>
      <c r="E413" s="254" t="s">
        <v>337</v>
      </c>
      <c r="F413" s="254" t="s">
        <v>434</v>
      </c>
      <c r="G413" s="255"/>
      <c r="H413" s="256">
        <v>0.0</v>
      </c>
      <c r="I413" s="257"/>
      <c r="J413" s="98" t="s">
        <v>213</v>
      </c>
      <c r="K413" s="96" t="s">
        <v>54</v>
      </c>
      <c r="L413" s="280"/>
    </row>
    <row r="414" ht="15.75" customHeight="1">
      <c r="A414" s="251">
        <v>46222.0</v>
      </c>
      <c r="B414" s="252">
        <v>2.7038776E7</v>
      </c>
      <c r="C414" s="252" t="s">
        <v>2348</v>
      </c>
      <c r="D414" s="253" t="s">
        <v>2349</v>
      </c>
      <c r="E414" s="254" t="s">
        <v>129</v>
      </c>
      <c r="F414" s="254" t="s">
        <v>338</v>
      </c>
      <c r="G414" s="255"/>
      <c r="H414" s="256">
        <v>0.0</v>
      </c>
      <c r="I414" s="252" t="s">
        <v>2244</v>
      </c>
      <c r="J414" s="98" t="s">
        <v>213</v>
      </c>
      <c r="K414" s="96" t="s">
        <v>54</v>
      </c>
      <c r="L414" s="280"/>
    </row>
    <row r="415" ht="15.75" customHeight="1">
      <c r="A415" s="251">
        <v>46222.0</v>
      </c>
      <c r="B415" s="252">
        <v>2.7037132E7</v>
      </c>
      <c r="C415" s="252" t="s">
        <v>2350</v>
      </c>
      <c r="D415" s="253" t="s">
        <v>2351</v>
      </c>
      <c r="E415" s="254" t="s">
        <v>129</v>
      </c>
      <c r="F415" s="254" t="s">
        <v>338</v>
      </c>
      <c r="G415" s="255"/>
      <c r="H415" s="256">
        <v>0.0</v>
      </c>
      <c r="I415" s="252" t="s">
        <v>2352</v>
      </c>
      <c r="J415" s="98" t="s">
        <v>213</v>
      </c>
      <c r="K415" s="96" t="s">
        <v>54</v>
      </c>
      <c r="L415" s="280"/>
    </row>
    <row r="416" ht="15.75" customHeight="1">
      <c r="A416" s="251">
        <v>46222.0</v>
      </c>
      <c r="B416" s="252">
        <v>2.7037074E7</v>
      </c>
      <c r="C416" s="257"/>
      <c r="D416" s="253" t="s">
        <v>2353</v>
      </c>
      <c r="E416" s="254" t="s">
        <v>362</v>
      </c>
      <c r="F416" s="254" t="s">
        <v>434</v>
      </c>
      <c r="G416" s="255"/>
      <c r="H416" s="256">
        <v>0.0</v>
      </c>
      <c r="I416" s="257"/>
      <c r="J416" s="98" t="s">
        <v>213</v>
      </c>
      <c r="K416" s="96" t="s">
        <v>54</v>
      </c>
      <c r="L416" s="280"/>
    </row>
    <row r="417" ht="15.75" customHeight="1">
      <c r="A417" s="251">
        <v>46221.0</v>
      </c>
      <c r="B417" s="252">
        <v>2.7035392E7</v>
      </c>
      <c r="C417" s="252" t="s">
        <v>2354</v>
      </c>
      <c r="D417" s="253" t="s">
        <v>2355</v>
      </c>
      <c r="E417" s="254" t="s">
        <v>337</v>
      </c>
      <c r="F417" s="254" t="s">
        <v>338</v>
      </c>
      <c r="G417" s="255"/>
      <c r="H417" s="256">
        <v>0.0</v>
      </c>
      <c r="I417" s="257"/>
      <c r="J417" s="98" t="s">
        <v>213</v>
      </c>
      <c r="K417" s="96" t="s">
        <v>54</v>
      </c>
      <c r="L417" s="280"/>
    </row>
    <row r="418" ht="15.75" customHeight="1">
      <c r="A418" s="251">
        <v>46221.0</v>
      </c>
      <c r="B418" s="252">
        <v>2.7034608E7</v>
      </c>
      <c r="C418" s="252" t="s">
        <v>2356</v>
      </c>
      <c r="D418" s="253" t="s">
        <v>2357</v>
      </c>
      <c r="E418" s="254" t="s">
        <v>337</v>
      </c>
      <c r="F418" s="254" t="s">
        <v>410</v>
      </c>
      <c r="G418" s="255"/>
      <c r="H418" s="256">
        <v>0.0</v>
      </c>
      <c r="I418" s="257"/>
      <c r="J418" s="98" t="s">
        <v>213</v>
      </c>
      <c r="K418" s="96" t="s">
        <v>54</v>
      </c>
      <c r="L418" s="280"/>
    </row>
    <row r="419" ht="15.75" customHeight="1">
      <c r="A419" s="251">
        <v>46221.0</v>
      </c>
      <c r="B419" s="252">
        <v>2.7034292E7</v>
      </c>
      <c r="C419" s="252" t="s">
        <v>2358</v>
      </c>
      <c r="D419" s="253" t="s">
        <v>2359</v>
      </c>
      <c r="E419" s="254" t="s">
        <v>337</v>
      </c>
      <c r="F419" s="254" t="s">
        <v>410</v>
      </c>
      <c r="G419" s="255"/>
      <c r="H419" s="256">
        <v>0.0</v>
      </c>
      <c r="I419" s="257"/>
      <c r="J419" s="98" t="s">
        <v>213</v>
      </c>
      <c r="K419" s="96" t="s">
        <v>54</v>
      </c>
      <c r="L419" s="280"/>
    </row>
    <row r="420" ht="15.75" customHeight="1">
      <c r="A420" s="251">
        <v>46221.0</v>
      </c>
      <c r="B420" s="252">
        <v>2.7031082E7</v>
      </c>
      <c r="C420" s="252" t="s">
        <v>2360</v>
      </c>
      <c r="D420" s="253" t="s">
        <v>2361</v>
      </c>
      <c r="E420" s="254" t="s">
        <v>337</v>
      </c>
      <c r="F420" s="254" t="s">
        <v>338</v>
      </c>
      <c r="G420" s="255"/>
      <c r="H420" s="256">
        <v>0.0</v>
      </c>
      <c r="I420" s="257"/>
      <c r="J420" s="98" t="s">
        <v>213</v>
      </c>
      <c r="K420" s="96" t="s">
        <v>54</v>
      </c>
      <c r="L420" s="280"/>
    </row>
    <row r="421" ht="15.75" customHeight="1">
      <c r="A421" s="251">
        <v>46221.0</v>
      </c>
      <c r="B421" s="252">
        <v>2.7030592E7</v>
      </c>
      <c r="C421" s="252" t="s">
        <v>2362</v>
      </c>
      <c r="D421" s="253" t="s">
        <v>2363</v>
      </c>
      <c r="E421" s="254" t="s">
        <v>337</v>
      </c>
      <c r="F421" s="254" t="s">
        <v>338</v>
      </c>
      <c r="G421" s="255"/>
      <c r="H421" s="256">
        <v>0.0</v>
      </c>
      <c r="I421" s="257"/>
      <c r="J421" s="98" t="s">
        <v>213</v>
      </c>
      <c r="K421" s="96" t="s">
        <v>54</v>
      </c>
      <c r="L421" s="280"/>
    </row>
    <row r="422" ht="15.75" customHeight="1">
      <c r="A422" s="251">
        <v>46221.0</v>
      </c>
      <c r="B422" s="252">
        <v>2.7029718E7</v>
      </c>
      <c r="C422" s="252" t="s">
        <v>2364</v>
      </c>
      <c r="D422" s="253" t="s">
        <v>2365</v>
      </c>
      <c r="E422" s="254" t="s">
        <v>337</v>
      </c>
      <c r="F422" s="254" t="s">
        <v>338</v>
      </c>
      <c r="G422" s="255"/>
      <c r="H422" s="256">
        <v>0.0</v>
      </c>
      <c r="I422" s="257"/>
      <c r="J422" s="98" t="s">
        <v>213</v>
      </c>
      <c r="K422" s="96" t="s">
        <v>54</v>
      </c>
      <c r="L422" s="280"/>
    </row>
    <row r="423" ht="15.75" customHeight="1">
      <c r="A423" s="251">
        <v>46221.0</v>
      </c>
      <c r="B423" s="252">
        <v>2.702934E7</v>
      </c>
      <c r="C423" s="252" t="s">
        <v>2366</v>
      </c>
      <c r="D423" s="253" t="s">
        <v>2367</v>
      </c>
      <c r="E423" s="254" t="s">
        <v>362</v>
      </c>
      <c r="F423" s="254" t="s">
        <v>334</v>
      </c>
      <c r="G423" s="255"/>
      <c r="H423" s="256">
        <v>0.0</v>
      </c>
      <c r="I423" s="252" t="s">
        <v>2244</v>
      </c>
      <c r="J423" s="98" t="s">
        <v>213</v>
      </c>
      <c r="K423" s="96" t="s">
        <v>54</v>
      </c>
      <c r="L423" s="280"/>
    </row>
    <row r="424" ht="15.75" customHeight="1">
      <c r="A424" s="251">
        <v>46221.0</v>
      </c>
      <c r="B424" s="252">
        <v>2.7029336E7</v>
      </c>
      <c r="C424" s="252" t="s">
        <v>2368</v>
      </c>
      <c r="D424" s="253" t="s">
        <v>2369</v>
      </c>
      <c r="E424" s="254" t="s">
        <v>337</v>
      </c>
      <c r="F424" s="254" t="s">
        <v>338</v>
      </c>
      <c r="G424" s="255"/>
      <c r="H424" s="256">
        <v>0.0</v>
      </c>
      <c r="I424" s="257"/>
      <c r="J424" s="98" t="s">
        <v>213</v>
      </c>
      <c r="K424" s="96" t="s">
        <v>54</v>
      </c>
      <c r="L424" s="280"/>
    </row>
    <row r="425" ht="15.75" customHeight="1">
      <c r="A425" s="251">
        <v>46221.0</v>
      </c>
      <c r="B425" s="252">
        <v>2.7029096E7</v>
      </c>
      <c r="C425" s="252" t="s">
        <v>2370</v>
      </c>
      <c r="D425" s="253" t="s">
        <v>2371</v>
      </c>
      <c r="E425" s="254" t="s">
        <v>337</v>
      </c>
      <c r="F425" s="254" t="s">
        <v>410</v>
      </c>
      <c r="G425" s="255"/>
      <c r="H425" s="256">
        <v>0.0</v>
      </c>
      <c r="I425" s="257"/>
      <c r="J425" s="98" t="s">
        <v>213</v>
      </c>
      <c r="K425" s="96" t="s">
        <v>54</v>
      </c>
      <c r="L425" s="280"/>
    </row>
    <row r="426" ht="15.75" customHeight="1">
      <c r="A426" s="251">
        <v>46221.0</v>
      </c>
      <c r="B426" s="252">
        <v>2.7029074E7</v>
      </c>
      <c r="C426" s="252" t="s">
        <v>2372</v>
      </c>
      <c r="D426" s="253" t="s">
        <v>2373</v>
      </c>
      <c r="E426" s="254" t="s">
        <v>337</v>
      </c>
      <c r="F426" s="254" t="s">
        <v>338</v>
      </c>
      <c r="G426" s="255"/>
      <c r="H426" s="256">
        <v>0.0</v>
      </c>
      <c r="I426" s="257"/>
      <c r="J426" s="98" t="s">
        <v>213</v>
      </c>
      <c r="K426" s="96" t="s">
        <v>54</v>
      </c>
      <c r="L426" s="280"/>
    </row>
    <row r="427" ht="15.75" customHeight="1">
      <c r="A427" s="251">
        <v>46220.0</v>
      </c>
      <c r="B427" s="252">
        <v>2.702894E7</v>
      </c>
      <c r="C427" s="252" t="s">
        <v>2374</v>
      </c>
      <c r="D427" s="253" t="s">
        <v>2375</v>
      </c>
      <c r="E427" s="254" t="s">
        <v>337</v>
      </c>
      <c r="F427" s="254" t="s">
        <v>434</v>
      </c>
      <c r="G427" s="255"/>
      <c r="H427" s="256">
        <v>0.0</v>
      </c>
      <c r="I427" s="257"/>
      <c r="J427" s="98" t="s">
        <v>213</v>
      </c>
      <c r="K427" s="96" t="s">
        <v>54</v>
      </c>
      <c r="L427" s="280"/>
    </row>
    <row r="428" ht="15.75" customHeight="1">
      <c r="A428" s="251">
        <v>46220.0</v>
      </c>
      <c r="B428" s="252">
        <v>2.702892E7</v>
      </c>
      <c r="C428" s="252" t="s">
        <v>2376</v>
      </c>
      <c r="D428" s="253" t="s">
        <v>2377</v>
      </c>
      <c r="E428" s="254" t="s">
        <v>337</v>
      </c>
      <c r="F428" s="254" t="s">
        <v>338</v>
      </c>
      <c r="G428" s="255"/>
      <c r="H428" s="256">
        <v>0.0</v>
      </c>
      <c r="I428" s="257"/>
      <c r="J428" s="98" t="s">
        <v>213</v>
      </c>
      <c r="K428" s="96" t="s">
        <v>54</v>
      </c>
      <c r="L428" s="280"/>
    </row>
    <row r="429" ht="15.75" customHeight="1">
      <c r="A429" s="251">
        <v>46220.0</v>
      </c>
      <c r="B429" s="252">
        <v>2.7028918E7</v>
      </c>
      <c r="C429" s="252" t="s">
        <v>2378</v>
      </c>
      <c r="D429" s="253" t="s">
        <v>2379</v>
      </c>
      <c r="E429" s="254" t="s">
        <v>337</v>
      </c>
      <c r="F429" s="254" t="s">
        <v>338</v>
      </c>
      <c r="G429" s="255"/>
      <c r="H429" s="256">
        <v>0.0</v>
      </c>
      <c r="I429" s="257"/>
      <c r="J429" s="98" t="s">
        <v>213</v>
      </c>
      <c r="K429" s="96" t="s">
        <v>54</v>
      </c>
      <c r="L429" s="280"/>
    </row>
    <row r="430" ht="15.75" customHeight="1">
      <c r="A430" s="251">
        <v>46220.0</v>
      </c>
      <c r="B430" s="252">
        <v>2.7028622E7</v>
      </c>
      <c r="C430" s="252" t="s">
        <v>2380</v>
      </c>
      <c r="D430" s="253" t="s">
        <v>2381</v>
      </c>
      <c r="E430" s="254" t="s">
        <v>337</v>
      </c>
      <c r="F430" s="254" t="s">
        <v>338</v>
      </c>
      <c r="G430" s="255"/>
      <c r="H430" s="256">
        <v>0.0</v>
      </c>
      <c r="I430" s="257"/>
      <c r="J430" s="98" t="s">
        <v>213</v>
      </c>
      <c r="K430" s="96" t="s">
        <v>54</v>
      </c>
      <c r="L430" s="280"/>
    </row>
    <row r="431" ht="15.75" customHeight="1">
      <c r="A431" s="251">
        <v>46220.0</v>
      </c>
      <c r="B431" s="252">
        <v>2.702853E7</v>
      </c>
      <c r="C431" s="252" t="s">
        <v>2382</v>
      </c>
      <c r="D431" s="253" t="s">
        <v>2383</v>
      </c>
      <c r="E431" s="254" t="s">
        <v>337</v>
      </c>
      <c r="F431" s="254" t="s">
        <v>338</v>
      </c>
      <c r="G431" s="255"/>
      <c r="H431" s="256">
        <v>0.0</v>
      </c>
      <c r="I431" s="257"/>
      <c r="J431" s="98" t="s">
        <v>213</v>
      </c>
      <c r="K431" s="96" t="s">
        <v>54</v>
      </c>
      <c r="L431" s="280"/>
    </row>
    <row r="432" ht="15.75" customHeight="1">
      <c r="A432" s="251">
        <v>46220.0</v>
      </c>
      <c r="B432" s="252">
        <v>2.7028274E7</v>
      </c>
      <c r="C432" s="252" t="s">
        <v>2384</v>
      </c>
      <c r="D432" s="253" t="s">
        <v>2385</v>
      </c>
      <c r="E432" s="254" t="s">
        <v>337</v>
      </c>
      <c r="F432" s="254" t="s">
        <v>338</v>
      </c>
      <c r="G432" s="255"/>
      <c r="H432" s="256">
        <v>0.0</v>
      </c>
      <c r="I432" s="257"/>
      <c r="J432" s="98" t="s">
        <v>213</v>
      </c>
      <c r="K432" s="96" t="s">
        <v>54</v>
      </c>
      <c r="L432" s="280"/>
    </row>
    <row r="433" ht="15.75" customHeight="1">
      <c r="A433" s="251">
        <v>46220.0</v>
      </c>
      <c r="B433" s="252">
        <v>2.7027926E7</v>
      </c>
      <c r="C433" s="252" t="s">
        <v>2386</v>
      </c>
      <c r="D433" s="253" t="s">
        <v>2387</v>
      </c>
      <c r="E433" s="254" t="s">
        <v>337</v>
      </c>
      <c r="F433" s="254" t="s">
        <v>338</v>
      </c>
      <c r="G433" s="255"/>
      <c r="H433" s="256">
        <v>0.0</v>
      </c>
      <c r="I433" s="257"/>
      <c r="J433" s="98" t="s">
        <v>213</v>
      </c>
      <c r="K433" s="96" t="s">
        <v>54</v>
      </c>
      <c r="L433" s="280"/>
    </row>
    <row r="434" ht="15.75" customHeight="1">
      <c r="A434" s="251">
        <v>46220.0</v>
      </c>
      <c r="B434" s="252">
        <v>2.7025E7</v>
      </c>
      <c r="C434" s="252" t="s">
        <v>2388</v>
      </c>
      <c r="D434" s="253" t="s">
        <v>2389</v>
      </c>
      <c r="E434" s="254" t="s">
        <v>337</v>
      </c>
      <c r="F434" s="254" t="s">
        <v>338</v>
      </c>
      <c r="G434" s="255"/>
      <c r="H434" s="256">
        <v>0.0</v>
      </c>
      <c r="I434" s="257"/>
      <c r="J434" s="98" t="s">
        <v>213</v>
      </c>
      <c r="K434" s="96" t="s">
        <v>54</v>
      </c>
      <c r="L434" s="280"/>
    </row>
    <row r="435" ht="15.75" customHeight="1">
      <c r="A435" s="251">
        <v>46220.0</v>
      </c>
      <c r="B435" s="252">
        <v>2.7023786E7</v>
      </c>
      <c r="C435" s="252" t="s">
        <v>2390</v>
      </c>
      <c r="D435" s="253" t="s">
        <v>2391</v>
      </c>
      <c r="E435" s="254" t="s">
        <v>337</v>
      </c>
      <c r="F435" s="254" t="s">
        <v>434</v>
      </c>
      <c r="G435" s="255"/>
      <c r="H435" s="256">
        <v>0.0</v>
      </c>
      <c r="I435" s="257"/>
      <c r="J435" s="98" t="s">
        <v>213</v>
      </c>
      <c r="K435" s="96" t="s">
        <v>54</v>
      </c>
      <c r="L435" s="280"/>
    </row>
    <row r="436" ht="15.75" customHeight="1">
      <c r="A436" s="251">
        <v>46220.0</v>
      </c>
      <c r="B436" s="252">
        <v>2.7022928E7</v>
      </c>
      <c r="C436" s="252" t="s">
        <v>2392</v>
      </c>
      <c r="D436" s="253" t="s">
        <v>2393</v>
      </c>
      <c r="E436" s="254" t="s">
        <v>337</v>
      </c>
      <c r="F436" s="254" t="s">
        <v>338</v>
      </c>
      <c r="G436" s="255"/>
      <c r="H436" s="256">
        <v>0.0</v>
      </c>
      <c r="I436" s="257"/>
      <c r="J436" s="98" t="s">
        <v>213</v>
      </c>
      <c r="K436" s="96" t="s">
        <v>54</v>
      </c>
      <c r="L436" s="280"/>
    </row>
    <row r="437" ht="15.75" customHeight="1">
      <c r="A437" s="251">
        <v>46220.0</v>
      </c>
      <c r="B437" s="252">
        <v>2.7022262E7</v>
      </c>
      <c r="C437" s="252" t="s">
        <v>2394</v>
      </c>
      <c r="D437" s="253" t="s">
        <v>2395</v>
      </c>
      <c r="E437" s="254" t="s">
        <v>337</v>
      </c>
      <c r="F437" s="254" t="s">
        <v>338</v>
      </c>
      <c r="G437" s="255"/>
      <c r="H437" s="256">
        <v>0.0</v>
      </c>
      <c r="I437" s="257"/>
      <c r="J437" s="98" t="s">
        <v>213</v>
      </c>
      <c r="K437" s="96" t="s">
        <v>54</v>
      </c>
      <c r="L437" s="280"/>
    </row>
    <row r="438" ht="15.75" customHeight="1">
      <c r="A438" s="251">
        <v>46220.0</v>
      </c>
      <c r="B438" s="252">
        <v>2.7021336E7</v>
      </c>
      <c r="C438" s="252" t="s">
        <v>2396</v>
      </c>
      <c r="D438" s="252">
        <v>9.20284306E8</v>
      </c>
      <c r="E438" s="254" t="s">
        <v>337</v>
      </c>
      <c r="F438" s="254" t="s">
        <v>338</v>
      </c>
      <c r="G438" s="255"/>
      <c r="H438" s="256">
        <v>0.0</v>
      </c>
      <c r="I438" s="257"/>
      <c r="J438" s="98" t="s">
        <v>213</v>
      </c>
      <c r="K438" s="96" t="s">
        <v>54</v>
      </c>
      <c r="L438" s="280"/>
    </row>
    <row r="439" ht="15.75" customHeight="1">
      <c r="A439" s="251">
        <v>46219.0</v>
      </c>
      <c r="B439" s="252">
        <v>2.7021044E7</v>
      </c>
      <c r="C439" s="252" t="s">
        <v>2397</v>
      </c>
      <c r="D439" s="253" t="s">
        <v>2398</v>
      </c>
      <c r="E439" s="254" t="s">
        <v>337</v>
      </c>
      <c r="F439" s="254" t="s">
        <v>410</v>
      </c>
      <c r="G439" s="255"/>
      <c r="H439" s="256">
        <v>0.0</v>
      </c>
      <c r="I439" s="257"/>
      <c r="J439" s="98" t="s">
        <v>213</v>
      </c>
      <c r="K439" s="96" t="s">
        <v>54</v>
      </c>
      <c r="L439" s="280"/>
    </row>
    <row r="440" ht="15.75" customHeight="1">
      <c r="A440" s="251">
        <v>46219.0</v>
      </c>
      <c r="B440" s="252">
        <v>2.7020608E7</v>
      </c>
      <c r="C440" s="252" t="s">
        <v>2399</v>
      </c>
      <c r="D440" s="253" t="s">
        <v>2400</v>
      </c>
      <c r="E440" s="254" t="s">
        <v>129</v>
      </c>
      <c r="F440" s="254" t="s">
        <v>338</v>
      </c>
      <c r="G440" s="255"/>
      <c r="H440" s="256">
        <v>0.0</v>
      </c>
      <c r="I440" s="257"/>
      <c r="J440" s="98" t="s">
        <v>213</v>
      </c>
      <c r="K440" s="96" t="s">
        <v>54</v>
      </c>
      <c r="L440" s="280"/>
    </row>
    <row r="441" ht="15.75" customHeight="1">
      <c r="A441" s="251">
        <v>46219.0</v>
      </c>
      <c r="B441" s="252">
        <v>2.7020246E7</v>
      </c>
      <c r="C441" s="252" t="s">
        <v>2401</v>
      </c>
      <c r="D441" s="253" t="s">
        <v>2402</v>
      </c>
      <c r="E441" s="254" t="s">
        <v>337</v>
      </c>
      <c r="F441" s="254" t="s">
        <v>434</v>
      </c>
      <c r="G441" s="255"/>
      <c r="H441" s="256">
        <v>0.0</v>
      </c>
      <c r="I441" s="257"/>
      <c r="J441" s="98" t="s">
        <v>213</v>
      </c>
      <c r="K441" s="96" t="s">
        <v>54</v>
      </c>
      <c r="L441" s="280"/>
    </row>
    <row r="442" ht="15.75" customHeight="1">
      <c r="A442" s="251">
        <v>46219.0</v>
      </c>
      <c r="B442" s="252">
        <v>2.7020036E7</v>
      </c>
      <c r="C442" s="252" t="s">
        <v>2403</v>
      </c>
      <c r="D442" s="253" t="s">
        <v>2404</v>
      </c>
      <c r="E442" s="254" t="s">
        <v>362</v>
      </c>
      <c r="F442" s="254" t="s">
        <v>358</v>
      </c>
      <c r="G442" s="255"/>
      <c r="H442" s="256">
        <v>0.0</v>
      </c>
      <c r="I442" s="257"/>
      <c r="J442" s="98" t="s">
        <v>213</v>
      </c>
      <c r="K442" s="96" t="s">
        <v>54</v>
      </c>
      <c r="L442" s="280"/>
    </row>
    <row r="443" ht="15.75" customHeight="1">
      <c r="A443" s="251">
        <v>46219.0</v>
      </c>
      <c r="B443" s="252">
        <v>2.7020034E7</v>
      </c>
      <c r="C443" s="252" t="s">
        <v>2405</v>
      </c>
      <c r="D443" s="253" t="s">
        <v>2404</v>
      </c>
      <c r="E443" s="254" t="s">
        <v>337</v>
      </c>
      <c r="F443" s="254" t="s">
        <v>338</v>
      </c>
      <c r="G443" s="255"/>
      <c r="H443" s="256">
        <v>0.0</v>
      </c>
      <c r="I443" s="257"/>
      <c r="J443" s="98" t="s">
        <v>213</v>
      </c>
      <c r="K443" s="96" t="s">
        <v>54</v>
      </c>
      <c r="L443" s="280"/>
    </row>
    <row r="444" ht="15.75" customHeight="1">
      <c r="A444" s="251">
        <v>46219.0</v>
      </c>
      <c r="B444" s="252">
        <v>2.7019458E7</v>
      </c>
      <c r="C444" s="252" t="s">
        <v>2406</v>
      </c>
      <c r="D444" s="253" t="s">
        <v>2407</v>
      </c>
      <c r="E444" s="254" t="s">
        <v>337</v>
      </c>
      <c r="F444" s="254" t="s">
        <v>1010</v>
      </c>
      <c r="G444" s="255"/>
      <c r="H444" s="256">
        <v>0.0</v>
      </c>
      <c r="I444" s="257"/>
      <c r="J444" s="98" t="s">
        <v>213</v>
      </c>
      <c r="K444" s="96" t="s">
        <v>54</v>
      </c>
      <c r="L444" s="280"/>
    </row>
    <row r="445" ht="15.75" customHeight="1">
      <c r="A445" s="251">
        <v>46219.0</v>
      </c>
      <c r="B445" s="252">
        <v>2.7019332E7</v>
      </c>
      <c r="C445" s="252" t="s">
        <v>2408</v>
      </c>
      <c r="D445" s="253" t="s">
        <v>2409</v>
      </c>
      <c r="E445" s="254" t="s">
        <v>337</v>
      </c>
      <c r="F445" s="254" t="s">
        <v>338</v>
      </c>
      <c r="G445" s="255"/>
      <c r="H445" s="256">
        <v>0.0</v>
      </c>
      <c r="I445" s="257"/>
      <c r="J445" s="98" t="s">
        <v>213</v>
      </c>
      <c r="K445" s="96" t="s">
        <v>54</v>
      </c>
      <c r="L445" s="280"/>
    </row>
    <row r="446" ht="15.75" customHeight="1">
      <c r="A446" s="251">
        <v>46219.0</v>
      </c>
      <c r="B446" s="252">
        <v>2.701807E7</v>
      </c>
      <c r="C446" s="252" t="s">
        <v>2410</v>
      </c>
      <c r="D446" s="253" t="s">
        <v>2411</v>
      </c>
      <c r="E446" s="254" t="s">
        <v>337</v>
      </c>
      <c r="F446" s="254" t="s">
        <v>338</v>
      </c>
      <c r="G446" s="255"/>
      <c r="H446" s="256">
        <v>0.0</v>
      </c>
      <c r="I446" s="257"/>
      <c r="J446" s="98" t="s">
        <v>213</v>
      </c>
      <c r="K446" s="96" t="s">
        <v>54</v>
      </c>
      <c r="L446" s="280"/>
    </row>
    <row r="447" ht="15.75" customHeight="1">
      <c r="A447" s="251">
        <v>46219.0</v>
      </c>
      <c r="B447" s="252">
        <v>2.701628E7</v>
      </c>
      <c r="C447" s="252" t="s">
        <v>2412</v>
      </c>
      <c r="D447" s="253" t="s">
        <v>2413</v>
      </c>
      <c r="E447" s="254" t="s">
        <v>337</v>
      </c>
      <c r="F447" s="254" t="s">
        <v>338</v>
      </c>
      <c r="G447" s="255"/>
      <c r="H447" s="256">
        <v>0.0</v>
      </c>
      <c r="I447" s="257"/>
      <c r="J447" s="98" t="s">
        <v>213</v>
      </c>
      <c r="K447" s="96" t="s">
        <v>54</v>
      </c>
      <c r="L447" s="280"/>
    </row>
    <row r="448" ht="15.75" customHeight="1">
      <c r="A448" s="251">
        <v>46219.0</v>
      </c>
      <c r="B448" s="252">
        <v>2.7015656E7</v>
      </c>
      <c r="C448" s="252" t="s">
        <v>2414</v>
      </c>
      <c r="D448" s="253" t="s">
        <v>2415</v>
      </c>
      <c r="E448" s="254" t="s">
        <v>337</v>
      </c>
      <c r="F448" s="254" t="s">
        <v>338</v>
      </c>
      <c r="G448" s="255"/>
      <c r="H448" s="256">
        <v>0.0</v>
      </c>
      <c r="I448" s="257"/>
      <c r="J448" s="98" t="s">
        <v>213</v>
      </c>
      <c r="K448" s="96" t="s">
        <v>54</v>
      </c>
      <c r="L448" s="280"/>
    </row>
    <row r="449" ht="15.75" customHeight="1">
      <c r="A449" s="251">
        <v>46219.0</v>
      </c>
      <c r="B449" s="252">
        <v>2.701564E7</v>
      </c>
      <c r="C449" s="252" t="s">
        <v>2416</v>
      </c>
      <c r="D449" s="253" t="s">
        <v>2037</v>
      </c>
      <c r="E449" s="254" t="s">
        <v>337</v>
      </c>
      <c r="F449" s="254" t="s">
        <v>434</v>
      </c>
      <c r="G449" s="255"/>
      <c r="H449" s="256">
        <v>0.0</v>
      </c>
      <c r="I449" s="257"/>
      <c r="J449" s="98" t="s">
        <v>213</v>
      </c>
      <c r="K449" s="96" t="s">
        <v>54</v>
      </c>
      <c r="L449" s="280"/>
    </row>
    <row r="450" ht="15.75" customHeight="1">
      <c r="A450" s="251">
        <v>46219.0</v>
      </c>
      <c r="B450" s="252">
        <v>2.7010276E7</v>
      </c>
      <c r="C450" s="252" t="s">
        <v>1021</v>
      </c>
      <c r="D450" s="253" t="s">
        <v>1022</v>
      </c>
      <c r="E450" s="254" t="s">
        <v>337</v>
      </c>
      <c r="F450" s="254" t="s">
        <v>338</v>
      </c>
      <c r="G450" s="255"/>
      <c r="H450" s="256">
        <v>0.0</v>
      </c>
      <c r="I450" s="257"/>
      <c r="J450" s="98" t="s">
        <v>213</v>
      </c>
      <c r="K450" s="96" t="s">
        <v>54</v>
      </c>
      <c r="L450" s="280"/>
    </row>
    <row r="451" ht="15.75" customHeight="1">
      <c r="A451" s="251">
        <v>46219.0</v>
      </c>
      <c r="B451" s="252">
        <v>2.700982E7</v>
      </c>
      <c r="C451" s="252" t="s">
        <v>2417</v>
      </c>
      <c r="D451" s="253" t="s">
        <v>2418</v>
      </c>
      <c r="E451" s="254" t="s">
        <v>337</v>
      </c>
      <c r="F451" s="254" t="s">
        <v>434</v>
      </c>
      <c r="G451" s="255"/>
      <c r="H451" s="256">
        <v>0.0</v>
      </c>
      <c r="I451" s="257"/>
      <c r="J451" s="98" t="s">
        <v>213</v>
      </c>
      <c r="K451" s="96" t="s">
        <v>54</v>
      </c>
      <c r="L451" s="280"/>
    </row>
    <row r="452" ht="15.75" customHeight="1">
      <c r="A452" s="251">
        <v>46219.0</v>
      </c>
      <c r="B452" s="252">
        <v>2.7008658E7</v>
      </c>
      <c r="C452" s="252" t="s">
        <v>2419</v>
      </c>
      <c r="D452" s="253" t="s">
        <v>2420</v>
      </c>
      <c r="E452" s="254" t="s">
        <v>337</v>
      </c>
      <c r="F452" s="254" t="s">
        <v>434</v>
      </c>
      <c r="G452" s="255"/>
      <c r="H452" s="256">
        <v>0.0</v>
      </c>
      <c r="I452" s="257"/>
      <c r="J452" s="98" t="s">
        <v>213</v>
      </c>
      <c r="K452" s="96" t="s">
        <v>54</v>
      </c>
      <c r="L452" s="280"/>
    </row>
    <row r="453" ht="15.75" customHeight="1">
      <c r="A453" s="251">
        <v>46219.0</v>
      </c>
      <c r="B453" s="252">
        <v>2.700841E7</v>
      </c>
      <c r="C453" s="252" t="s">
        <v>2421</v>
      </c>
      <c r="D453" s="253" t="s">
        <v>2422</v>
      </c>
      <c r="E453" s="254" t="s">
        <v>337</v>
      </c>
      <c r="F453" s="254" t="s">
        <v>434</v>
      </c>
      <c r="G453" s="255"/>
      <c r="H453" s="256">
        <v>0.0</v>
      </c>
      <c r="I453" s="257"/>
      <c r="J453" s="98" t="s">
        <v>213</v>
      </c>
      <c r="K453" s="96" t="s">
        <v>54</v>
      </c>
      <c r="L453" s="280"/>
    </row>
    <row r="454" ht="15.75" customHeight="1">
      <c r="A454" s="251">
        <v>46218.0</v>
      </c>
      <c r="B454" s="252">
        <v>2.7007886E7</v>
      </c>
      <c r="C454" s="252" t="s">
        <v>2423</v>
      </c>
      <c r="D454" s="253" t="s">
        <v>2424</v>
      </c>
      <c r="E454" s="254" t="s">
        <v>337</v>
      </c>
      <c r="F454" s="254" t="s">
        <v>338</v>
      </c>
      <c r="G454" s="255"/>
      <c r="H454" s="256">
        <v>0.0</v>
      </c>
      <c r="I454" s="257"/>
      <c r="J454" s="98" t="s">
        <v>213</v>
      </c>
      <c r="K454" s="96" t="s">
        <v>54</v>
      </c>
      <c r="L454" s="280"/>
    </row>
    <row r="455" ht="15.75" customHeight="1">
      <c r="A455" s="251">
        <v>46218.0</v>
      </c>
      <c r="B455" s="252">
        <v>2.700762E7</v>
      </c>
      <c r="C455" s="252" t="s">
        <v>2425</v>
      </c>
      <c r="D455" s="253" t="s">
        <v>2426</v>
      </c>
      <c r="E455" s="254" t="s">
        <v>337</v>
      </c>
      <c r="F455" s="254" t="s">
        <v>434</v>
      </c>
      <c r="G455" s="255"/>
      <c r="H455" s="256">
        <v>0.0</v>
      </c>
      <c r="I455" s="257"/>
      <c r="J455" s="98" t="s">
        <v>213</v>
      </c>
      <c r="K455" s="96" t="s">
        <v>54</v>
      </c>
      <c r="L455" s="280"/>
    </row>
    <row r="456" ht="15.75" customHeight="1">
      <c r="A456" s="251">
        <v>46218.0</v>
      </c>
      <c r="B456" s="252">
        <v>2.7007472E7</v>
      </c>
      <c r="C456" s="252" t="s">
        <v>2427</v>
      </c>
      <c r="D456" s="253" t="s">
        <v>2428</v>
      </c>
      <c r="E456" s="254" t="s">
        <v>337</v>
      </c>
      <c r="F456" s="254" t="s">
        <v>338</v>
      </c>
      <c r="G456" s="255"/>
      <c r="H456" s="256">
        <v>0.0</v>
      </c>
      <c r="I456" s="257"/>
      <c r="J456" s="98" t="s">
        <v>213</v>
      </c>
      <c r="K456" s="96" t="s">
        <v>54</v>
      </c>
      <c r="L456" s="280"/>
    </row>
    <row r="457" ht="15.75" customHeight="1">
      <c r="A457" s="251">
        <v>46218.0</v>
      </c>
      <c r="B457" s="252">
        <v>2.7007162E7</v>
      </c>
      <c r="C457" s="252" t="s">
        <v>2429</v>
      </c>
      <c r="D457" s="253" t="s">
        <v>2430</v>
      </c>
      <c r="E457" s="254" t="s">
        <v>337</v>
      </c>
      <c r="F457" s="254" t="s">
        <v>434</v>
      </c>
      <c r="G457" s="255"/>
      <c r="H457" s="256">
        <v>0.0</v>
      </c>
      <c r="I457" s="257"/>
      <c r="J457" s="98" t="s">
        <v>213</v>
      </c>
      <c r="K457" s="96" t="s">
        <v>54</v>
      </c>
      <c r="L457" s="280"/>
    </row>
    <row r="458" ht="15.75" customHeight="1">
      <c r="A458" s="251">
        <v>46218.0</v>
      </c>
      <c r="B458" s="252">
        <v>2.7005988E7</v>
      </c>
      <c r="C458" s="252" t="s">
        <v>2431</v>
      </c>
      <c r="D458" s="253" t="s">
        <v>2432</v>
      </c>
      <c r="E458" s="254" t="s">
        <v>337</v>
      </c>
      <c r="F458" s="254" t="s">
        <v>338</v>
      </c>
      <c r="G458" s="255"/>
      <c r="H458" s="256">
        <v>0.0</v>
      </c>
      <c r="I458" s="257"/>
      <c r="J458" s="98" t="s">
        <v>213</v>
      </c>
      <c r="K458" s="96" t="s">
        <v>54</v>
      </c>
      <c r="L458" s="280"/>
    </row>
    <row r="459" ht="15.75" customHeight="1">
      <c r="A459" s="251">
        <v>46218.0</v>
      </c>
      <c r="B459" s="252">
        <v>2.7005844E7</v>
      </c>
      <c r="C459" s="252" t="s">
        <v>2433</v>
      </c>
      <c r="D459" s="253" t="s">
        <v>2434</v>
      </c>
      <c r="E459" s="254" t="s">
        <v>337</v>
      </c>
      <c r="F459" s="254" t="s">
        <v>434</v>
      </c>
      <c r="G459" s="255"/>
      <c r="H459" s="256">
        <v>0.0</v>
      </c>
      <c r="I459" s="257"/>
      <c r="J459" s="98" t="s">
        <v>213</v>
      </c>
      <c r="K459" s="96" t="s">
        <v>54</v>
      </c>
      <c r="L459" s="280"/>
    </row>
    <row r="460" ht="15.75" customHeight="1">
      <c r="A460" s="251">
        <v>46218.0</v>
      </c>
      <c r="B460" s="252">
        <v>2.7004736E7</v>
      </c>
      <c r="C460" s="252" t="s">
        <v>2435</v>
      </c>
      <c r="D460" s="253" t="s">
        <v>2436</v>
      </c>
      <c r="E460" s="254" t="s">
        <v>337</v>
      </c>
      <c r="F460" s="254" t="s">
        <v>338</v>
      </c>
      <c r="G460" s="255"/>
      <c r="H460" s="256">
        <v>0.0</v>
      </c>
      <c r="I460" s="257"/>
      <c r="J460" s="98" t="s">
        <v>213</v>
      </c>
      <c r="K460" s="96" t="s">
        <v>54</v>
      </c>
      <c r="L460" s="280"/>
    </row>
    <row r="461" ht="15.75" customHeight="1">
      <c r="A461" s="251">
        <v>46218.0</v>
      </c>
      <c r="B461" s="252">
        <v>2.7003902E7</v>
      </c>
      <c r="C461" s="252" t="s">
        <v>2437</v>
      </c>
      <c r="D461" s="253" t="s">
        <v>2438</v>
      </c>
      <c r="E461" s="254" t="s">
        <v>337</v>
      </c>
      <c r="F461" s="254" t="s">
        <v>338</v>
      </c>
      <c r="G461" s="255"/>
      <c r="H461" s="256">
        <v>0.0</v>
      </c>
      <c r="I461" s="257"/>
      <c r="J461" s="98" t="s">
        <v>213</v>
      </c>
      <c r="K461" s="96" t="s">
        <v>54</v>
      </c>
      <c r="L461" s="280"/>
    </row>
    <row r="462" ht="15.75" customHeight="1">
      <c r="A462" s="251">
        <v>46218.0</v>
      </c>
      <c r="B462" s="252">
        <v>2.7003516E7</v>
      </c>
      <c r="C462" s="252" t="s">
        <v>2439</v>
      </c>
      <c r="D462" s="253" t="s">
        <v>2440</v>
      </c>
      <c r="E462" s="254" t="s">
        <v>2441</v>
      </c>
      <c r="F462" s="254" t="s">
        <v>338</v>
      </c>
      <c r="G462" s="255"/>
      <c r="H462" s="256">
        <v>0.0</v>
      </c>
      <c r="I462" s="257"/>
      <c r="J462" s="98" t="s">
        <v>213</v>
      </c>
      <c r="K462" s="96" t="s">
        <v>54</v>
      </c>
      <c r="L462" s="280"/>
    </row>
    <row r="463" ht="15.75" customHeight="1">
      <c r="A463" s="251">
        <v>46218.0</v>
      </c>
      <c r="B463" s="252">
        <v>2.700303E7</v>
      </c>
      <c r="C463" s="252" t="s">
        <v>863</v>
      </c>
      <c r="D463" s="253" t="s">
        <v>2442</v>
      </c>
      <c r="E463" s="254" t="s">
        <v>337</v>
      </c>
      <c r="F463" s="254" t="s">
        <v>338</v>
      </c>
      <c r="G463" s="255"/>
      <c r="H463" s="256">
        <v>0.0</v>
      </c>
      <c r="I463" s="257"/>
      <c r="J463" s="98" t="s">
        <v>213</v>
      </c>
      <c r="K463" s="96" t="s">
        <v>54</v>
      </c>
      <c r="L463" s="280"/>
    </row>
    <row r="464" ht="15.75" customHeight="1">
      <c r="A464" s="251">
        <v>46218.0</v>
      </c>
      <c r="B464" s="252">
        <v>2.7002052E7</v>
      </c>
      <c r="C464" s="252" t="s">
        <v>2443</v>
      </c>
      <c r="D464" s="253" t="s">
        <v>2444</v>
      </c>
      <c r="E464" s="254" t="s">
        <v>2441</v>
      </c>
      <c r="F464" s="254" t="s">
        <v>434</v>
      </c>
      <c r="G464" s="255"/>
      <c r="H464" s="256">
        <v>0.0</v>
      </c>
      <c r="I464" s="257"/>
      <c r="J464" s="98" t="s">
        <v>213</v>
      </c>
      <c r="K464" s="96" t="s">
        <v>54</v>
      </c>
      <c r="L464" s="280"/>
    </row>
    <row r="465" ht="15.75" customHeight="1">
      <c r="A465" s="251">
        <v>46218.0</v>
      </c>
      <c r="B465" s="252">
        <v>2.7001904E7</v>
      </c>
      <c r="C465" s="252" t="s">
        <v>2445</v>
      </c>
      <c r="D465" s="253" t="s">
        <v>2446</v>
      </c>
      <c r="E465" s="254" t="s">
        <v>2441</v>
      </c>
      <c r="F465" s="254" t="s">
        <v>338</v>
      </c>
      <c r="G465" s="255"/>
      <c r="H465" s="256">
        <v>0.0</v>
      </c>
      <c r="I465" s="257"/>
      <c r="J465" s="98" t="s">
        <v>213</v>
      </c>
      <c r="K465" s="96" t="s">
        <v>54</v>
      </c>
      <c r="L465" s="280"/>
    </row>
    <row r="466" ht="15.75" customHeight="1">
      <c r="A466" s="251">
        <v>46218.0</v>
      </c>
      <c r="B466" s="252">
        <v>2.700134E7</v>
      </c>
      <c r="C466" s="252" t="s">
        <v>2447</v>
      </c>
      <c r="D466" s="253" t="s">
        <v>2448</v>
      </c>
      <c r="E466" s="254" t="s">
        <v>337</v>
      </c>
      <c r="F466" s="254" t="s">
        <v>338</v>
      </c>
      <c r="G466" s="255"/>
      <c r="H466" s="256">
        <v>0.0</v>
      </c>
      <c r="I466" s="257"/>
      <c r="J466" s="98" t="s">
        <v>213</v>
      </c>
      <c r="K466" s="96" t="s">
        <v>54</v>
      </c>
      <c r="L466" s="280"/>
    </row>
    <row r="467" ht="15.75" customHeight="1">
      <c r="A467" s="251">
        <v>46218.0</v>
      </c>
      <c r="B467" s="252">
        <v>2.7000992E7</v>
      </c>
      <c r="C467" s="252" t="s">
        <v>2449</v>
      </c>
      <c r="D467" s="253" t="s">
        <v>2450</v>
      </c>
      <c r="E467" s="254" t="s">
        <v>2441</v>
      </c>
      <c r="F467" s="254" t="s">
        <v>338</v>
      </c>
      <c r="G467" s="255"/>
      <c r="H467" s="256">
        <v>0.0</v>
      </c>
      <c r="I467" s="257"/>
      <c r="J467" s="98" t="s">
        <v>213</v>
      </c>
      <c r="K467" s="96" t="s">
        <v>54</v>
      </c>
      <c r="L467" s="280"/>
    </row>
    <row r="468" ht="15.75" customHeight="1">
      <c r="A468" s="251">
        <v>46218.0</v>
      </c>
      <c r="B468" s="252">
        <v>2.700093E7</v>
      </c>
      <c r="C468" s="252" t="s">
        <v>2451</v>
      </c>
      <c r="D468" s="253" t="s">
        <v>2452</v>
      </c>
      <c r="E468" s="254" t="s">
        <v>337</v>
      </c>
      <c r="F468" s="254" t="s">
        <v>338</v>
      </c>
      <c r="G468" s="255"/>
      <c r="H468" s="256">
        <v>0.0</v>
      </c>
      <c r="I468" s="257"/>
      <c r="J468" s="98" t="s">
        <v>213</v>
      </c>
      <c r="K468" s="96" t="s">
        <v>54</v>
      </c>
      <c r="L468" s="280"/>
    </row>
    <row r="469" ht="15.75" customHeight="1">
      <c r="A469" s="251">
        <v>46218.0</v>
      </c>
      <c r="B469" s="252">
        <v>2.7000472E7</v>
      </c>
      <c r="C469" s="252" t="s">
        <v>2453</v>
      </c>
      <c r="D469" s="253" t="s">
        <v>2454</v>
      </c>
      <c r="E469" s="254" t="s">
        <v>337</v>
      </c>
      <c r="F469" s="254" t="s">
        <v>338</v>
      </c>
      <c r="G469" s="255"/>
      <c r="H469" s="256">
        <v>0.0</v>
      </c>
      <c r="I469" s="257"/>
      <c r="J469" s="98" t="s">
        <v>213</v>
      </c>
      <c r="K469" s="96" t="s">
        <v>54</v>
      </c>
      <c r="L469" s="280"/>
    </row>
    <row r="470" ht="15.75" customHeight="1">
      <c r="A470" s="251">
        <v>46218.0</v>
      </c>
      <c r="B470" s="252">
        <v>2.700045E7</v>
      </c>
      <c r="C470" s="252" t="s">
        <v>2455</v>
      </c>
      <c r="D470" s="253" t="s">
        <v>2456</v>
      </c>
      <c r="E470" s="254" t="s">
        <v>337</v>
      </c>
      <c r="F470" s="254" t="s">
        <v>410</v>
      </c>
      <c r="G470" s="255"/>
      <c r="H470" s="256">
        <v>0.0</v>
      </c>
      <c r="I470" s="257"/>
      <c r="J470" s="98" t="s">
        <v>213</v>
      </c>
      <c r="K470" s="96" t="s">
        <v>54</v>
      </c>
      <c r="L470" s="280"/>
    </row>
    <row r="471" ht="15.75" customHeight="1">
      <c r="A471" s="251">
        <v>46218.0</v>
      </c>
      <c r="B471" s="252">
        <v>2.7000322E7</v>
      </c>
      <c r="C471" s="252" t="s">
        <v>977</v>
      </c>
      <c r="D471" s="253" t="s">
        <v>2457</v>
      </c>
      <c r="E471" s="254" t="s">
        <v>337</v>
      </c>
      <c r="F471" s="254" t="s">
        <v>410</v>
      </c>
      <c r="G471" s="255"/>
      <c r="H471" s="256">
        <v>0.0</v>
      </c>
      <c r="I471" s="257"/>
      <c r="J471" s="98" t="s">
        <v>213</v>
      </c>
      <c r="K471" s="96" t="s">
        <v>54</v>
      </c>
      <c r="L471" s="280"/>
    </row>
    <row r="472" ht="15.75" customHeight="1">
      <c r="A472" s="251">
        <v>46217.0</v>
      </c>
      <c r="B472" s="252">
        <v>2.7000114E7</v>
      </c>
      <c r="C472" s="252" t="s">
        <v>2458</v>
      </c>
      <c r="D472" s="253" t="s">
        <v>2459</v>
      </c>
      <c r="E472" s="254" t="s">
        <v>337</v>
      </c>
      <c r="F472" s="254" t="s">
        <v>338</v>
      </c>
      <c r="G472" s="255"/>
      <c r="H472" s="256">
        <v>0.0</v>
      </c>
      <c r="I472" s="257"/>
      <c r="J472" s="98" t="s">
        <v>213</v>
      </c>
      <c r="K472" s="96" t="s">
        <v>54</v>
      </c>
      <c r="L472" s="280"/>
    </row>
    <row r="473" ht="15.75" customHeight="1">
      <c r="A473" s="251">
        <v>46217.0</v>
      </c>
      <c r="B473" s="252">
        <v>2.700009E7</v>
      </c>
      <c r="C473" s="252" t="s">
        <v>2460</v>
      </c>
      <c r="D473" s="253" t="s">
        <v>2461</v>
      </c>
      <c r="E473" s="254" t="s">
        <v>337</v>
      </c>
      <c r="F473" s="254" t="s">
        <v>338</v>
      </c>
      <c r="G473" s="255"/>
      <c r="H473" s="256">
        <v>0.0</v>
      </c>
      <c r="I473" s="257"/>
      <c r="J473" s="98" t="s">
        <v>213</v>
      </c>
      <c r="K473" s="96" t="s">
        <v>54</v>
      </c>
      <c r="L473" s="280"/>
    </row>
    <row r="474" ht="15.75" customHeight="1">
      <c r="A474" s="251">
        <v>46217.0</v>
      </c>
      <c r="B474" s="252">
        <v>2.6999106E7</v>
      </c>
      <c r="C474" s="252" t="s">
        <v>2462</v>
      </c>
      <c r="D474" s="253" t="s">
        <v>2463</v>
      </c>
      <c r="E474" s="254" t="s">
        <v>337</v>
      </c>
      <c r="F474" s="254" t="s">
        <v>338</v>
      </c>
      <c r="G474" s="255"/>
      <c r="H474" s="256">
        <v>0.0</v>
      </c>
      <c r="I474" s="257"/>
      <c r="J474" s="98" t="s">
        <v>213</v>
      </c>
      <c r="K474" s="96" t="s">
        <v>54</v>
      </c>
      <c r="L474" s="280"/>
    </row>
    <row r="475" ht="15.75" customHeight="1">
      <c r="A475" s="251">
        <v>46217.0</v>
      </c>
      <c r="B475" s="252">
        <v>2.6998736E7</v>
      </c>
      <c r="C475" s="252" t="s">
        <v>2464</v>
      </c>
      <c r="D475" s="253" t="s">
        <v>2465</v>
      </c>
      <c r="E475" s="254" t="s">
        <v>337</v>
      </c>
      <c r="F475" s="254" t="s">
        <v>434</v>
      </c>
      <c r="G475" s="255"/>
      <c r="H475" s="256">
        <v>0.0</v>
      </c>
      <c r="I475" s="257"/>
      <c r="J475" s="98" t="s">
        <v>213</v>
      </c>
      <c r="K475" s="96" t="s">
        <v>54</v>
      </c>
      <c r="L475" s="280"/>
    </row>
    <row r="476" ht="15.75" customHeight="1">
      <c r="A476" s="251">
        <v>46217.0</v>
      </c>
      <c r="B476" s="252">
        <v>2.6996326E7</v>
      </c>
      <c r="C476" s="257"/>
      <c r="D476" s="253" t="s">
        <v>2466</v>
      </c>
      <c r="E476" s="254" t="s">
        <v>2441</v>
      </c>
      <c r="F476" s="254" t="s">
        <v>410</v>
      </c>
      <c r="G476" s="255"/>
      <c r="H476" s="256">
        <v>0.0</v>
      </c>
      <c r="I476" s="257"/>
      <c r="J476" s="98" t="s">
        <v>213</v>
      </c>
      <c r="K476" s="96" t="s">
        <v>54</v>
      </c>
      <c r="L476" s="280"/>
    </row>
    <row r="477" ht="15.75" customHeight="1">
      <c r="A477" s="251">
        <v>46217.0</v>
      </c>
      <c r="B477" s="252">
        <v>2.699551E7</v>
      </c>
      <c r="C477" s="252" t="s">
        <v>2467</v>
      </c>
      <c r="D477" s="253" t="s">
        <v>2468</v>
      </c>
      <c r="E477" s="254" t="s">
        <v>337</v>
      </c>
      <c r="F477" s="254" t="s">
        <v>338</v>
      </c>
      <c r="G477" s="255"/>
      <c r="H477" s="256">
        <v>0.0</v>
      </c>
      <c r="I477" s="257"/>
      <c r="J477" s="98" t="s">
        <v>213</v>
      </c>
      <c r="K477" s="96" t="s">
        <v>54</v>
      </c>
      <c r="L477" s="280"/>
    </row>
    <row r="478" ht="15.75" customHeight="1">
      <c r="A478" s="251">
        <v>46217.0</v>
      </c>
      <c r="B478" s="252">
        <v>2.6994426E7</v>
      </c>
      <c r="C478" s="252" t="s">
        <v>2469</v>
      </c>
      <c r="D478" s="253" t="s">
        <v>2470</v>
      </c>
      <c r="E478" s="254" t="s">
        <v>337</v>
      </c>
      <c r="F478" s="254" t="s">
        <v>410</v>
      </c>
      <c r="G478" s="255"/>
      <c r="H478" s="256">
        <v>0.0</v>
      </c>
      <c r="I478" s="257"/>
      <c r="J478" s="98" t="s">
        <v>213</v>
      </c>
      <c r="K478" s="96" t="s">
        <v>54</v>
      </c>
      <c r="L478" s="280"/>
    </row>
    <row r="479" ht="15.75" customHeight="1">
      <c r="A479" s="251">
        <v>46217.0</v>
      </c>
      <c r="B479" s="252">
        <v>2.6993112E7</v>
      </c>
      <c r="C479" s="252" t="s">
        <v>2471</v>
      </c>
      <c r="D479" s="253" t="s">
        <v>2472</v>
      </c>
      <c r="E479" s="254" t="s">
        <v>2441</v>
      </c>
      <c r="F479" s="254" t="s">
        <v>338</v>
      </c>
      <c r="G479" s="255"/>
      <c r="H479" s="256">
        <v>0.0</v>
      </c>
      <c r="I479" s="257"/>
      <c r="J479" s="98" t="s">
        <v>213</v>
      </c>
      <c r="K479" s="96" t="s">
        <v>54</v>
      </c>
      <c r="L479" s="280"/>
    </row>
    <row r="480" ht="15.75" customHeight="1">
      <c r="A480" s="251">
        <v>46217.0</v>
      </c>
      <c r="B480" s="252">
        <v>2.6992636E7</v>
      </c>
      <c r="C480" s="252" t="s">
        <v>2473</v>
      </c>
      <c r="D480" s="253" t="s">
        <v>2474</v>
      </c>
      <c r="E480" s="254" t="s">
        <v>2441</v>
      </c>
      <c r="F480" s="254" t="s">
        <v>338</v>
      </c>
      <c r="G480" s="255"/>
      <c r="H480" s="256">
        <v>0.0</v>
      </c>
      <c r="I480" s="257"/>
      <c r="J480" s="98" t="s">
        <v>213</v>
      </c>
      <c r="K480" s="96" t="s">
        <v>54</v>
      </c>
      <c r="L480" s="280"/>
    </row>
    <row r="481" ht="15.75" customHeight="1">
      <c r="A481" s="251">
        <v>46217.0</v>
      </c>
      <c r="B481" s="252">
        <v>2.6991046E7</v>
      </c>
      <c r="C481" s="252" t="s">
        <v>2475</v>
      </c>
      <c r="D481" s="253" t="s">
        <v>2476</v>
      </c>
      <c r="E481" s="254" t="s">
        <v>2441</v>
      </c>
      <c r="F481" s="254" t="s">
        <v>338</v>
      </c>
      <c r="G481" s="255"/>
      <c r="H481" s="256">
        <v>0.0</v>
      </c>
      <c r="I481" s="257"/>
      <c r="J481" s="98" t="s">
        <v>213</v>
      </c>
      <c r="K481" s="96" t="s">
        <v>54</v>
      </c>
      <c r="L481" s="280"/>
    </row>
    <row r="482" ht="15.75" customHeight="1">
      <c r="A482" s="251">
        <v>46217.0</v>
      </c>
      <c r="B482" s="252">
        <v>2.6989882E7</v>
      </c>
      <c r="C482" s="252" t="s">
        <v>2455</v>
      </c>
      <c r="D482" s="253" t="s">
        <v>2456</v>
      </c>
      <c r="E482" s="254" t="s">
        <v>2441</v>
      </c>
      <c r="F482" s="254" t="s">
        <v>338</v>
      </c>
      <c r="G482" s="255"/>
      <c r="H482" s="256">
        <v>0.0</v>
      </c>
      <c r="I482" s="257"/>
      <c r="J482" s="98" t="s">
        <v>213</v>
      </c>
      <c r="K482" s="96" t="s">
        <v>54</v>
      </c>
      <c r="L482" s="280"/>
    </row>
    <row r="483" ht="15.75" customHeight="1">
      <c r="A483" s="251">
        <v>46216.0</v>
      </c>
      <c r="B483" s="252">
        <v>2.6989376E7</v>
      </c>
      <c r="C483" s="252" t="s">
        <v>2477</v>
      </c>
      <c r="D483" s="253" t="s">
        <v>2478</v>
      </c>
      <c r="E483" s="254" t="s">
        <v>2441</v>
      </c>
      <c r="F483" s="254" t="s">
        <v>410</v>
      </c>
      <c r="G483" s="255"/>
      <c r="H483" s="256">
        <v>0.0</v>
      </c>
      <c r="I483" s="257"/>
      <c r="J483" s="98" t="s">
        <v>213</v>
      </c>
      <c r="K483" s="96" t="s">
        <v>54</v>
      </c>
      <c r="L483" s="280"/>
    </row>
    <row r="484" ht="15.75" customHeight="1">
      <c r="A484" s="251">
        <v>46216.0</v>
      </c>
      <c r="B484" s="252">
        <v>2.698888E7</v>
      </c>
      <c r="C484" s="252" t="s">
        <v>2479</v>
      </c>
      <c r="D484" s="253" t="s">
        <v>2480</v>
      </c>
      <c r="E484" s="254" t="s">
        <v>337</v>
      </c>
      <c r="F484" s="254" t="s">
        <v>410</v>
      </c>
      <c r="G484" s="255"/>
      <c r="H484" s="256">
        <v>0.0</v>
      </c>
      <c r="I484" s="257"/>
      <c r="J484" s="98" t="s">
        <v>213</v>
      </c>
      <c r="K484" s="96" t="s">
        <v>54</v>
      </c>
      <c r="L484" s="280"/>
    </row>
    <row r="485" ht="15.75" customHeight="1">
      <c r="A485" s="251">
        <v>46216.0</v>
      </c>
      <c r="B485" s="252">
        <v>2.6988184E7</v>
      </c>
      <c r="C485" s="252" t="s">
        <v>2481</v>
      </c>
      <c r="D485" s="253" t="s">
        <v>2482</v>
      </c>
      <c r="E485" s="254" t="s">
        <v>2441</v>
      </c>
      <c r="F485" s="254" t="s">
        <v>338</v>
      </c>
      <c r="G485" s="255"/>
      <c r="H485" s="256">
        <v>0.0</v>
      </c>
      <c r="I485" s="257"/>
      <c r="J485" s="98" t="s">
        <v>213</v>
      </c>
      <c r="K485" s="96" t="s">
        <v>54</v>
      </c>
      <c r="L485" s="280"/>
    </row>
    <row r="486" ht="15.75" customHeight="1">
      <c r="A486" s="251">
        <v>46216.0</v>
      </c>
      <c r="B486" s="252">
        <v>2.698711E7</v>
      </c>
      <c r="C486" s="252" t="s">
        <v>2483</v>
      </c>
      <c r="D486" s="253" t="s">
        <v>2484</v>
      </c>
      <c r="E486" s="254" t="s">
        <v>337</v>
      </c>
      <c r="F486" s="254" t="s">
        <v>338</v>
      </c>
      <c r="G486" s="255"/>
      <c r="H486" s="256">
        <v>0.0</v>
      </c>
      <c r="I486" s="257"/>
      <c r="J486" s="98" t="s">
        <v>213</v>
      </c>
      <c r="K486" s="96" t="s">
        <v>54</v>
      </c>
      <c r="L486" s="280"/>
    </row>
    <row r="487" ht="15.75" customHeight="1">
      <c r="A487" s="251">
        <v>46216.0</v>
      </c>
      <c r="B487" s="252">
        <v>2.6985116E7</v>
      </c>
      <c r="C487" s="252" t="s">
        <v>827</v>
      </c>
      <c r="D487" s="253" t="s">
        <v>2485</v>
      </c>
      <c r="E487" s="254" t="s">
        <v>337</v>
      </c>
      <c r="F487" s="254" t="s">
        <v>410</v>
      </c>
      <c r="G487" s="255"/>
      <c r="H487" s="256">
        <v>0.0</v>
      </c>
      <c r="I487" s="257"/>
      <c r="J487" s="98" t="s">
        <v>213</v>
      </c>
      <c r="K487" s="96" t="s">
        <v>54</v>
      </c>
      <c r="L487" s="280"/>
    </row>
    <row r="488" ht="15.75" customHeight="1">
      <c r="A488" s="251">
        <v>46216.0</v>
      </c>
      <c r="B488" s="252">
        <v>2.6985008E7</v>
      </c>
      <c r="C488" s="252" t="s">
        <v>2486</v>
      </c>
      <c r="D488" s="253" t="s">
        <v>2487</v>
      </c>
      <c r="E488" s="254" t="s">
        <v>2441</v>
      </c>
      <c r="F488" s="254" t="s">
        <v>338</v>
      </c>
      <c r="G488" s="255"/>
      <c r="H488" s="256">
        <v>0.0</v>
      </c>
      <c r="I488" s="257"/>
      <c r="J488" s="98" t="s">
        <v>213</v>
      </c>
      <c r="K488" s="96" t="s">
        <v>54</v>
      </c>
      <c r="L488" s="280"/>
    </row>
    <row r="489" ht="15.75" customHeight="1">
      <c r="A489" s="251">
        <v>46216.0</v>
      </c>
      <c r="B489" s="252">
        <v>2.698243E7</v>
      </c>
      <c r="C489" s="252" t="s">
        <v>2488</v>
      </c>
      <c r="D489" s="253" t="s">
        <v>2489</v>
      </c>
      <c r="E489" s="254" t="s">
        <v>337</v>
      </c>
      <c r="F489" s="254" t="s">
        <v>338</v>
      </c>
      <c r="G489" s="255"/>
      <c r="H489" s="256">
        <v>0.0</v>
      </c>
      <c r="I489" s="257"/>
      <c r="J489" s="98" t="s">
        <v>213</v>
      </c>
      <c r="K489" s="96" t="s">
        <v>54</v>
      </c>
      <c r="L489" s="280"/>
    </row>
    <row r="490" ht="15.75" customHeight="1">
      <c r="A490" s="251">
        <v>46215.0</v>
      </c>
      <c r="B490" s="252">
        <v>2.6979102E7</v>
      </c>
      <c r="C490" s="252" t="s">
        <v>2490</v>
      </c>
      <c r="D490" s="253" t="s">
        <v>2491</v>
      </c>
      <c r="E490" s="254" t="s">
        <v>2441</v>
      </c>
      <c r="F490" s="254" t="s">
        <v>410</v>
      </c>
      <c r="G490" s="255"/>
      <c r="H490" s="256">
        <v>0.0</v>
      </c>
      <c r="I490" s="257"/>
      <c r="J490" s="98" t="s">
        <v>213</v>
      </c>
      <c r="K490" s="96" t="s">
        <v>54</v>
      </c>
      <c r="L490" s="280"/>
    </row>
    <row r="491" ht="15.75" customHeight="1">
      <c r="A491" s="251">
        <v>46215.0</v>
      </c>
      <c r="B491" s="252">
        <v>2.6978148E7</v>
      </c>
      <c r="C491" s="252" t="s">
        <v>2492</v>
      </c>
      <c r="D491" s="253" t="s">
        <v>2493</v>
      </c>
      <c r="E491" s="254" t="s">
        <v>2441</v>
      </c>
      <c r="F491" s="254" t="s">
        <v>338</v>
      </c>
      <c r="G491" s="255"/>
      <c r="H491" s="256">
        <v>0.0</v>
      </c>
      <c r="I491" s="257"/>
      <c r="J491" s="98" t="s">
        <v>213</v>
      </c>
      <c r="K491" s="96" t="s">
        <v>54</v>
      </c>
      <c r="L491" s="280"/>
    </row>
    <row r="492" ht="15.75" customHeight="1">
      <c r="A492" s="251">
        <v>46215.0</v>
      </c>
      <c r="B492" s="252">
        <v>2.6977586E7</v>
      </c>
      <c r="C492" s="252" t="s">
        <v>2494</v>
      </c>
      <c r="D492" s="253" t="s">
        <v>2495</v>
      </c>
      <c r="E492" s="254" t="s">
        <v>2441</v>
      </c>
      <c r="F492" s="254" t="s">
        <v>338</v>
      </c>
      <c r="G492" s="255"/>
      <c r="H492" s="256">
        <v>0.0</v>
      </c>
      <c r="I492" s="257"/>
      <c r="J492" s="98" t="s">
        <v>213</v>
      </c>
      <c r="K492" s="96" t="s">
        <v>54</v>
      </c>
      <c r="L492" s="280"/>
    </row>
    <row r="493" ht="15.75" customHeight="1">
      <c r="A493" s="251">
        <v>46215.0</v>
      </c>
      <c r="B493" s="252">
        <v>2.6977408E7</v>
      </c>
      <c r="C493" s="252" t="s">
        <v>2496</v>
      </c>
      <c r="D493" s="253" t="s">
        <v>2497</v>
      </c>
      <c r="E493" s="254" t="s">
        <v>2441</v>
      </c>
      <c r="F493" s="254" t="s">
        <v>338</v>
      </c>
      <c r="G493" s="255"/>
      <c r="H493" s="256">
        <v>0.0</v>
      </c>
      <c r="I493" s="257"/>
      <c r="J493" s="98" t="s">
        <v>213</v>
      </c>
      <c r="K493" s="96" t="s">
        <v>54</v>
      </c>
      <c r="L493" s="280"/>
    </row>
    <row r="494" ht="15.75" customHeight="1">
      <c r="A494" s="251">
        <v>46215.0</v>
      </c>
      <c r="B494" s="252">
        <v>2.697614E7</v>
      </c>
      <c r="C494" s="252" t="s">
        <v>2498</v>
      </c>
      <c r="D494" s="253" t="s">
        <v>2499</v>
      </c>
      <c r="E494" s="254" t="s">
        <v>2441</v>
      </c>
      <c r="F494" s="254" t="s">
        <v>338</v>
      </c>
      <c r="G494" s="255"/>
      <c r="H494" s="256">
        <v>0.0</v>
      </c>
      <c r="I494" s="257"/>
      <c r="J494" s="98" t="s">
        <v>213</v>
      </c>
      <c r="K494" s="96" t="s">
        <v>54</v>
      </c>
      <c r="L494" s="280"/>
    </row>
    <row r="495" ht="15.75" customHeight="1">
      <c r="A495" s="251">
        <v>46215.0</v>
      </c>
      <c r="B495" s="252">
        <v>2.6975482E7</v>
      </c>
      <c r="C495" s="252" t="s">
        <v>2500</v>
      </c>
      <c r="D495" s="253" t="s">
        <v>2501</v>
      </c>
      <c r="E495" s="254" t="s">
        <v>337</v>
      </c>
      <c r="F495" s="254" t="s">
        <v>338</v>
      </c>
      <c r="G495" s="255"/>
      <c r="H495" s="256">
        <v>0.0</v>
      </c>
      <c r="I495" s="257"/>
      <c r="J495" s="98" t="s">
        <v>213</v>
      </c>
      <c r="K495" s="96" t="s">
        <v>54</v>
      </c>
      <c r="L495" s="280"/>
    </row>
    <row r="496" ht="15.75" customHeight="1">
      <c r="A496" s="251">
        <v>46215.0</v>
      </c>
      <c r="B496" s="252">
        <v>2.6974832E7</v>
      </c>
      <c r="C496" s="252" t="s">
        <v>2502</v>
      </c>
      <c r="D496" s="253" t="s">
        <v>2503</v>
      </c>
      <c r="E496" s="254" t="s">
        <v>2441</v>
      </c>
      <c r="F496" s="254" t="s">
        <v>338</v>
      </c>
      <c r="G496" s="255"/>
      <c r="H496" s="256">
        <v>0.0</v>
      </c>
      <c r="I496" s="257"/>
      <c r="J496" s="98" t="s">
        <v>213</v>
      </c>
      <c r="K496" s="96" t="s">
        <v>54</v>
      </c>
      <c r="L496" s="280"/>
    </row>
    <row r="497" ht="15.75" customHeight="1">
      <c r="A497" s="251">
        <v>46215.0</v>
      </c>
      <c r="B497" s="252">
        <v>2.6974512E7</v>
      </c>
      <c r="C497" s="252" t="s">
        <v>2504</v>
      </c>
      <c r="D497" s="253" t="s">
        <v>2505</v>
      </c>
      <c r="E497" s="254" t="s">
        <v>2441</v>
      </c>
      <c r="F497" s="254" t="s">
        <v>338</v>
      </c>
      <c r="G497" s="255"/>
      <c r="H497" s="256">
        <v>0.0</v>
      </c>
      <c r="I497" s="257"/>
      <c r="J497" s="98" t="s">
        <v>213</v>
      </c>
      <c r="K497" s="96" t="s">
        <v>54</v>
      </c>
      <c r="L497" s="280"/>
    </row>
    <row r="498" ht="15.75" customHeight="1">
      <c r="A498" s="251">
        <v>46214.0</v>
      </c>
      <c r="B498" s="252">
        <v>2.6973146E7</v>
      </c>
      <c r="C498" s="252" t="s">
        <v>2506</v>
      </c>
      <c r="D498" s="253" t="s">
        <v>2507</v>
      </c>
      <c r="E498" s="254" t="s">
        <v>337</v>
      </c>
      <c r="F498" s="254" t="s">
        <v>338</v>
      </c>
      <c r="G498" s="255"/>
      <c r="H498" s="256">
        <v>0.0</v>
      </c>
      <c r="I498" s="257"/>
      <c r="J498" s="98" t="s">
        <v>213</v>
      </c>
      <c r="K498" s="96" t="s">
        <v>54</v>
      </c>
      <c r="L498" s="280"/>
    </row>
    <row r="499" ht="15.75" customHeight="1">
      <c r="A499" s="251">
        <v>46214.0</v>
      </c>
      <c r="B499" s="252">
        <v>2.697255E7</v>
      </c>
      <c r="C499" s="252" t="s">
        <v>2508</v>
      </c>
      <c r="D499" s="253" t="s">
        <v>2509</v>
      </c>
      <c r="E499" s="254" t="s">
        <v>2441</v>
      </c>
      <c r="F499" s="254" t="s">
        <v>338</v>
      </c>
      <c r="G499" s="255"/>
      <c r="H499" s="256">
        <v>0.0</v>
      </c>
      <c r="I499" s="257"/>
      <c r="J499" s="98" t="s">
        <v>213</v>
      </c>
      <c r="K499" s="96" t="s">
        <v>54</v>
      </c>
      <c r="L499" s="280"/>
    </row>
    <row r="500" ht="15.75" customHeight="1">
      <c r="A500" s="251">
        <v>46214.0</v>
      </c>
      <c r="B500" s="252">
        <v>2.6972286E7</v>
      </c>
      <c r="C500" s="252" t="s">
        <v>2510</v>
      </c>
      <c r="D500" s="253" t="s">
        <v>2511</v>
      </c>
      <c r="E500" s="254" t="s">
        <v>337</v>
      </c>
      <c r="F500" s="254" t="s">
        <v>338</v>
      </c>
      <c r="G500" s="255"/>
      <c r="H500" s="256">
        <v>0.0</v>
      </c>
      <c r="I500" s="257"/>
      <c r="J500" s="98" t="s">
        <v>213</v>
      </c>
      <c r="K500" s="96" t="s">
        <v>54</v>
      </c>
      <c r="L500" s="280"/>
    </row>
    <row r="501" ht="15.75" customHeight="1">
      <c r="A501" s="251">
        <v>46214.0</v>
      </c>
      <c r="B501" s="252">
        <v>2.6971364E7</v>
      </c>
      <c r="C501" s="252" t="s">
        <v>2512</v>
      </c>
      <c r="D501" s="253" t="s">
        <v>2513</v>
      </c>
      <c r="E501" s="254" t="s">
        <v>2441</v>
      </c>
      <c r="F501" s="254" t="s">
        <v>410</v>
      </c>
      <c r="G501" s="255"/>
      <c r="H501" s="256">
        <v>0.0</v>
      </c>
      <c r="I501" s="257"/>
      <c r="J501" s="98" t="s">
        <v>213</v>
      </c>
      <c r="K501" s="96" t="s">
        <v>54</v>
      </c>
      <c r="L501" s="280"/>
    </row>
    <row r="502" ht="15.75" customHeight="1">
      <c r="A502" s="251">
        <v>46214.0</v>
      </c>
      <c r="B502" s="252">
        <v>2.6971264E7</v>
      </c>
      <c r="C502" s="252" t="s">
        <v>2388</v>
      </c>
      <c r="D502" s="253" t="s">
        <v>2389</v>
      </c>
      <c r="E502" s="254" t="s">
        <v>2441</v>
      </c>
      <c r="F502" s="254" t="s">
        <v>338</v>
      </c>
      <c r="G502" s="255"/>
      <c r="H502" s="256">
        <v>0.0</v>
      </c>
      <c r="I502" s="257"/>
      <c r="J502" s="98" t="s">
        <v>213</v>
      </c>
      <c r="K502" s="96" t="s">
        <v>54</v>
      </c>
      <c r="L502" s="280"/>
    </row>
    <row r="503" ht="15.75" customHeight="1">
      <c r="A503" s="251">
        <v>46214.0</v>
      </c>
      <c r="B503" s="252">
        <v>2.6967432E7</v>
      </c>
      <c r="C503" s="252" t="s">
        <v>2514</v>
      </c>
      <c r="D503" s="253" t="s">
        <v>2515</v>
      </c>
      <c r="E503" s="254" t="s">
        <v>2441</v>
      </c>
      <c r="F503" s="254" t="s">
        <v>410</v>
      </c>
      <c r="G503" s="255"/>
      <c r="H503" s="256">
        <v>0.0</v>
      </c>
      <c r="I503" s="257"/>
      <c r="J503" s="98" t="s">
        <v>213</v>
      </c>
      <c r="K503" s="96" t="s">
        <v>54</v>
      </c>
      <c r="L503" s="280"/>
    </row>
    <row r="504" ht="15.75" customHeight="1">
      <c r="A504" s="251">
        <v>46214.0</v>
      </c>
      <c r="B504" s="252">
        <v>2.696719E7</v>
      </c>
      <c r="C504" s="252" t="s">
        <v>2516</v>
      </c>
      <c r="D504" s="253" t="s">
        <v>2517</v>
      </c>
      <c r="E504" s="254" t="s">
        <v>2441</v>
      </c>
      <c r="F504" s="254" t="s">
        <v>434</v>
      </c>
      <c r="G504" s="255"/>
      <c r="H504" s="256">
        <v>0.0</v>
      </c>
      <c r="I504" s="257"/>
      <c r="J504" s="98" t="s">
        <v>213</v>
      </c>
      <c r="K504" s="96" t="s">
        <v>54</v>
      </c>
      <c r="L504" s="280"/>
    </row>
    <row r="505" ht="15.75" customHeight="1">
      <c r="A505" s="251">
        <v>46214.0</v>
      </c>
      <c r="B505" s="252">
        <v>2.6966552E7</v>
      </c>
      <c r="C505" s="252" t="s">
        <v>2518</v>
      </c>
      <c r="D505" s="253" t="s">
        <v>2519</v>
      </c>
      <c r="E505" s="254" t="s">
        <v>2441</v>
      </c>
      <c r="F505" s="254" t="s">
        <v>434</v>
      </c>
      <c r="G505" s="255"/>
      <c r="H505" s="256">
        <v>0.0</v>
      </c>
      <c r="I505" s="257"/>
      <c r="J505" s="98" t="s">
        <v>213</v>
      </c>
      <c r="K505" s="96" t="s">
        <v>54</v>
      </c>
      <c r="L505" s="280"/>
    </row>
    <row r="506" ht="15.75" customHeight="1">
      <c r="A506" s="251">
        <v>46214.0</v>
      </c>
      <c r="B506" s="252">
        <v>2.6966544E7</v>
      </c>
      <c r="C506" s="252" t="s">
        <v>2520</v>
      </c>
      <c r="D506" s="253" t="s">
        <v>2521</v>
      </c>
      <c r="E506" s="254" t="s">
        <v>2441</v>
      </c>
      <c r="F506" s="254" t="s">
        <v>338</v>
      </c>
      <c r="G506" s="255"/>
      <c r="H506" s="256">
        <v>0.0</v>
      </c>
      <c r="I506" s="257"/>
      <c r="J506" s="98" t="s">
        <v>213</v>
      </c>
      <c r="K506" s="96" t="s">
        <v>54</v>
      </c>
      <c r="L506" s="280"/>
    </row>
    <row r="507" ht="15.75" customHeight="1">
      <c r="A507" s="251">
        <v>46214.0</v>
      </c>
      <c r="B507" s="252">
        <v>2.6966452E7</v>
      </c>
      <c r="C507" s="252" t="s">
        <v>2520</v>
      </c>
      <c r="D507" s="253" t="s">
        <v>2521</v>
      </c>
      <c r="E507" s="254" t="s">
        <v>2441</v>
      </c>
      <c r="F507" s="254" t="s">
        <v>338</v>
      </c>
      <c r="G507" s="255"/>
      <c r="H507" s="256">
        <v>0.0</v>
      </c>
      <c r="I507" s="257"/>
      <c r="J507" s="98" t="s">
        <v>213</v>
      </c>
      <c r="K507" s="96" t="s">
        <v>54</v>
      </c>
      <c r="L507" s="280"/>
    </row>
    <row r="508" ht="15.75" customHeight="1">
      <c r="A508" s="251">
        <v>46213.0</v>
      </c>
      <c r="B508" s="252">
        <v>2.6966288E7</v>
      </c>
      <c r="C508" s="252" t="s">
        <v>2522</v>
      </c>
      <c r="D508" s="253" t="s">
        <v>2523</v>
      </c>
      <c r="E508" s="254" t="s">
        <v>2441</v>
      </c>
      <c r="F508" s="254" t="s">
        <v>338</v>
      </c>
      <c r="G508" s="255"/>
      <c r="H508" s="256">
        <v>0.0</v>
      </c>
      <c r="I508" s="257"/>
      <c r="J508" s="98" t="s">
        <v>213</v>
      </c>
      <c r="K508" s="96" t="s">
        <v>54</v>
      </c>
      <c r="L508" s="280"/>
    </row>
    <row r="509" ht="15.75" customHeight="1">
      <c r="A509" s="251">
        <v>46213.0</v>
      </c>
      <c r="B509" s="252">
        <v>2.6966164E7</v>
      </c>
      <c r="C509" s="252" t="s">
        <v>2524</v>
      </c>
      <c r="D509" s="253" t="s">
        <v>2525</v>
      </c>
      <c r="E509" s="254" t="s">
        <v>2441</v>
      </c>
      <c r="F509" s="254" t="s">
        <v>338</v>
      </c>
      <c r="G509" s="255"/>
      <c r="H509" s="256">
        <v>0.0</v>
      </c>
      <c r="I509" s="257"/>
      <c r="J509" s="98" t="s">
        <v>213</v>
      </c>
      <c r="K509" s="96" t="s">
        <v>54</v>
      </c>
      <c r="L509" s="280"/>
    </row>
    <row r="510" ht="15.75" customHeight="1">
      <c r="A510" s="251">
        <v>46213.0</v>
      </c>
      <c r="B510" s="252">
        <v>2.6965598E7</v>
      </c>
      <c r="C510" s="252" t="s">
        <v>2526</v>
      </c>
      <c r="D510" s="253" t="s">
        <v>2527</v>
      </c>
      <c r="E510" s="254" t="s">
        <v>2441</v>
      </c>
      <c r="F510" s="254" t="s">
        <v>338</v>
      </c>
      <c r="G510" s="255"/>
      <c r="H510" s="256">
        <v>0.0</v>
      </c>
      <c r="I510" s="257"/>
      <c r="J510" s="98" t="s">
        <v>213</v>
      </c>
      <c r="K510" s="96" t="s">
        <v>54</v>
      </c>
      <c r="L510" s="280"/>
    </row>
    <row r="511" ht="15.75" customHeight="1">
      <c r="A511" s="251">
        <v>46213.0</v>
      </c>
      <c r="B511" s="252">
        <v>2.6965546E7</v>
      </c>
      <c r="C511" s="252" t="s">
        <v>2528</v>
      </c>
      <c r="D511" s="253" t="s">
        <v>2529</v>
      </c>
      <c r="E511" s="254" t="s">
        <v>2441</v>
      </c>
      <c r="F511" s="254" t="s">
        <v>338</v>
      </c>
      <c r="G511" s="255"/>
      <c r="H511" s="256">
        <v>0.0</v>
      </c>
      <c r="I511" s="257"/>
      <c r="J511" s="98" t="s">
        <v>213</v>
      </c>
      <c r="K511" s="96" t="s">
        <v>54</v>
      </c>
      <c r="L511" s="280"/>
    </row>
    <row r="512" ht="15.75" customHeight="1">
      <c r="A512" s="251">
        <v>46213.0</v>
      </c>
      <c r="B512" s="252">
        <v>2.6965506E7</v>
      </c>
      <c r="C512" s="252" t="s">
        <v>2530</v>
      </c>
      <c r="D512" s="253" t="s">
        <v>2531</v>
      </c>
      <c r="E512" s="254" t="s">
        <v>2441</v>
      </c>
      <c r="F512" s="254" t="s">
        <v>338</v>
      </c>
      <c r="G512" s="255"/>
      <c r="H512" s="256">
        <v>0.0</v>
      </c>
      <c r="I512" s="257"/>
      <c r="J512" s="98" t="s">
        <v>213</v>
      </c>
      <c r="K512" s="96" t="s">
        <v>54</v>
      </c>
      <c r="L512" s="280"/>
    </row>
    <row r="513" ht="15.75" customHeight="1">
      <c r="A513" s="251">
        <v>46213.0</v>
      </c>
      <c r="B513" s="252">
        <v>2.6965464E7</v>
      </c>
      <c r="C513" s="252" t="s">
        <v>2532</v>
      </c>
      <c r="D513" s="253" t="s">
        <v>2533</v>
      </c>
      <c r="E513" s="254" t="s">
        <v>2441</v>
      </c>
      <c r="F513" s="254" t="s">
        <v>434</v>
      </c>
      <c r="G513" s="255"/>
      <c r="H513" s="256">
        <v>0.0</v>
      </c>
      <c r="I513" s="257"/>
      <c r="J513" s="98" t="s">
        <v>213</v>
      </c>
      <c r="K513" s="96" t="s">
        <v>54</v>
      </c>
      <c r="L513" s="280"/>
    </row>
    <row r="514" ht="15.75" customHeight="1">
      <c r="A514" s="251">
        <v>46213.0</v>
      </c>
      <c r="B514" s="252">
        <v>2.6965352E7</v>
      </c>
      <c r="C514" s="252" t="s">
        <v>2534</v>
      </c>
      <c r="D514" s="253" t="s">
        <v>2535</v>
      </c>
      <c r="E514" s="254" t="s">
        <v>2441</v>
      </c>
      <c r="F514" s="254" t="s">
        <v>338</v>
      </c>
      <c r="G514" s="255"/>
      <c r="H514" s="256">
        <v>0.0</v>
      </c>
      <c r="I514" s="257"/>
      <c r="J514" s="98" t="s">
        <v>213</v>
      </c>
      <c r="K514" s="96" t="s">
        <v>54</v>
      </c>
      <c r="L514" s="280"/>
    </row>
    <row r="515" ht="15.75" customHeight="1">
      <c r="A515" s="251">
        <v>46213.0</v>
      </c>
      <c r="B515" s="252">
        <v>2.6963796E7</v>
      </c>
      <c r="C515" s="252" t="s">
        <v>2536</v>
      </c>
      <c r="D515" s="253" t="s">
        <v>2537</v>
      </c>
      <c r="E515" s="254" t="s">
        <v>2441</v>
      </c>
      <c r="F515" s="254" t="s">
        <v>338</v>
      </c>
      <c r="G515" s="255"/>
      <c r="H515" s="256">
        <v>0.0</v>
      </c>
      <c r="I515" s="257"/>
      <c r="J515" s="98" t="s">
        <v>213</v>
      </c>
      <c r="K515" s="96" t="s">
        <v>54</v>
      </c>
      <c r="L515" s="280"/>
    </row>
    <row r="516" ht="15.75" customHeight="1">
      <c r="A516" s="251">
        <v>46213.0</v>
      </c>
      <c r="B516" s="252">
        <v>2.6963618E7</v>
      </c>
      <c r="C516" s="252" t="s">
        <v>2538</v>
      </c>
      <c r="D516" s="253" t="s">
        <v>2539</v>
      </c>
      <c r="E516" s="254" t="s">
        <v>2441</v>
      </c>
      <c r="F516" s="254" t="s">
        <v>338</v>
      </c>
      <c r="G516" s="255"/>
      <c r="H516" s="256">
        <v>0.0</v>
      </c>
      <c r="I516" s="257"/>
      <c r="J516" s="98" t="s">
        <v>213</v>
      </c>
      <c r="K516" s="96" t="s">
        <v>54</v>
      </c>
      <c r="L516" s="280"/>
    </row>
    <row r="517" ht="15.75" customHeight="1">
      <c r="A517" s="251">
        <v>46213.0</v>
      </c>
      <c r="B517" s="252">
        <v>2.6957476E7</v>
      </c>
      <c r="C517" s="252" t="s">
        <v>2540</v>
      </c>
      <c r="D517" s="253" t="s">
        <v>2541</v>
      </c>
      <c r="E517" s="254" t="s">
        <v>2441</v>
      </c>
      <c r="F517" s="254" t="s">
        <v>434</v>
      </c>
      <c r="G517" s="255"/>
      <c r="H517" s="256">
        <v>0.0</v>
      </c>
      <c r="I517" s="257"/>
      <c r="J517" s="98" t="s">
        <v>213</v>
      </c>
      <c r="K517" s="96" t="s">
        <v>54</v>
      </c>
      <c r="L517" s="280"/>
    </row>
    <row r="518" ht="15.75" customHeight="1">
      <c r="A518" s="251">
        <v>46213.0</v>
      </c>
      <c r="B518" s="252">
        <v>2.6956546E7</v>
      </c>
      <c r="C518" s="252" t="s">
        <v>2542</v>
      </c>
      <c r="D518" s="253" t="s">
        <v>2543</v>
      </c>
      <c r="E518" s="254" t="s">
        <v>337</v>
      </c>
      <c r="F518" s="254" t="s">
        <v>338</v>
      </c>
      <c r="G518" s="255"/>
      <c r="H518" s="256">
        <v>0.0</v>
      </c>
      <c r="I518" s="257"/>
      <c r="J518" s="98" t="s">
        <v>213</v>
      </c>
      <c r="K518" s="96" t="s">
        <v>54</v>
      </c>
      <c r="L518" s="280"/>
    </row>
    <row r="519" ht="15.75" customHeight="1">
      <c r="A519" s="251">
        <v>46213.0</v>
      </c>
      <c r="B519" s="252">
        <v>2.6956522E7</v>
      </c>
      <c r="C519" s="252" t="s">
        <v>2544</v>
      </c>
      <c r="D519" s="253" t="s">
        <v>2545</v>
      </c>
      <c r="E519" s="254" t="s">
        <v>2441</v>
      </c>
      <c r="F519" s="254" t="s">
        <v>338</v>
      </c>
      <c r="G519" s="255"/>
      <c r="H519" s="256">
        <v>0.0</v>
      </c>
      <c r="I519" s="257"/>
      <c r="J519" s="98" t="s">
        <v>213</v>
      </c>
      <c r="K519" s="96" t="s">
        <v>54</v>
      </c>
      <c r="L519" s="280"/>
    </row>
    <row r="520" ht="15.75" customHeight="1">
      <c r="A520" s="251">
        <v>46213.0</v>
      </c>
      <c r="B520" s="252">
        <v>2.6955456E7</v>
      </c>
      <c r="C520" s="252" t="s">
        <v>2546</v>
      </c>
      <c r="D520" s="253" t="s">
        <v>2547</v>
      </c>
      <c r="E520" s="254" t="s">
        <v>2441</v>
      </c>
      <c r="F520" s="254" t="s">
        <v>338</v>
      </c>
      <c r="G520" s="255"/>
      <c r="H520" s="256">
        <v>0.0</v>
      </c>
      <c r="I520" s="257"/>
      <c r="J520" s="98" t="s">
        <v>213</v>
      </c>
      <c r="K520" s="96" t="s">
        <v>54</v>
      </c>
      <c r="L520" s="280"/>
    </row>
    <row r="521" ht="15.75" customHeight="1">
      <c r="A521" s="251">
        <v>46213.0</v>
      </c>
      <c r="B521" s="252">
        <v>2.6955402E7</v>
      </c>
      <c r="C521" s="252" t="s">
        <v>2548</v>
      </c>
      <c r="D521" s="253" t="s">
        <v>2549</v>
      </c>
      <c r="E521" s="254" t="s">
        <v>2441</v>
      </c>
      <c r="F521" s="254" t="s">
        <v>338</v>
      </c>
      <c r="G521" s="255"/>
      <c r="H521" s="256">
        <v>0.0</v>
      </c>
      <c r="I521" s="257"/>
      <c r="J521" s="98" t="s">
        <v>213</v>
      </c>
      <c r="K521" s="96" t="s">
        <v>54</v>
      </c>
      <c r="L521" s="280"/>
    </row>
    <row r="522" ht="15.75" customHeight="1">
      <c r="A522" s="251">
        <v>46213.0</v>
      </c>
      <c r="B522" s="252">
        <v>2.6955386E7</v>
      </c>
      <c r="C522" s="252" t="s">
        <v>2550</v>
      </c>
      <c r="D522" s="253" t="s">
        <v>2551</v>
      </c>
      <c r="E522" s="254" t="s">
        <v>337</v>
      </c>
      <c r="F522" s="254" t="s">
        <v>434</v>
      </c>
      <c r="G522" s="255"/>
      <c r="H522" s="256">
        <v>0.0</v>
      </c>
      <c r="I522" s="257"/>
      <c r="J522" s="98" t="s">
        <v>213</v>
      </c>
      <c r="K522" s="96" t="s">
        <v>54</v>
      </c>
      <c r="L522" s="280"/>
    </row>
    <row r="523" ht="15.75" customHeight="1">
      <c r="A523" s="251">
        <v>46212.0</v>
      </c>
      <c r="B523" s="252">
        <v>2.6954384E7</v>
      </c>
      <c r="C523" s="252" t="s">
        <v>2552</v>
      </c>
      <c r="D523" s="253" t="s">
        <v>2553</v>
      </c>
      <c r="E523" s="254" t="s">
        <v>337</v>
      </c>
      <c r="F523" s="254" t="s">
        <v>590</v>
      </c>
      <c r="G523" s="255"/>
      <c r="H523" s="256">
        <v>0.0</v>
      </c>
      <c r="I523" s="257"/>
      <c r="J523" s="98" t="s">
        <v>213</v>
      </c>
      <c r="K523" s="96" t="s">
        <v>54</v>
      </c>
      <c r="L523" s="280"/>
    </row>
    <row r="524" ht="15.75" customHeight="1">
      <c r="A524" s="251">
        <v>46212.0</v>
      </c>
      <c r="B524" s="252">
        <v>2.6954346E7</v>
      </c>
      <c r="C524" s="252" t="s">
        <v>2554</v>
      </c>
      <c r="D524" s="253" t="s">
        <v>2555</v>
      </c>
      <c r="E524" s="254" t="s">
        <v>2441</v>
      </c>
      <c r="F524" s="254" t="s">
        <v>338</v>
      </c>
      <c r="G524" s="255"/>
      <c r="H524" s="256">
        <v>0.0</v>
      </c>
      <c r="I524" s="257"/>
      <c r="J524" s="98" t="s">
        <v>213</v>
      </c>
      <c r="K524" s="96" t="s">
        <v>54</v>
      </c>
      <c r="L524" s="280"/>
    </row>
    <row r="525" ht="15.75" customHeight="1">
      <c r="A525" s="251">
        <v>46212.0</v>
      </c>
      <c r="B525" s="252">
        <v>2.6952906E7</v>
      </c>
      <c r="C525" s="252" t="s">
        <v>2556</v>
      </c>
      <c r="D525" s="253" t="s">
        <v>2557</v>
      </c>
      <c r="E525" s="254" t="s">
        <v>2441</v>
      </c>
      <c r="F525" s="254" t="s">
        <v>434</v>
      </c>
      <c r="G525" s="255"/>
      <c r="H525" s="256">
        <v>0.0</v>
      </c>
      <c r="I525" s="257"/>
      <c r="J525" s="98" t="s">
        <v>213</v>
      </c>
      <c r="K525" s="96" t="s">
        <v>54</v>
      </c>
      <c r="L525" s="280"/>
    </row>
    <row r="526" ht="15.75" customHeight="1">
      <c r="A526" s="251">
        <v>46212.0</v>
      </c>
      <c r="B526" s="252">
        <v>2.6950746E7</v>
      </c>
      <c r="C526" s="252" t="s">
        <v>2558</v>
      </c>
      <c r="D526" s="253" t="s">
        <v>2559</v>
      </c>
      <c r="E526" s="254" t="s">
        <v>2441</v>
      </c>
      <c r="F526" s="254" t="s">
        <v>410</v>
      </c>
      <c r="G526" s="255"/>
      <c r="H526" s="256">
        <v>0.0</v>
      </c>
      <c r="I526" s="257"/>
      <c r="J526" s="98" t="s">
        <v>213</v>
      </c>
      <c r="K526" s="96" t="s">
        <v>54</v>
      </c>
      <c r="L526" s="280"/>
    </row>
    <row r="527" ht="15.75" customHeight="1">
      <c r="A527" s="251">
        <v>46212.0</v>
      </c>
      <c r="B527" s="252">
        <v>2.6949414E7</v>
      </c>
      <c r="C527" s="252" t="s">
        <v>2560</v>
      </c>
      <c r="D527" s="253" t="s">
        <v>2561</v>
      </c>
      <c r="E527" s="254" t="s">
        <v>2441</v>
      </c>
      <c r="F527" s="254" t="s">
        <v>338</v>
      </c>
      <c r="G527" s="255"/>
      <c r="H527" s="256">
        <v>0.0</v>
      </c>
      <c r="I527" s="257"/>
      <c r="J527" s="98" t="s">
        <v>213</v>
      </c>
      <c r="K527" s="96" t="s">
        <v>54</v>
      </c>
      <c r="L527" s="280"/>
    </row>
    <row r="528" ht="15.75" customHeight="1">
      <c r="A528" s="251">
        <v>46212.0</v>
      </c>
      <c r="B528" s="252">
        <v>2.6947264E7</v>
      </c>
      <c r="C528" s="252" t="s">
        <v>2562</v>
      </c>
      <c r="D528" s="253" t="s">
        <v>2563</v>
      </c>
      <c r="E528" s="254" t="s">
        <v>2441</v>
      </c>
      <c r="F528" s="254" t="s">
        <v>338</v>
      </c>
      <c r="G528" s="255"/>
      <c r="H528" s="256">
        <v>0.0</v>
      </c>
      <c r="I528" s="257"/>
      <c r="J528" s="98" t="s">
        <v>213</v>
      </c>
      <c r="K528" s="96" t="s">
        <v>54</v>
      </c>
      <c r="L528" s="280"/>
    </row>
    <row r="529" ht="15.75" customHeight="1">
      <c r="A529" s="251">
        <v>46212.0</v>
      </c>
      <c r="B529" s="252">
        <v>2.6945752E7</v>
      </c>
      <c r="C529" s="252" t="s">
        <v>2564</v>
      </c>
      <c r="D529" s="253" t="s">
        <v>2565</v>
      </c>
      <c r="E529" s="254" t="s">
        <v>2441</v>
      </c>
      <c r="F529" s="254" t="s">
        <v>338</v>
      </c>
      <c r="G529" s="255"/>
      <c r="H529" s="256">
        <v>0.0</v>
      </c>
      <c r="I529" s="257"/>
      <c r="J529" s="98" t="s">
        <v>213</v>
      </c>
      <c r="K529" s="96" t="s">
        <v>54</v>
      </c>
      <c r="L529" s="280"/>
    </row>
    <row r="530" ht="15.75" customHeight="1">
      <c r="A530" s="251">
        <v>46211.0</v>
      </c>
      <c r="B530" s="252">
        <v>2.6945734E7</v>
      </c>
      <c r="C530" s="252" t="s">
        <v>2566</v>
      </c>
      <c r="D530" s="253" t="s">
        <v>2567</v>
      </c>
      <c r="E530" s="254" t="s">
        <v>2441</v>
      </c>
      <c r="F530" s="254" t="s">
        <v>338</v>
      </c>
      <c r="G530" s="255"/>
      <c r="H530" s="256">
        <v>0.0</v>
      </c>
      <c r="I530" s="257"/>
      <c r="J530" s="98" t="s">
        <v>213</v>
      </c>
      <c r="K530" s="96" t="s">
        <v>54</v>
      </c>
      <c r="L530" s="280"/>
    </row>
    <row r="531" ht="15.75" customHeight="1">
      <c r="A531" s="251">
        <v>46211.0</v>
      </c>
      <c r="B531" s="252">
        <v>2.6945338E7</v>
      </c>
      <c r="C531" s="252" t="s">
        <v>2568</v>
      </c>
      <c r="D531" s="253" t="s">
        <v>2569</v>
      </c>
      <c r="E531" s="254" t="s">
        <v>2441</v>
      </c>
      <c r="F531" s="254" t="s">
        <v>338</v>
      </c>
      <c r="G531" s="255"/>
      <c r="H531" s="256">
        <v>0.0</v>
      </c>
      <c r="I531" s="257"/>
      <c r="J531" s="98" t="s">
        <v>213</v>
      </c>
      <c r="K531" s="96" t="s">
        <v>54</v>
      </c>
      <c r="L531" s="280"/>
    </row>
    <row r="532" ht="15.75" customHeight="1">
      <c r="A532" s="251">
        <v>46211.0</v>
      </c>
      <c r="B532" s="252">
        <v>2.6945196E7</v>
      </c>
      <c r="C532" s="252" t="s">
        <v>2570</v>
      </c>
      <c r="D532" s="253" t="s">
        <v>2571</v>
      </c>
      <c r="E532" s="254" t="s">
        <v>2572</v>
      </c>
      <c r="F532" s="254" t="s">
        <v>334</v>
      </c>
      <c r="G532" s="255"/>
      <c r="H532" s="256">
        <v>0.0</v>
      </c>
      <c r="I532" s="257"/>
      <c r="J532" s="98" t="s">
        <v>213</v>
      </c>
      <c r="K532" s="96" t="s">
        <v>54</v>
      </c>
      <c r="L532" s="280"/>
    </row>
    <row r="533" ht="15.75" customHeight="1">
      <c r="A533" s="251">
        <v>46211.0</v>
      </c>
      <c r="B533" s="252">
        <v>2.6944326E7</v>
      </c>
      <c r="C533" s="252" t="s">
        <v>2573</v>
      </c>
      <c r="D533" s="253" t="s">
        <v>2574</v>
      </c>
      <c r="E533" s="254" t="s">
        <v>2441</v>
      </c>
      <c r="F533" s="254" t="s">
        <v>338</v>
      </c>
      <c r="G533" s="255"/>
      <c r="H533" s="256">
        <v>0.0</v>
      </c>
      <c r="I533" s="257"/>
      <c r="J533" s="98" t="s">
        <v>213</v>
      </c>
      <c r="K533" s="96" t="s">
        <v>54</v>
      </c>
      <c r="L533" s="280"/>
    </row>
    <row r="534" ht="15.75" customHeight="1">
      <c r="A534" s="251">
        <v>46211.0</v>
      </c>
      <c r="B534" s="252">
        <v>2.6938318E7</v>
      </c>
      <c r="C534" s="252" t="s">
        <v>2540</v>
      </c>
      <c r="D534" s="253" t="s">
        <v>2541</v>
      </c>
      <c r="E534" s="254" t="s">
        <v>2572</v>
      </c>
      <c r="F534" s="254" t="s">
        <v>334</v>
      </c>
      <c r="G534" s="255"/>
      <c r="H534" s="256">
        <v>0.0</v>
      </c>
      <c r="I534" s="257"/>
      <c r="J534" s="98" t="s">
        <v>213</v>
      </c>
      <c r="K534" s="96" t="s">
        <v>54</v>
      </c>
      <c r="L534" s="280"/>
    </row>
    <row r="535" ht="15.75" customHeight="1">
      <c r="A535" s="251">
        <v>46210.0</v>
      </c>
      <c r="B535" s="252">
        <v>2.693675E7</v>
      </c>
      <c r="C535" s="252" t="s">
        <v>2575</v>
      </c>
      <c r="D535" s="253" t="s">
        <v>2576</v>
      </c>
      <c r="E535" s="254" t="s">
        <v>2441</v>
      </c>
      <c r="F535" s="254" t="s">
        <v>338</v>
      </c>
      <c r="G535" s="255"/>
      <c r="H535" s="256">
        <v>0.0</v>
      </c>
      <c r="I535" s="257"/>
      <c r="J535" s="98" t="s">
        <v>213</v>
      </c>
      <c r="K535" s="96" t="s">
        <v>54</v>
      </c>
      <c r="L535" s="280"/>
    </row>
    <row r="536" ht="15.75" customHeight="1">
      <c r="A536" s="251">
        <v>46210.0</v>
      </c>
      <c r="B536" s="252">
        <v>2.6935942E7</v>
      </c>
      <c r="C536" s="252" t="s">
        <v>2577</v>
      </c>
      <c r="D536" s="253" t="s">
        <v>2578</v>
      </c>
      <c r="E536" s="254" t="s">
        <v>2441</v>
      </c>
      <c r="F536" s="254" t="s">
        <v>338</v>
      </c>
      <c r="G536" s="255"/>
      <c r="H536" s="256">
        <v>0.0</v>
      </c>
      <c r="I536" s="257"/>
      <c r="J536" s="98" t="s">
        <v>213</v>
      </c>
      <c r="K536" s="96" t="s">
        <v>54</v>
      </c>
      <c r="L536" s="280"/>
    </row>
    <row r="537" ht="15.75" customHeight="1">
      <c r="A537" s="251">
        <v>46210.0</v>
      </c>
      <c r="B537" s="252">
        <v>2.6935898E7</v>
      </c>
      <c r="C537" s="252" t="s">
        <v>2579</v>
      </c>
      <c r="D537" s="253" t="s">
        <v>2580</v>
      </c>
      <c r="E537" s="254" t="s">
        <v>2441</v>
      </c>
      <c r="F537" s="254" t="s">
        <v>338</v>
      </c>
      <c r="G537" s="255"/>
      <c r="H537" s="256">
        <v>0.0</v>
      </c>
      <c r="I537" s="257"/>
      <c r="J537" s="98" t="s">
        <v>213</v>
      </c>
      <c r="K537" s="96" t="s">
        <v>54</v>
      </c>
      <c r="L537" s="280"/>
    </row>
    <row r="538" ht="15.75" customHeight="1">
      <c r="A538" s="251">
        <v>46210.0</v>
      </c>
      <c r="B538" s="252">
        <v>2.6934548E7</v>
      </c>
      <c r="C538" s="252" t="s">
        <v>2581</v>
      </c>
      <c r="D538" s="253" t="s">
        <v>2582</v>
      </c>
      <c r="E538" s="254" t="s">
        <v>2441</v>
      </c>
      <c r="F538" s="254" t="s">
        <v>338</v>
      </c>
      <c r="G538" s="255"/>
      <c r="H538" s="256">
        <v>0.0</v>
      </c>
      <c r="I538" s="257"/>
      <c r="J538" s="98" t="s">
        <v>213</v>
      </c>
      <c r="K538" s="96" t="s">
        <v>54</v>
      </c>
      <c r="L538" s="280"/>
    </row>
    <row r="539" ht="15.75" customHeight="1">
      <c r="A539" s="251">
        <v>46210.0</v>
      </c>
      <c r="B539" s="252">
        <v>2.6933032E7</v>
      </c>
      <c r="C539" s="252" t="s">
        <v>2583</v>
      </c>
      <c r="D539" s="253" t="s">
        <v>2584</v>
      </c>
      <c r="E539" s="254" t="s">
        <v>2441</v>
      </c>
      <c r="F539" s="254" t="s">
        <v>338</v>
      </c>
      <c r="G539" s="255"/>
      <c r="H539" s="256">
        <v>0.0</v>
      </c>
      <c r="I539" s="257"/>
      <c r="J539" s="98" t="s">
        <v>213</v>
      </c>
      <c r="K539" s="96" t="s">
        <v>54</v>
      </c>
      <c r="L539" s="280"/>
    </row>
    <row r="540" ht="15.75" customHeight="1">
      <c r="A540" s="251">
        <v>46210.0</v>
      </c>
      <c r="B540" s="252">
        <v>2.6930508E7</v>
      </c>
      <c r="C540" s="252" t="s">
        <v>2585</v>
      </c>
      <c r="D540" s="253" t="s">
        <v>2586</v>
      </c>
      <c r="E540" s="254" t="s">
        <v>2441</v>
      </c>
      <c r="F540" s="254" t="s">
        <v>338</v>
      </c>
      <c r="G540" s="255"/>
      <c r="H540" s="256">
        <v>0.0</v>
      </c>
      <c r="I540" s="257"/>
      <c r="J540" s="98" t="s">
        <v>213</v>
      </c>
      <c r="K540" s="96" t="s">
        <v>54</v>
      </c>
      <c r="L540" s="280"/>
    </row>
    <row r="541" ht="15.75" customHeight="1">
      <c r="A541" s="251">
        <v>46210.0</v>
      </c>
      <c r="B541" s="252">
        <v>2.692845E7</v>
      </c>
      <c r="C541" s="252" t="s">
        <v>2587</v>
      </c>
      <c r="D541" s="253" t="s">
        <v>2588</v>
      </c>
      <c r="E541" s="254" t="s">
        <v>2572</v>
      </c>
      <c r="F541" s="254" t="s">
        <v>334</v>
      </c>
      <c r="G541" s="255"/>
      <c r="H541" s="256">
        <v>0.0</v>
      </c>
      <c r="I541" s="257"/>
      <c r="J541" s="98" t="s">
        <v>213</v>
      </c>
      <c r="K541" s="96" t="s">
        <v>54</v>
      </c>
      <c r="L541" s="280"/>
    </row>
    <row r="542" ht="15.75" customHeight="1">
      <c r="A542" s="251">
        <v>46210.0</v>
      </c>
      <c r="B542" s="252">
        <v>2.6926032E7</v>
      </c>
      <c r="C542" s="252" t="s">
        <v>2332</v>
      </c>
      <c r="D542" s="253" t="s">
        <v>2333</v>
      </c>
      <c r="E542" s="254" t="s">
        <v>2441</v>
      </c>
      <c r="F542" s="254" t="s">
        <v>338</v>
      </c>
      <c r="G542" s="255"/>
      <c r="H542" s="256">
        <v>0.0</v>
      </c>
      <c r="I542" s="257"/>
      <c r="J542" s="98" t="s">
        <v>213</v>
      </c>
      <c r="K542" s="96" t="s">
        <v>54</v>
      </c>
      <c r="L542" s="280"/>
    </row>
    <row r="543" ht="15.75" customHeight="1">
      <c r="A543" s="251">
        <v>46210.0</v>
      </c>
      <c r="B543" s="252">
        <v>2.6925024E7</v>
      </c>
      <c r="C543" s="252" t="s">
        <v>2589</v>
      </c>
      <c r="D543" s="253" t="s">
        <v>2590</v>
      </c>
      <c r="E543" s="254" t="s">
        <v>2572</v>
      </c>
      <c r="F543" s="254" t="s">
        <v>334</v>
      </c>
      <c r="G543" s="255"/>
      <c r="H543" s="256">
        <v>0.0</v>
      </c>
      <c r="I543" s="257"/>
      <c r="J543" s="98" t="s">
        <v>213</v>
      </c>
      <c r="K543" s="96" t="s">
        <v>54</v>
      </c>
      <c r="L543" s="280"/>
    </row>
    <row r="544" ht="15.75" customHeight="1">
      <c r="A544" s="251">
        <v>46210.0</v>
      </c>
      <c r="B544" s="252">
        <v>2.692484E7</v>
      </c>
      <c r="C544" s="252" t="s">
        <v>2591</v>
      </c>
      <c r="D544" s="253" t="s">
        <v>2592</v>
      </c>
      <c r="E544" s="254" t="s">
        <v>2441</v>
      </c>
      <c r="F544" s="254" t="s">
        <v>338</v>
      </c>
      <c r="G544" s="255"/>
      <c r="H544" s="256">
        <v>0.0</v>
      </c>
      <c r="I544" s="257"/>
      <c r="J544" s="98" t="s">
        <v>213</v>
      </c>
      <c r="K544" s="96" t="s">
        <v>54</v>
      </c>
      <c r="L544" s="280"/>
    </row>
    <row r="545" ht="15.75" customHeight="1">
      <c r="A545" s="251">
        <v>46209.0</v>
      </c>
      <c r="B545" s="252">
        <v>2.6924076E7</v>
      </c>
      <c r="C545" s="252" t="s">
        <v>2593</v>
      </c>
      <c r="D545" s="253" t="s">
        <v>2594</v>
      </c>
      <c r="E545" s="254" t="s">
        <v>2572</v>
      </c>
      <c r="F545" s="254" t="s">
        <v>334</v>
      </c>
      <c r="G545" s="255"/>
      <c r="H545" s="256">
        <v>0.0</v>
      </c>
      <c r="I545" s="257"/>
      <c r="J545" s="98" t="s">
        <v>213</v>
      </c>
      <c r="K545" s="96" t="s">
        <v>54</v>
      </c>
      <c r="L545" s="280"/>
    </row>
    <row r="546" ht="15.75" customHeight="1">
      <c r="A546" s="251">
        <v>46209.0</v>
      </c>
      <c r="B546" s="252">
        <v>2.691989E7</v>
      </c>
      <c r="C546" s="252" t="s">
        <v>2595</v>
      </c>
      <c r="D546" s="253" t="s">
        <v>2596</v>
      </c>
      <c r="E546" s="254" t="s">
        <v>2441</v>
      </c>
      <c r="F546" s="254" t="s">
        <v>434</v>
      </c>
      <c r="G546" s="255"/>
      <c r="H546" s="256">
        <v>0.0</v>
      </c>
      <c r="I546" s="257"/>
      <c r="J546" s="98" t="s">
        <v>213</v>
      </c>
      <c r="K546" s="96" t="s">
        <v>54</v>
      </c>
      <c r="L546" s="280"/>
    </row>
    <row r="547" ht="15.75" customHeight="1">
      <c r="A547" s="251">
        <v>46209.0</v>
      </c>
      <c r="B547" s="252">
        <v>2.6919398E7</v>
      </c>
      <c r="C547" s="252" t="s">
        <v>2597</v>
      </c>
      <c r="D547" s="253" t="s">
        <v>2598</v>
      </c>
      <c r="E547" s="254" t="s">
        <v>2572</v>
      </c>
      <c r="F547" s="254" t="s">
        <v>334</v>
      </c>
      <c r="G547" s="255"/>
      <c r="H547" s="256">
        <v>0.0</v>
      </c>
      <c r="I547" s="257"/>
      <c r="J547" s="98" t="s">
        <v>213</v>
      </c>
      <c r="K547" s="96" t="s">
        <v>54</v>
      </c>
      <c r="L547" s="280"/>
    </row>
    <row r="548" ht="15.75" customHeight="1">
      <c r="A548" s="251">
        <v>46209.0</v>
      </c>
      <c r="B548" s="252">
        <v>2.6919114E7</v>
      </c>
      <c r="C548" s="252" t="s">
        <v>2599</v>
      </c>
      <c r="D548" s="253" t="s">
        <v>2600</v>
      </c>
      <c r="E548" s="254" t="s">
        <v>2441</v>
      </c>
      <c r="F548" s="254" t="s">
        <v>434</v>
      </c>
      <c r="G548" s="255"/>
      <c r="H548" s="256">
        <v>0.0</v>
      </c>
      <c r="I548" s="257"/>
      <c r="J548" s="98" t="s">
        <v>213</v>
      </c>
      <c r="K548" s="96" t="s">
        <v>54</v>
      </c>
      <c r="L548" s="280"/>
    </row>
    <row r="549" ht="15.75" customHeight="1">
      <c r="A549" s="251">
        <v>46209.0</v>
      </c>
      <c r="B549" s="252">
        <v>2.6919112E7</v>
      </c>
      <c r="C549" s="252" t="s">
        <v>2601</v>
      </c>
      <c r="D549" s="253" t="s">
        <v>2602</v>
      </c>
      <c r="E549" s="254" t="s">
        <v>2572</v>
      </c>
      <c r="F549" s="254" t="s">
        <v>334</v>
      </c>
      <c r="G549" s="255"/>
      <c r="H549" s="256">
        <v>0.0</v>
      </c>
      <c r="I549" s="257"/>
      <c r="J549" s="98" t="s">
        <v>213</v>
      </c>
      <c r="K549" s="96" t="s">
        <v>54</v>
      </c>
      <c r="L549" s="280"/>
    </row>
    <row r="550" ht="15.75" customHeight="1">
      <c r="A550" s="251">
        <v>46209.0</v>
      </c>
      <c r="B550" s="252">
        <v>2.6917072E7</v>
      </c>
      <c r="C550" s="252" t="s">
        <v>2603</v>
      </c>
      <c r="D550" s="253" t="s">
        <v>2604</v>
      </c>
      <c r="E550" s="254" t="s">
        <v>2441</v>
      </c>
      <c r="F550" s="254" t="s">
        <v>434</v>
      </c>
      <c r="G550" s="255"/>
      <c r="H550" s="256">
        <v>0.0</v>
      </c>
      <c r="I550" s="257"/>
      <c r="J550" s="98" t="s">
        <v>213</v>
      </c>
      <c r="K550" s="96" t="s">
        <v>54</v>
      </c>
      <c r="L550" s="280"/>
    </row>
    <row r="551" ht="15.75" customHeight="1">
      <c r="A551" s="251">
        <v>46209.0</v>
      </c>
      <c r="B551" s="252">
        <v>2.6915586E7</v>
      </c>
      <c r="C551" s="252" t="s">
        <v>2605</v>
      </c>
      <c r="D551" s="253" t="s">
        <v>2606</v>
      </c>
      <c r="E551" s="254" t="s">
        <v>2441</v>
      </c>
      <c r="F551" s="254" t="s">
        <v>338</v>
      </c>
      <c r="G551" s="255"/>
      <c r="H551" s="256">
        <v>0.0</v>
      </c>
      <c r="I551" s="257"/>
      <c r="J551" s="98" t="s">
        <v>213</v>
      </c>
      <c r="K551" s="96" t="s">
        <v>54</v>
      </c>
      <c r="L551" s="280"/>
    </row>
    <row r="552" ht="15.75" customHeight="1">
      <c r="A552" s="251">
        <v>46209.0</v>
      </c>
      <c r="B552" s="252">
        <v>2.6911958E7</v>
      </c>
      <c r="C552" s="252" t="s">
        <v>1008</v>
      </c>
      <c r="D552" s="253" t="s">
        <v>1009</v>
      </c>
      <c r="E552" s="254" t="s">
        <v>2441</v>
      </c>
      <c r="F552" s="254" t="s">
        <v>338</v>
      </c>
      <c r="G552" s="255"/>
      <c r="H552" s="256">
        <v>0.0</v>
      </c>
      <c r="I552" s="257"/>
      <c r="J552" s="98" t="s">
        <v>213</v>
      </c>
      <c r="K552" s="96" t="s">
        <v>54</v>
      </c>
      <c r="L552" s="280"/>
    </row>
    <row r="553" ht="15.75" customHeight="1">
      <c r="A553" s="251">
        <v>46209.0</v>
      </c>
      <c r="B553" s="252">
        <v>2.6911414E7</v>
      </c>
      <c r="C553" s="252" t="s">
        <v>2607</v>
      </c>
      <c r="D553" s="253" t="s">
        <v>2608</v>
      </c>
      <c r="E553" s="254" t="s">
        <v>2441</v>
      </c>
      <c r="F553" s="254" t="s">
        <v>434</v>
      </c>
      <c r="G553" s="255"/>
      <c r="H553" s="256">
        <v>0.0</v>
      </c>
      <c r="I553" s="257"/>
      <c r="J553" s="98" t="s">
        <v>213</v>
      </c>
      <c r="K553" s="96" t="s">
        <v>54</v>
      </c>
      <c r="L553" s="280"/>
    </row>
    <row r="554" ht="15.75" customHeight="1">
      <c r="A554" s="251">
        <v>46208.0</v>
      </c>
      <c r="B554" s="252">
        <v>2.691113E7</v>
      </c>
      <c r="C554" s="252" t="s">
        <v>2609</v>
      </c>
      <c r="D554" s="253" t="s">
        <v>2610</v>
      </c>
      <c r="E554" s="254" t="s">
        <v>2572</v>
      </c>
      <c r="F554" s="254" t="s">
        <v>334</v>
      </c>
      <c r="G554" s="255"/>
      <c r="H554" s="256">
        <v>0.0</v>
      </c>
      <c r="I554" s="257"/>
      <c r="J554" s="98" t="s">
        <v>213</v>
      </c>
      <c r="K554" s="96" t="s">
        <v>54</v>
      </c>
      <c r="L554" s="280"/>
    </row>
    <row r="555" ht="15.75" customHeight="1">
      <c r="A555" s="251">
        <v>46208.0</v>
      </c>
      <c r="B555" s="252">
        <v>2.690975E7</v>
      </c>
      <c r="C555" s="252" t="s">
        <v>2611</v>
      </c>
      <c r="D555" s="253" t="s">
        <v>2612</v>
      </c>
      <c r="E555" s="254" t="s">
        <v>2572</v>
      </c>
      <c r="F555" s="254" t="s">
        <v>334</v>
      </c>
      <c r="G555" s="255"/>
      <c r="H555" s="256">
        <v>0.0</v>
      </c>
      <c r="I555" s="257"/>
      <c r="J555" s="98" t="s">
        <v>213</v>
      </c>
      <c r="K555" s="96" t="s">
        <v>54</v>
      </c>
      <c r="L555" s="280"/>
    </row>
    <row r="556" ht="15.75" customHeight="1">
      <c r="A556" s="251">
        <v>46208.0</v>
      </c>
      <c r="B556" s="252">
        <v>2.6909488E7</v>
      </c>
      <c r="C556" s="252" t="s">
        <v>2613</v>
      </c>
      <c r="D556" s="253" t="s">
        <v>2614</v>
      </c>
      <c r="E556" s="254" t="s">
        <v>337</v>
      </c>
      <c r="F556" s="254" t="s">
        <v>590</v>
      </c>
      <c r="G556" s="255"/>
      <c r="H556" s="256">
        <v>0.0</v>
      </c>
      <c r="I556" s="257"/>
      <c r="J556" s="98" t="s">
        <v>213</v>
      </c>
      <c r="K556" s="96" t="s">
        <v>54</v>
      </c>
      <c r="L556" s="280"/>
    </row>
    <row r="557" ht="15.75" customHeight="1">
      <c r="A557" s="251">
        <v>46208.0</v>
      </c>
      <c r="B557" s="252">
        <v>2.6906476E7</v>
      </c>
      <c r="C557" s="252" t="s">
        <v>2615</v>
      </c>
      <c r="D557" s="253" t="s">
        <v>2616</v>
      </c>
      <c r="E557" s="254" t="s">
        <v>2441</v>
      </c>
      <c r="F557" s="254" t="s">
        <v>338</v>
      </c>
      <c r="G557" s="255"/>
      <c r="H557" s="256">
        <v>0.0</v>
      </c>
      <c r="I557" s="257"/>
      <c r="J557" s="98" t="s">
        <v>213</v>
      </c>
      <c r="K557" s="96" t="s">
        <v>54</v>
      </c>
      <c r="L557" s="280"/>
    </row>
    <row r="558" ht="15.75" customHeight="1">
      <c r="A558" s="251">
        <v>46208.0</v>
      </c>
      <c r="B558" s="252">
        <v>2.6906216E7</v>
      </c>
      <c r="C558" s="252" t="s">
        <v>2617</v>
      </c>
      <c r="D558" s="253" t="s">
        <v>2618</v>
      </c>
      <c r="E558" s="254" t="s">
        <v>2572</v>
      </c>
      <c r="F558" s="254" t="s">
        <v>334</v>
      </c>
      <c r="G558" s="255"/>
      <c r="H558" s="256">
        <v>0.0</v>
      </c>
      <c r="I558" s="257"/>
      <c r="J558" s="98" t="s">
        <v>213</v>
      </c>
      <c r="K558" s="96" t="s">
        <v>54</v>
      </c>
      <c r="L558" s="280"/>
    </row>
    <row r="559" ht="15.75" customHeight="1">
      <c r="A559" s="251">
        <v>46208.0</v>
      </c>
      <c r="B559" s="252">
        <v>2.6905364E7</v>
      </c>
      <c r="C559" s="252" t="s">
        <v>2619</v>
      </c>
      <c r="D559" s="253" t="s">
        <v>2620</v>
      </c>
      <c r="E559" s="254" t="s">
        <v>2572</v>
      </c>
      <c r="F559" s="254" t="s">
        <v>334</v>
      </c>
      <c r="G559" s="255"/>
      <c r="H559" s="256">
        <v>0.0</v>
      </c>
      <c r="I559" s="257"/>
      <c r="J559" s="98" t="s">
        <v>213</v>
      </c>
      <c r="K559" s="96" t="s">
        <v>54</v>
      </c>
      <c r="L559" s="280"/>
    </row>
    <row r="560" ht="15.75" customHeight="1">
      <c r="A560" s="251">
        <v>46207.0</v>
      </c>
      <c r="B560" s="252">
        <v>2.6900568E7</v>
      </c>
      <c r="C560" s="252" t="s">
        <v>2621</v>
      </c>
      <c r="D560" s="253" t="s">
        <v>2622</v>
      </c>
      <c r="E560" s="254" t="s">
        <v>2441</v>
      </c>
      <c r="F560" s="254" t="s">
        <v>338</v>
      </c>
      <c r="G560" s="255"/>
      <c r="H560" s="256">
        <v>0.0</v>
      </c>
      <c r="I560" s="257"/>
      <c r="J560" s="98" t="s">
        <v>213</v>
      </c>
      <c r="K560" s="96" t="s">
        <v>54</v>
      </c>
      <c r="L560" s="280"/>
    </row>
    <row r="561" ht="15.75" customHeight="1">
      <c r="A561" s="251">
        <v>46207.0</v>
      </c>
      <c r="B561" s="252">
        <v>2.6899578E7</v>
      </c>
      <c r="C561" s="252" t="s">
        <v>2380</v>
      </c>
      <c r="D561" s="253" t="s">
        <v>2381</v>
      </c>
      <c r="E561" s="254" t="s">
        <v>2572</v>
      </c>
      <c r="F561" s="254" t="s">
        <v>410</v>
      </c>
      <c r="G561" s="255"/>
      <c r="H561" s="256">
        <v>0.0</v>
      </c>
      <c r="I561" s="257"/>
      <c r="J561" s="98" t="s">
        <v>213</v>
      </c>
      <c r="K561" s="96" t="s">
        <v>54</v>
      </c>
      <c r="L561" s="280"/>
    </row>
    <row r="562" ht="15.75" customHeight="1">
      <c r="A562" s="251">
        <v>46207.0</v>
      </c>
      <c r="B562" s="252">
        <v>2.6899318E7</v>
      </c>
      <c r="C562" s="252" t="s">
        <v>2623</v>
      </c>
      <c r="D562" s="253" t="s">
        <v>2624</v>
      </c>
      <c r="E562" s="254" t="s">
        <v>2441</v>
      </c>
      <c r="F562" s="254" t="s">
        <v>338</v>
      </c>
      <c r="G562" s="255"/>
      <c r="H562" s="256">
        <v>0.0</v>
      </c>
      <c r="I562" s="257"/>
      <c r="J562" s="98" t="s">
        <v>213</v>
      </c>
      <c r="K562" s="96" t="s">
        <v>54</v>
      </c>
      <c r="L562" s="280"/>
    </row>
    <row r="563" ht="15.75" customHeight="1">
      <c r="A563" s="251">
        <v>46207.0</v>
      </c>
      <c r="B563" s="252">
        <v>2.6898598E7</v>
      </c>
      <c r="C563" s="252" t="s">
        <v>2625</v>
      </c>
      <c r="D563" s="253" t="s">
        <v>2551</v>
      </c>
      <c r="E563" s="254" t="s">
        <v>2572</v>
      </c>
      <c r="F563" s="254" t="s">
        <v>334</v>
      </c>
      <c r="G563" s="255"/>
      <c r="H563" s="256">
        <v>0.0</v>
      </c>
      <c r="I563" s="257"/>
      <c r="J563" s="98" t="s">
        <v>213</v>
      </c>
      <c r="K563" s="96" t="s">
        <v>54</v>
      </c>
      <c r="L563" s="280"/>
    </row>
    <row r="564" ht="15.75" customHeight="1">
      <c r="A564" s="251">
        <v>46206.0</v>
      </c>
      <c r="B564" s="252">
        <v>2.689803E7</v>
      </c>
      <c r="C564" s="252" t="s">
        <v>2626</v>
      </c>
      <c r="D564" s="253" t="s">
        <v>2627</v>
      </c>
      <c r="E564" s="254" t="s">
        <v>2441</v>
      </c>
      <c r="F564" s="254" t="s">
        <v>338</v>
      </c>
      <c r="G564" s="255"/>
      <c r="H564" s="256">
        <v>0.0</v>
      </c>
      <c r="I564" s="257"/>
      <c r="J564" s="98" t="s">
        <v>213</v>
      </c>
      <c r="K564" s="96" t="s">
        <v>54</v>
      </c>
      <c r="L564" s="280"/>
    </row>
    <row r="565" ht="15.75" customHeight="1">
      <c r="A565" s="251">
        <v>46206.0</v>
      </c>
      <c r="B565" s="252">
        <v>2.689762E7</v>
      </c>
      <c r="C565" s="252" t="s">
        <v>2628</v>
      </c>
      <c r="D565" s="253" t="s">
        <v>2629</v>
      </c>
      <c r="E565" s="254" t="s">
        <v>2572</v>
      </c>
      <c r="F565" s="254" t="s">
        <v>334</v>
      </c>
      <c r="G565" s="255"/>
      <c r="H565" s="256">
        <v>0.0</v>
      </c>
      <c r="I565" s="257"/>
      <c r="J565" s="98" t="s">
        <v>213</v>
      </c>
      <c r="K565" s="96" t="s">
        <v>54</v>
      </c>
      <c r="L565" s="280"/>
    </row>
    <row r="566" ht="15.75" customHeight="1">
      <c r="A566" s="251">
        <v>46206.0</v>
      </c>
      <c r="B566" s="252">
        <v>2.689512E7</v>
      </c>
      <c r="C566" s="252" t="s">
        <v>2630</v>
      </c>
      <c r="D566" s="253" t="s">
        <v>2631</v>
      </c>
      <c r="E566" s="254" t="s">
        <v>2441</v>
      </c>
      <c r="F566" s="254" t="s">
        <v>338</v>
      </c>
      <c r="G566" s="255"/>
      <c r="H566" s="256">
        <v>0.0</v>
      </c>
      <c r="I566" s="257"/>
      <c r="J566" s="98" t="s">
        <v>213</v>
      </c>
      <c r="K566" s="96" t="s">
        <v>54</v>
      </c>
      <c r="L566" s="280"/>
    </row>
    <row r="567" ht="15.75" customHeight="1">
      <c r="A567" s="251">
        <v>46206.0</v>
      </c>
      <c r="B567" s="252">
        <v>2.6895108E7</v>
      </c>
      <c r="C567" s="252" t="s">
        <v>2632</v>
      </c>
      <c r="D567" s="253" t="s">
        <v>2633</v>
      </c>
      <c r="E567" s="254" t="s">
        <v>337</v>
      </c>
      <c r="F567" s="254" t="s">
        <v>590</v>
      </c>
      <c r="G567" s="255"/>
      <c r="H567" s="256">
        <v>0.0</v>
      </c>
      <c r="I567" s="257"/>
      <c r="J567" s="98" t="s">
        <v>213</v>
      </c>
      <c r="K567" s="96" t="s">
        <v>54</v>
      </c>
      <c r="L567" s="280"/>
    </row>
    <row r="568" ht="15.75" customHeight="1">
      <c r="A568" s="251">
        <v>46206.0</v>
      </c>
      <c r="B568" s="252">
        <v>2.689358E7</v>
      </c>
      <c r="C568" s="252" t="s">
        <v>2634</v>
      </c>
      <c r="D568" s="253" t="s">
        <v>2635</v>
      </c>
      <c r="E568" s="254" t="s">
        <v>337</v>
      </c>
      <c r="F568" s="254" t="s">
        <v>434</v>
      </c>
      <c r="G568" s="255"/>
      <c r="H568" s="256">
        <v>0.0</v>
      </c>
      <c r="I568" s="257"/>
      <c r="J568" s="98" t="s">
        <v>213</v>
      </c>
      <c r="K568" s="96" t="s">
        <v>54</v>
      </c>
      <c r="L568" s="280"/>
    </row>
    <row r="569" ht="15.75" customHeight="1">
      <c r="A569" s="251">
        <v>46206.0</v>
      </c>
      <c r="B569" s="252">
        <v>2.6892672E7</v>
      </c>
      <c r="C569" s="252" t="s">
        <v>2636</v>
      </c>
      <c r="D569" s="253" t="s">
        <v>2637</v>
      </c>
      <c r="E569" s="254" t="s">
        <v>2441</v>
      </c>
      <c r="F569" s="254" t="s">
        <v>338</v>
      </c>
      <c r="G569" s="255"/>
      <c r="H569" s="256">
        <v>0.0</v>
      </c>
      <c r="I569" s="257"/>
      <c r="J569" s="98" t="s">
        <v>213</v>
      </c>
      <c r="K569" s="96" t="s">
        <v>54</v>
      </c>
      <c r="L569" s="280"/>
    </row>
    <row r="570" ht="15.75" customHeight="1">
      <c r="A570" s="251">
        <v>46205.0</v>
      </c>
      <c r="B570" s="252">
        <v>2.6890534E7</v>
      </c>
      <c r="C570" s="252" t="s">
        <v>2638</v>
      </c>
      <c r="D570" s="253" t="s">
        <v>2639</v>
      </c>
      <c r="E570" s="254" t="s">
        <v>2441</v>
      </c>
      <c r="F570" s="254" t="s">
        <v>338</v>
      </c>
      <c r="G570" s="255"/>
      <c r="H570" s="256">
        <v>0.0</v>
      </c>
      <c r="I570" s="257"/>
      <c r="J570" s="98" t="s">
        <v>213</v>
      </c>
      <c r="K570" s="96" t="s">
        <v>54</v>
      </c>
      <c r="L570" s="280"/>
    </row>
    <row r="571" ht="15.75" customHeight="1">
      <c r="A571" s="251">
        <v>46205.0</v>
      </c>
      <c r="B571" s="252">
        <v>2.6881236E7</v>
      </c>
      <c r="C571" s="252" t="s">
        <v>2640</v>
      </c>
      <c r="D571" s="253" t="s">
        <v>2641</v>
      </c>
      <c r="E571" s="254" t="s">
        <v>2441</v>
      </c>
      <c r="F571" s="254" t="s">
        <v>338</v>
      </c>
      <c r="G571" s="255"/>
      <c r="H571" s="256">
        <v>0.0</v>
      </c>
      <c r="I571" s="257"/>
      <c r="J571" s="98" t="s">
        <v>213</v>
      </c>
      <c r="K571" s="96" t="s">
        <v>54</v>
      </c>
      <c r="L571" s="280"/>
    </row>
    <row r="572" ht="15.75" customHeight="1">
      <c r="A572" s="251">
        <v>46204.0</v>
      </c>
      <c r="B572" s="252">
        <v>2.6880744E7</v>
      </c>
      <c r="C572" s="252" t="s">
        <v>2625</v>
      </c>
      <c r="D572" s="253" t="s">
        <v>2551</v>
      </c>
      <c r="E572" s="254" t="s">
        <v>2441</v>
      </c>
      <c r="F572" s="254" t="s">
        <v>338</v>
      </c>
      <c r="G572" s="255"/>
      <c r="H572" s="256">
        <v>0.0</v>
      </c>
      <c r="I572" s="257"/>
      <c r="J572" s="98" t="s">
        <v>213</v>
      </c>
      <c r="K572" s="96" t="s">
        <v>54</v>
      </c>
      <c r="L572" s="280"/>
    </row>
    <row r="573" ht="15.75" customHeight="1">
      <c r="A573" s="251">
        <v>46204.0</v>
      </c>
      <c r="B573" s="252">
        <v>2.68806E7</v>
      </c>
      <c r="C573" s="252" t="s">
        <v>2642</v>
      </c>
      <c r="D573" s="253" t="s">
        <v>2643</v>
      </c>
      <c r="E573" s="254" t="s">
        <v>2441</v>
      </c>
      <c r="F573" s="254" t="s">
        <v>338</v>
      </c>
      <c r="G573" s="255"/>
      <c r="H573" s="256">
        <v>0.0</v>
      </c>
      <c r="I573" s="257"/>
      <c r="J573" s="98" t="s">
        <v>213</v>
      </c>
      <c r="K573" s="96" t="s">
        <v>54</v>
      </c>
      <c r="L573" s="280"/>
    </row>
    <row r="574" ht="15.75" customHeight="1">
      <c r="A574" s="251">
        <v>46204.0</v>
      </c>
      <c r="B574" s="252">
        <v>2.6879658E7</v>
      </c>
      <c r="C574" s="252" t="s">
        <v>2644</v>
      </c>
      <c r="D574" s="253" t="s">
        <v>2645</v>
      </c>
      <c r="E574" s="254" t="s">
        <v>2441</v>
      </c>
      <c r="F574" s="254" t="s">
        <v>338</v>
      </c>
      <c r="G574" s="255"/>
      <c r="H574" s="256">
        <v>0.0</v>
      </c>
      <c r="I574" s="257"/>
      <c r="J574" s="98" t="s">
        <v>213</v>
      </c>
      <c r="K574" s="96" t="s">
        <v>54</v>
      </c>
      <c r="L574" s="280"/>
    </row>
    <row r="575" ht="15.75" customHeight="1">
      <c r="A575" s="251">
        <v>46204.0</v>
      </c>
      <c r="B575" s="252">
        <v>2.6873097E7</v>
      </c>
      <c r="C575" s="252" t="s">
        <v>2646</v>
      </c>
      <c r="D575" s="253" t="s">
        <v>2647</v>
      </c>
      <c r="E575" s="254" t="s">
        <v>2441</v>
      </c>
      <c r="F575" s="254" t="s">
        <v>338</v>
      </c>
      <c r="G575" s="255"/>
      <c r="H575" s="256">
        <v>0.0</v>
      </c>
      <c r="I575" s="257"/>
      <c r="J575" s="98" t="s">
        <v>213</v>
      </c>
      <c r="K575" s="96" t="s">
        <v>54</v>
      </c>
      <c r="L575" s="280"/>
    </row>
    <row r="576" ht="15.75" customHeight="1">
      <c r="A576" s="251">
        <v>46203.0</v>
      </c>
      <c r="B576" s="252">
        <v>2.6871358E7</v>
      </c>
      <c r="C576" s="252" t="s">
        <v>2648</v>
      </c>
      <c r="D576" s="253" t="s">
        <v>2649</v>
      </c>
      <c r="E576" s="254" t="s">
        <v>2441</v>
      </c>
      <c r="F576" s="254" t="s">
        <v>338</v>
      </c>
      <c r="G576" s="255"/>
      <c r="H576" s="256">
        <v>0.0</v>
      </c>
      <c r="I576" s="257"/>
      <c r="J576" s="98" t="s">
        <v>213</v>
      </c>
      <c r="K576" s="96" t="s">
        <v>54</v>
      </c>
      <c r="L576" s="280"/>
    </row>
    <row r="577" ht="15.75" customHeight="1">
      <c r="A577" s="251">
        <v>46203.0</v>
      </c>
      <c r="B577" s="252">
        <v>2.6871202E7</v>
      </c>
      <c r="C577" s="252" t="s">
        <v>2650</v>
      </c>
      <c r="D577" s="253" t="s">
        <v>2651</v>
      </c>
      <c r="E577" s="254" t="s">
        <v>2441</v>
      </c>
      <c r="F577" s="254" t="s">
        <v>338</v>
      </c>
      <c r="G577" s="255"/>
      <c r="H577" s="256">
        <v>0.0</v>
      </c>
      <c r="I577" s="257"/>
      <c r="J577" s="98" t="s">
        <v>213</v>
      </c>
      <c r="K577" s="96" t="s">
        <v>54</v>
      </c>
      <c r="L577" s="280"/>
    </row>
    <row r="578" ht="15.75" customHeight="1">
      <c r="A578" s="251">
        <v>46203.0</v>
      </c>
      <c r="B578" s="252">
        <v>2.6871062E7</v>
      </c>
      <c r="C578" s="252" t="s">
        <v>2652</v>
      </c>
      <c r="D578" s="253" t="s">
        <v>2653</v>
      </c>
      <c r="E578" s="254" t="s">
        <v>2441</v>
      </c>
      <c r="F578" s="254" t="s">
        <v>338</v>
      </c>
      <c r="G578" s="255"/>
      <c r="H578" s="256">
        <v>0.0</v>
      </c>
      <c r="I578" s="257"/>
      <c r="J578" s="98" t="s">
        <v>213</v>
      </c>
      <c r="K578" s="96" t="s">
        <v>54</v>
      </c>
      <c r="L578" s="280"/>
    </row>
    <row r="579" ht="15.75" customHeight="1">
      <c r="A579" s="251">
        <v>46203.0</v>
      </c>
      <c r="B579" s="252">
        <v>2.686962E7</v>
      </c>
      <c r="C579" s="252" t="s">
        <v>2654</v>
      </c>
      <c r="D579" s="253" t="s">
        <v>2655</v>
      </c>
      <c r="E579" s="254" t="s">
        <v>2441</v>
      </c>
      <c r="F579" s="254" t="s">
        <v>410</v>
      </c>
      <c r="G579" s="255"/>
      <c r="H579" s="256">
        <v>0.0</v>
      </c>
      <c r="I579" s="257"/>
      <c r="J579" s="98" t="s">
        <v>213</v>
      </c>
      <c r="K579" s="96" t="s">
        <v>54</v>
      </c>
      <c r="L579" s="280"/>
    </row>
    <row r="580" ht="15.75" customHeight="1">
      <c r="A580" s="251">
        <v>46203.0</v>
      </c>
      <c r="B580" s="252">
        <v>2.6865358E7</v>
      </c>
      <c r="C580" s="252" t="s">
        <v>2656</v>
      </c>
      <c r="D580" s="253" t="s">
        <v>2657</v>
      </c>
      <c r="E580" s="254" t="s">
        <v>2441</v>
      </c>
      <c r="F580" s="254" t="s">
        <v>410</v>
      </c>
      <c r="G580" s="255"/>
      <c r="H580" s="256">
        <v>0.0</v>
      </c>
      <c r="I580" s="257"/>
      <c r="J580" s="98" t="s">
        <v>213</v>
      </c>
      <c r="K580" s="96" t="s">
        <v>54</v>
      </c>
      <c r="L580" s="280"/>
    </row>
    <row r="581" ht="15.75" customHeight="1">
      <c r="A581" s="251">
        <v>46202.0</v>
      </c>
      <c r="B581" s="252">
        <v>2.6864756E7</v>
      </c>
      <c r="C581" s="252" t="s">
        <v>2601</v>
      </c>
      <c r="D581" s="253" t="s">
        <v>2602</v>
      </c>
      <c r="E581" s="254" t="s">
        <v>2441</v>
      </c>
      <c r="F581" s="254" t="s">
        <v>338</v>
      </c>
      <c r="G581" s="255"/>
      <c r="H581" s="256">
        <v>0.0</v>
      </c>
      <c r="I581" s="257"/>
      <c r="J581" s="98" t="s">
        <v>213</v>
      </c>
      <c r="K581" s="96" t="s">
        <v>54</v>
      </c>
      <c r="L581" s="280"/>
    </row>
    <row r="582" ht="15.75" customHeight="1">
      <c r="A582" s="251">
        <v>46202.0</v>
      </c>
      <c r="B582" s="252">
        <v>2.6864744E7</v>
      </c>
      <c r="C582" s="252" t="s">
        <v>2658</v>
      </c>
      <c r="D582" s="253" t="s">
        <v>2659</v>
      </c>
      <c r="E582" s="254" t="s">
        <v>2441</v>
      </c>
      <c r="F582" s="254" t="s">
        <v>410</v>
      </c>
      <c r="G582" s="255"/>
      <c r="H582" s="256">
        <v>0.0</v>
      </c>
      <c r="I582" s="257"/>
      <c r="J582" s="98" t="s">
        <v>213</v>
      </c>
      <c r="K582" s="96" t="s">
        <v>54</v>
      </c>
      <c r="L582" s="280"/>
    </row>
    <row r="583" ht="15.75" customHeight="1">
      <c r="A583" s="251">
        <v>46202.0</v>
      </c>
      <c r="B583" s="252">
        <v>2.6864702E7</v>
      </c>
      <c r="C583" s="252" t="s">
        <v>2660</v>
      </c>
      <c r="D583" s="253" t="s">
        <v>2661</v>
      </c>
      <c r="E583" s="254" t="s">
        <v>2441</v>
      </c>
      <c r="F583" s="254" t="s">
        <v>338</v>
      </c>
      <c r="G583" s="255"/>
      <c r="H583" s="256">
        <v>0.0</v>
      </c>
      <c r="I583" s="257"/>
      <c r="J583" s="98" t="s">
        <v>213</v>
      </c>
      <c r="K583" s="96" t="s">
        <v>54</v>
      </c>
      <c r="L583" s="280"/>
    </row>
    <row r="584" ht="15.75" customHeight="1">
      <c r="A584" s="251">
        <v>46202.0</v>
      </c>
      <c r="B584" s="252">
        <v>2.6863374E7</v>
      </c>
      <c r="C584" s="252" t="s">
        <v>2662</v>
      </c>
      <c r="D584" s="253" t="s">
        <v>2663</v>
      </c>
      <c r="E584" s="254" t="s">
        <v>2441</v>
      </c>
      <c r="F584" s="254" t="s">
        <v>338</v>
      </c>
      <c r="G584" s="255"/>
      <c r="H584" s="256">
        <v>0.0</v>
      </c>
      <c r="I584" s="257"/>
      <c r="J584" s="98" t="s">
        <v>213</v>
      </c>
      <c r="K584" s="96" t="s">
        <v>54</v>
      </c>
      <c r="L584" s="280"/>
    </row>
    <row r="585" ht="15.75" customHeight="1">
      <c r="A585" s="251">
        <v>46202.0</v>
      </c>
      <c r="B585" s="252">
        <v>2.6863372E7</v>
      </c>
      <c r="C585" s="252" t="s">
        <v>2664</v>
      </c>
      <c r="D585" s="253" t="s">
        <v>2665</v>
      </c>
      <c r="E585" s="254" t="s">
        <v>2441</v>
      </c>
      <c r="F585" s="254" t="s">
        <v>338</v>
      </c>
      <c r="G585" s="255"/>
      <c r="H585" s="256">
        <v>0.0</v>
      </c>
      <c r="I585" s="257"/>
      <c r="J585" s="98" t="s">
        <v>213</v>
      </c>
      <c r="K585" s="96" t="s">
        <v>54</v>
      </c>
      <c r="L585" s="280"/>
    </row>
    <row r="586" ht="15.75" customHeight="1">
      <c r="A586" s="251">
        <v>46202.0</v>
      </c>
      <c r="B586" s="252">
        <v>2.6863348E7</v>
      </c>
      <c r="C586" s="252" t="s">
        <v>2666</v>
      </c>
      <c r="D586" s="253" t="s">
        <v>2667</v>
      </c>
      <c r="E586" s="254" t="s">
        <v>2441</v>
      </c>
      <c r="F586" s="254" t="s">
        <v>338</v>
      </c>
      <c r="G586" s="255"/>
      <c r="H586" s="256">
        <v>0.0</v>
      </c>
      <c r="I586" s="257"/>
      <c r="J586" s="98" t="s">
        <v>213</v>
      </c>
      <c r="K586" s="96" t="s">
        <v>54</v>
      </c>
      <c r="L586" s="280"/>
    </row>
    <row r="587" ht="15.75" customHeight="1">
      <c r="A587" s="251">
        <v>46202.0</v>
      </c>
      <c r="B587" s="252">
        <v>2.6863274E7</v>
      </c>
      <c r="C587" s="252" t="s">
        <v>2668</v>
      </c>
      <c r="D587" s="253" t="s">
        <v>2669</v>
      </c>
      <c r="E587" s="254" t="s">
        <v>2441</v>
      </c>
      <c r="F587" s="254" t="s">
        <v>338</v>
      </c>
      <c r="G587" s="255"/>
      <c r="H587" s="256">
        <v>0.0</v>
      </c>
      <c r="I587" s="257"/>
      <c r="J587" s="98" t="s">
        <v>213</v>
      </c>
      <c r="K587" s="96" t="s">
        <v>54</v>
      </c>
      <c r="L587" s="280"/>
    </row>
    <row r="588" ht="15.75" customHeight="1">
      <c r="A588" s="251">
        <v>46202.0</v>
      </c>
      <c r="B588" s="252">
        <v>2.6862988E7</v>
      </c>
      <c r="C588" s="252" t="s">
        <v>2670</v>
      </c>
      <c r="D588" s="253" t="s">
        <v>2671</v>
      </c>
      <c r="E588" s="254" t="s">
        <v>2441</v>
      </c>
      <c r="F588" s="254" t="s">
        <v>338</v>
      </c>
      <c r="G588" s="255"/>
      <c r="H588" s="256">
        <v>0.0</v>
      </c>
      <c r="I588" s="257"/>
      <c r="J588" s="98" t="s">
        <v>213</v>
      </c>
      <c r="K588" s="96" t="s">
        <v>54</v>
      </c>
      <c r="L588" s="280"/>
    </row>
    <row r="589" ht="15.75" customHeight="1">
      <c r="A589" s="251">
        <v>46201.0</v>
      </c>
      <c r="B589" s="252">
        <v>2.6857418E7</v>
      </c>
      <c r="C589" s="252" t="s">
        <v>2672</v>
      </c>
      <c r="D589" s="257"/>
      <c r="E589" s="254" t="s">
        <v>2441</v>
      </c>
      <c r="F589" s="254" t="s">
        <v>434</v>
      </c>
      <c r="G589" s="255"/>
      <c r="H589" s="256">
        <v>0.0</v>
      </c>
      <c r="I589" s="257"/>
      <c r="J589" s="98" t="s">
        <v>213</v>
      </c>
      <c r="K589" s="96" t="s">
        <v>54</v>
      </c>
      <c r="L589" s="280"/>
    </row>
    <row r="590" ht="15.75" customHeight="1">
      <c r="A590" s="251">
        <v>46201.0</v>
      </c>
      <c r="B590" s="252">
        <v>2.6857264E7</v>
      </c>
      <c r="C590" s="252" t="s">
        <v>2673</v>
      </c>
      <c r="D590" s="257"/>
      <c r="E590" s="254" t="s">
        <v>2441</v>
      </c>
      <c r="F590" s="254" t="s">
        <v>338</v>
      </c>
      <c r="G590" s="255"/>
      <c r="H590" s="256">
        <v>0.0</v>
      </c>
      <c r="I590" s="257"/>
      <c r="J590" s="98" t="s">
        <v>213</v>
      </c>
      <c r="K590" s="96" t="s">
        <v>54</v>
      </c>
      <c r="L590" s="280"/>
    </row>
    <row r="591" ht="15.75" customHeight="1">
      <c r="A591" s="251">
        <v>46201.0</v>
      </c>
      <c r="B591" s="252">
        <v>2.6857038E7</v>
      </c>
      <c r="C591" s="252" t="s">
        <v>2674</v>
      </c>
      <c r="D591" s="257"/>
      <c r="E591" s="254" t="s">
        <v>2441</v>
      </c>
      <c r="F591" s="254" t="s">
        <v>338</v>
      </c>
      <c r="G591" s="255"/>
      <c r="H591" s="256">
        <v>0.0</v>
      </c>
      <c r="I591" s="257"/>
      <c r="J591" s="98" t="s">
        <v>213</v>
      </c>
      <c r="K591" s="96" t="s">
        <v>54</v>
      </c>
      <c r="L591" s="280"/>
    </row>
    <row r="592" ht="15.75" customHeight="1">
      <c r="A592" s="251">
        <v>46201.0</v>
      </c>
      <c r="B592" s="252">
        <v>2.6856028E7</v>
      </c>
      <c r="C592" s="252" t="s">
        <v>2675</v>
      </c>
      <c r="D592" s="257"/>
      <c r="E592" s="254" t="s">
        <v>2441</v>
      </c>
      <c r="F592" s="254" t="s">
        <v>338</v>
      </c>
      <c r="G592" s="255"/>
      <c r="H592" s="256">
        <v>0.0</v>
      </c>
      <c r="I592" s="257"/>
      <c r="J592" s="98" t="s">
        <v>213</v>
      </c>
      <c r="K592" s="96" t="s">
        <v>54</v>
      </c>
      <c r="L592" s="280"/>
    </row>
    <row r="593" ht="15.75" customHeight="1">
      <c r="A593" s="251">
        <v>46200.0</v>
      </c>
      <c r="B593" s="252">
        <v>2.6852634E7</v>
      </c>
      <c r="C593" s="252" t="s">
        <v>2676</v>
      </c>
      <c r="D593" s="257"/>
      <c r="E593" s="254" t="s">
        <v>2441</v>
      </c>
      <c r="F593" s="254" t="s">
        <v>338</v>
      </c>
      <c r="G593" s="255"/>
      <c r="H593" s="256">
        <v>0.0</v>
      </c>
      <c r="I593" s="257"/>
      <c r="J593" s="98" t="s">
        <v>213</v>
      </c>
      <c r="K593" s="96" t="s">
        <v>54</v>
      </c>
      <c r="L593" s="280"/>
    </row>
    <row r="594" ht="15.75" customHeight="1">
      <c r="A594" s="251">
        <v>46177.0</v>
      </c>
      <c r="B594" s="252">
        <v>2.6682716E7</v>
      </c>
      <c r="C594" s="252" t="s">
        <v>2677</v>
      </c>
      <c r="D594" s="253" t="s">
        <v>2678</v>
      </c>
      <c r="E594" s="254" t="s">
        <v>2441</v>
      </c>
      <c r="F594" s="254" t="s">
        <v>338</v>
      </c>
      <c r="G594" s="255"/>
      <c r="H594" s="256">
        <v>0.0</v>
      </c>
      <c r="I594" s="257"/>
      <c r="J594" s="98" t="s">
        <v>213</v>
      </c>
      <c r="K594" s="96" t="s">
        <v>54</v>
      </c>
      <c r="L594" s="280"/>
    </row>
    <row r="595" ht="15.75" customHeight="1">
      <c r="A595" s="251">
        <v>46177.0</v>
      </c>
      <c r="B595" s="252">
        <v>2.6681598E7</v>
      </c>
      <c r="C595" s="252" t="s">
        <v>2679</v>
      </c>
      <c r="D595" s="253" t="s">
        <v>2680</v>
      </c>
      <c r="E595" s="254" t="s">
        <v>2441</v>
      </c>
      <c r="F595" s="254" t="s">
        <v>338</v>
      </c>
      <c r="G595" s="255"/>
      <c r="H595" s="256">
        <v>0.0</v>
      </c>
      <c r="I595" s="257"/>
      <c r="J595" s="98" t="s">
        <v>213</v>
      </c>
      <c r="K595" s="96" t="s">
        <v>54</v>
      </c>
      <c r="L595" s="280"/>
    </row>
    <row r="596" ht="15.75" customHeight="1">
      <c r="A596" s="251">
        <v>46177.0</v>
      </c>
      <c r="B596" s="252">
        <v>2.6679972E7</v>
      </c>
      <c r="C596" s="252" t="s">
        <v>2681</v>
      </c>
      <c r="D596" s="253" t="s">
        <v>2682</v>
      </c>
      <c r="E596" s="254" t="s">
        <v>2441</v>
      </c>
      <c r="F596" s="254" t="s">
        <v>338</v>
      </c>
      <c r="G596" s="255"/>
      <c r="H596" s="256">
        <v>0.0</v>
      </c>
      <c r="I596" s="257"/>
      <c r="J596" s="98" t="s">
        <v>213</v>
      </c>
      <c r="K596" s="96" t="s">
        <v>54</v>
      </c>
      <c r="L596" s="280"/>
    </row>
    <row r="597" ht="15.75" customHeight="1">
      <c r="A597" s="251">
        <v>46177.0</v>
      </c>
      <c r="B597" s="252">
        <v>2.667649E7</v>
      </c>
      <c r="C597" s="252" t="s">
        <v>2683</v>
      </c>
      <c r="D597" s="253" t="s">
        <v>2684</v>
      </c>
      <c r="E597" s="254" t="s">
        <v>2441</v>
      </c>
      <c r="F597" s="254" t="s">
        <v>338</v>
      </c>
      <c r="G597" s="255"/>
      <c r="H597" s="256">
        <v>0.0</v>
      </c>
      <c r="I597" s="257"/>
      <c r="J597" s="98" t="s">
        <v>213</v>
      </c>
      <c r="K597" s="96" t="s">
        <v>54</v>
      </c>
      <c r="L597" s="280"/>
    </row>
    <row r="598" ht="15.75" customHeight="1">
      <c r="A598" s="251">
        <v>46176.0</v>
      </c>
      <c r="B598" s="252">
        <v>2.6672336E7</v>
      </c>
      <c r="C598" s="252" t="s">
        <v>2685</v>
      </c>
      <c r="D598" s="253" t="s">
        <v>2686</v>
      </c>
      <c r="E598" s="254" t="s">
        <v>2441</v>
      </c>
      <c r="F598" s="254" t="s">
        <v>338</v>
      </c>
      <c r="G598" s="255"/>
      <c r="H598" s="256">
        <v>0.0</v>
      </c>
      <c r="I598" s="257"/>
      <c r="J598" s="98" t="s">
        <v>213</v>
      </c>
      <c r="K598" s="96" t="s">
        <v>54</v>
      </c>
      <c r="L598" s="280"/>
    </row>
    <row r="599" ht="15.75" customHeight="1">
      <c r="A599" s="279"/>
      <c r="B599" s="280"/>
      <c r="C599" s="280"/>
      <c r="D599" s="280"/>
      <c r="E599" s="281"/>
      <c r="F599" s="282"/>
      <c r="G599" s="283"/>
      <c r="H599" s="283"/>
      <c r="I599" s="280"/>
      <c r="J599" s="98"/>
      <c r="K599" s="96"/>
      <c r="L599" s="280"/>
    </row>
    <row r="600" ht="15.75" customHeight="1">
      <c r="A600" s="279"/>
      <c r="B600" s="280"/>
      <c r="C600" s="280"/>
      <c r="D600" s="280"/>
      <c r="E600" s="281"/>
      <c r="F600" s="282"/>
      <c r="G600" s="283"/>
      <c r="H600" s="283"/>
      <c r="I600" s="280"/>
      <c r="J600" s="98"/>
      <c r="K600" s="96"/>
      <c r="L600" s="280"/>
    </row>
    <row r="601" ht="15.75" customHeight="1">
      <c r="A601" s="279"/>
      <c r="B601" s="280"/>
      <c r="C601" s="280"/>
      <c r="D601" s="280"/>
      <c r="E601" s="281"/>
      <c r="F601" s="282"/>
      <c r="G601" s="283"/>
      <c r="H601" s="283"/>
      <c r="I601" s="280"/>
      <c r="J601" s="98"/>
      <c r="K601" s="96"/>
      <c r="L601" s="280"/>
    </row>
    <row r="602" ht="15.75" customHeight="1">
      <c r="A602" s="279"/>
      <c r="B602" s="280"/>
      <c r="C602" s="280"/>
      <c r="D602" s="280"/>
      <c r="E602" s="281"/>
      <c r="F602" s="282"/>
      <c r="G602" s="283"/>
      <c r="H602" s="283"/>
      <c r="I602" s="280"/>
      <c r="J602" s="281"/>
      <c r="K602" s="280"/>
      <c r="L602" s="280"/>
    </row>
    <row r="603" ht="15.75" customHeight="1">
      <c r="A603" s="279"/>
      <c r="B603" s="280"/>
      <c r="C603" s="280"/>
      <c r="D603" s="280"/>
      <c r="E603" s="281"/>
      <c r="F603" s="282"/>
      <c r="G603" s="283"/>
      <c r="H603" s="283"/>
      <c r="I603" s="280"/>
      <c r="J603" s="281"/>
      <c r="K603" s="280"/>
      <c r="L603" s="280"/>
    </row>
    <row r="604" ht="15.75" customHeight="1">
      <c r="A604" s="279"/>
      <c r="B604" s="280"/>
      <c r="C604" s="280"/>
      <c r="D604" s="280"/>
      <c r="E604" s="281"/>
      <c r="F604" s="282"/>
      <c r="G604" s="283"/>
      <c r="H604" s="283"/>
      <c r="I604" s="280"/>
      <c r="J604" s="281"/>
      <c r="K604" s="280"/>
      <c r="L604" s="280"/>
    </row>
    <row r="605" ht="15.75" customHeight="1">
      <c r="A605" s="279"/>
      <c r="B605" s="280"/>
      <c r="C605" s="280"/>
      <c r="D605" s="280"/>
      <c r="E605" s="281"/>
      <c r="F605" s="282"/>
      <c r="G605" s="283"/>
      <c r="H605" s="283"/>
      <c r="I605" s="280"/>
      <c r="J605" s="281"/>
      <c r="K605" s="280"/>
      <c r="L605" s="280"/>
    </row>
    <row r="606" ht="15.75" customHeight="1">
      <c r="A606" s="279"/>
      <c r="B606" s="280"/>
      <c r="C606" s="280"/>
      <c r="D606" s="280"/>
      <c r="E606" s="281"/>
      <c r="F606" s="282"/>
      <c r="G606" s="283"/>
      <c r="H606" s="283"/>
      <c r="I606" s="280"/>
      <c r="J606" s="281"/>
      <c r="K606" s="280"/>
      <c r="L606" s="280"/>
    </row>
    <row r="607" ht="15.75" customHeight="1">
      <c r="A607" s="279"/>
      <c r="B607" s="280"/>
      <c r="C607" s="280"/>
      <c r="D607" s="280"/>
      <c r="E607" s="281"/>
      <c r="F607" s="282"/>
      <c r="G607" s="283"/>
      <c r="H607" s="283"/>
      <c r="I607" s="280"/>
      <c r="J607" s="281"/>
      <c r="K607" s="280"/>
      <c r="L607" s="280"/>
    </row>
    <row r="608" ht="15.75" customHeight="1">
      <c r="A608" s="279"/>
      <c r="B608" s="280"/>
      <c r="C608" s="280"/>
      <c r="D608" s="280"/>
      <c r="E608" s="281"/>
      <c r="F608" s="282"/>
      <c r="G608" s="283"/>
      <c r="H608" s="283"/>
      <c r="I608" s="280"/>
      <c r="J608" s="281"/>
      <c r="K608" s="280"/>
      <c r="L608" s="280"/>
    </row>
    <row r="609" ht="15.75" customHeight="1">
      <c r="A609" s="279"/>
      <c r="B609" s="280"/>
      <c r="C609" s="280"/>
      <c r="D609" s="280"/>
      <c r="E609" s="281"/>
      <c r="F609" s="282"/>
      <c r="G609" s="283"/>
      <c r="H609" s="283"/>
      <c r="I609" s="280"/>
      <c r="J609" s="281"/>
      <c r="K609" s="280"/>
      <c r="L609" s="280"/>
    </row>
    <row r="610" ht="15.75" customHeight="1">
      <c r="A610" s="279"/>
      <c r="B610" s="280"/>
      <c r="C610" s="280"/>
      <c r="D610" s="280"/>
      <c r="E610" s="281"/>
      <c r="F610" s="282"/>
      <c r="G610" s="283"/>
      <c r="H610" s="283"/>
      <c r="I610" s="280"/>
      <c r="J610" s="281"/>
      <c r="K610" s="280"/>
      <c r="L610" s="280"/>
    </row>
    <row r="611" ht="15.75" customHeight="1">
      <c r="A611" s="279"/>
      <c r="B611" s="280"/>
      <c r="C611" s="280"/>
      <c r="D611" s="280"/>
      <c r="E611" s="281"/>
      <c r="F611" s="282"/>
      <c r="G611" s="283"/>
      <c r="H611" s="283"/>
      <c r="I611" s="280"/>
      <c r="J611" s="281"/>
      <c r="K611" s="280"/>
      <c r="L611" s="280"/>
    </row>
    <row r="612" ht="15.75" customHeight="1">
      <c r="A612" s="279"/>
      <c r="B612" s="280"/>
      <c r="C612" s="280"/>
      <c r="D612" s="280"/>
      <c r="E612" s="281"/>
      <c r="F612" s="282"/>
      <c r="G612" s="283"/>
      <c r="H612" s="283"/>
      <c r="I612" s="280"/>
      <c r="J612" s="281"/>
      <c r="K612" s="280"/>
      <c r="L612" s="280"/>
    </row>
    <row r="613" ht="15.75" customHeight="1">
      <c r="A613" s="279"/>
      <c r="B613" s="280"/>
      <c r="C613" s="280"/>
      <c r="D613" s="280"/>
      <c r="E613" s="281"/>
      <c r="F613" s="282"/>
      <c r="G613" s="283"/>
      <c r="H613" s="283"/>
      <c r="I613" s="280"/>
      <c r="J613" s="281"/>
      <c r="K613" s="280"/>
      <c r="L613" s="280"/>
    </row>
    <row r="614" ht="15.75" customHeight="1">
      <c r="A614" s="279"/>
      <c r="B614" s="280"/>
      <c r="C614" s="280"/>
      <c r="D614" s="280"/>
      <c r="E614" s="281"/>
      <c r="F614" s="282"/>
      <c r="G614" s="283"/>
      <c r="H614" s="283"/>
      <c r="I614" s="280"/>
      <c r="J614" s="281"/>
      <c r="K614" s="280"/>
      <c r="L614" s="280"/>
    </row>
    <row r="615" ht="15.75" customHeight="1">
      <c r="A615" s="279"/>
      <c r="B615" s="280"/>
      <c r="C615" s="280"/>
      <c r="D615" s="280"/>
      <c r="E615" s="281"/>
      <c r="F615" s="282"/>
      <c r="G615" s="283"/>
      <c r="H615" s="283"/>
      <c r="I615" s="280"/>
      <c r="J615" s="281"/>
      <c r="K615" s="280"/>
      <c r="L615" s="280"/>
    </row>
    <row r="616" ht="15.75" customHeight="1">
      <c r="A616" s="279"/>
      <c r="B616" s="280"/>
      <c r="C616" s="280"/>
      <c r="D616" s="280"/>
      <c r="E616" s="281"/>
      <c r="F616" s="282"/>
      <c r="G616" s="283"/>
      <c r="H616" s="283"/>
      <c r="I616" s="280"/>
      <c r="J616" s="281"/>
      <c r="K616" s="280"/>
      <c r="L616" s="280"/>
    </row>
    <row r="617" ht="15.75" customHeight="1">
      <c r="A617" s="279"/>
      <c r="B617" s="280"/>
      <c r="C617" s="280"/>
      <c r="D617" s="280"/>
      <c r="E617" s="281"/>
      <c r="F617" s="282"/>
      <c r="G617" s="283"/>
      <c r="H617" s="283"/>
      <c r="I617" s="280"/>
      <c r="J617" s="281"/>
      <c r="K617" s="280"/>
      <c r="L617" s="280"/>
    </row>
    <row r="618" ht="15.75" customHeight="1">
      <c r="A618" s="279"/>
      <c r="B618" s="280"/>
      <c r="C618" s="280"/>
      <c r="D618" s="280"/>
      <c r="E618" s="281"/>
      <c r="F618" s="282"/>
      <c r="G618" s="283"/>
      <c r="H618" s="283"/>
      <c r="I618" s="280"/>
      <c r="J618" s="281"/>
      <c r="K618" s="280"/>
      <c r="L618" s="280"/>
    </row>
    <row r="619" ht="15.75" customHeight="1">
      <c r="A619" s="279"/>
      <c r="B619" s="280"/>
      <c r="C619" s="280"/>
      <c r="D619" s="280"/>
      <c r="E619" s="281"/>
      <c r="F619" s="282"/>
      <c r="G619" s="283"/>
      <c r="H619" s="283"/>
      <c r="I619" s="280"/>
      <c r="J619" s="281"/>
      <c r="K619" s="280"/>
      <c r="L619" s="280"/>
    </row>
    <row r="620" ht="15.75" customHeight="1">
      <c r="A620" s="279"/>
      <c r="B620" s="280"/>
      <c r="C620" s="280"/>
      <c r="D620" s="280"/>
      <c r="E620" s="281"/>
      <c r="F620" s="282"/>
      <c r="G620" s="283"/>
      <c r="H620" s="283"/>
      <c r="I620" s="280"/>
      <c r="J620" s="281"/>
      <c r="K620" s="280"/>
      <c r="L620" s="280"/>
    </row>
    <row r="621" ht="15.75" customHeight="1">
      <c r="A621" s="279"/>
      <c r="B621" s="280"/>
      <c r="C621" s="280"/>
      <c r="D621" s="280"/>
      <c r="E621" s="281"/>
      <c r="F621" s="282"/>
      <c r="G621" s="283"/>
      <c r="H621" s="283"/>
      <c r="I621" s="280"/>
      <c r="J621" s="281"/>
      <c r="K621" s="280"/>
      <c r="L621" s="280"/>
    </row>
    <row r="622" ht="15.75" customHeight="1">
      <c r="A622" s="279"/>
      <c r="B622" s="280"/>
      <c r="C622" s="280"/>
      <c r="D622" s="280"/>
      <c r="E622" s="281"/>
      <c r="F622" s="282"/>
      <c r="G622" s="283"/>
      <c r="H622" s="283"/>
      <c r="I622" s="280"/>
      <c r="J622" s="281"/>
      <c r="K622" s="280"/>
      <c r="L622" s="280"/>
    </row>
    <row r="623" ht="15.75" customHeight="1">
      <c r="A623" s="279"/>
      <c r="B623" s="280"/>
      <c r="C623" s="280"/>
      <c r="D623" s="280"/>
      <c r="E623" s="281"/>
      <c r="F623" s="282"/>
      <c r="G623" s="283"/>
      <c r="H623" s="283"/>
      <c r="I623" s="280"/>
      <c r="J623" s="281"/>
      <c r="K623" s="280"/>
      <c r="L623" s="280"/>
    </row>
    <row r="624" ht="15.75" customHeight="1">
      <c r="A624" s="279"/>
      <c r="B624" s="280"/>
      <c r="C624" s="280"/>
      <c r="D624" s="280"/>
      <c r="E624" s="281"/>
      <c r="F624" s="282"/>
      <c r="G624" s="283"/>
      <c r="H624" s="283"/>
      <c r="I624" s="280"/>
      <c r="J624" s="281"/>
      <c r="K624" s="280"/>
      <c r="L624" s="280"/>
    </row>
    <row r="625" ht="15.75" customHeight="1">
      <c r="A625" s="279"/>
      <c r="B625" s="280"/>
      <c r="C625" s="280"/>
      <c r="D625" s="280"/>
      <c r="E625" s="281"/>
      <c r="F625" s="282"/>
      <c r="G625" s="283"/>
      <c r="H625" s="283"/>
      <c r="I625" s="280"/>
      <c r="J625" s="281"/>
      <c r="K625" s="280"/>
      <c r="L625" s="280"/>
    </row>
    <row r="626" ht="15.75" customHeight="1">
      <c r="A626" s="279"/>
      <c r="B626" s="280"/>
      <c r="C626" s="280"/>
      <c r="D626" s="280"/>
      <c r="E626" s="281"/>
      <c r="F626" s="282"/>
      <c r="G626" s="283"/>
      <c r="H626" s="283"/>
      <c r="I626" s="280"/>
      <c r="J626" s="281"/>
      <c r="K626" s="280"/>
      <c r="L626" s="280"/>
    </row>
    <row r="627" ht="15.75" customHeight="1">
      <c r="A627" s="279"/>
      <c r="B627" s="280"/>
      <c r="C627" s="280"/>
      <c r="D627" s="280"/>
      <c r="E627" s="281"/>
      <c r="F627" s="282"/>
      <c r="G627" s="283"/>
      <c r="H627" s="283"/>
      <c r="I627" s="280"/>
      <c r="J627" s="281"/>
      <c r="K627" s="280"/>
      <c r="L627" s="280"/>
    </row>
    <row r="628" ht="15.75" customHeight="1">
      <c r="A628" s="279"/>
      <c r="B628" s="280"/>
      <c r="C628" s="280"/>
      <c r="D628" s="280"/>
      <c r="E628" s="281"/>
      <c r="F628" s="282"/>
      <c r="G628" s="283"/>
      <c r="H628" s="283"/>
      <c r="I628" s="280"/>
      <c r="J628" s="281"/>
      <c r="K628" s="280"/>
      <c r="L628" s="280"/>
    </row>
    <row r="629" ht="15.75" customHeight="1">
      <c r="A629" s="279"/>
      <c r="B629" s="280"/>
      <c r="C629" s="280"/>
      <c r="D629" s="280"/>
      <c r="E629" s="281"/>
      <c r="F629" s="282"/>
      <c r="G629" s="283"/>
      <c r="H629" s="283"/>
      <c r="I629" s="280"/>
      <c r="J629" s="281"/>
      <c r="K629" s="280"/>
      <c r="L629" s="280"/>
    </row>
    <row r="630" ht="15.75" customHeight="1">
      <c r="A630" s="279"/>
      <c r="B630" s="280"/>
      <c r="C630" s="280"/>
      <c r="D630" s="280"/>
      <c r="E630" s="281"/>
      <c r="F630" s="282"/>
      <c r="G630" s="283"/>
      <c r="H630" s="283"/>
      <c r="I630" s="280"/>
      <c r="J630" s="281"/>
      <c r="K630" s="280"/>
      <c r="L630" s="280"/>
    </row>
    <row r="631" ht="15.75" customHeight="1">
      <c r="A631" s="279"/>
      <c r="B631" s="280"/>
      <c r="C631" s="280"/>
      <c r="D631" s="280"/>
      <c r="E631" s="281"/>
      <c r="F631" s="282"/>
      <c r="G631" s="283"/>
      <c r="H631" s="283"/>
      <c r="I631" s="280"/>
      <c r="J631" s="281"/>
      <c r="K631" s="280"/>
      <c r="L631" s="280"/>
    </row>
    <row r="632" ht="15.75" customHeight="1">
      <c r="A632" s="279"/>
      <c r="B632" s="280"/>
      <c r="C632" s="280"/>
      <c r="D632" s="280"/>
      <c r="E632" s="281"/>
      <c r="F632" s="282"/>
      <c r="G632" s="283"/>
      <c r="H632" s="283"/>
      <c r="I632" s="280"/>
      <c r="J632" s="281"/>
      <c r="K632" s="280"/>
      <c r="L632" s="280"/>
    </row>
    <row r="633" ht="15.75" customHeight="1">
      <c r="A633" s="279"/>
      <c r="B633" s="280"/>
      <c r="C633" s="280"/>
      <c r="D633" s="280"/>
      <c r="E633" s="281"/>
      <c r="F633" s="282"/>
      <c r="G633" s="283"/>
      <c r="H633" s="283"/>
      <c r="I633" s="280"/>
      <c r="J633" s="281"/>
      <c r="K633" s="280"/>
      <c r="L633" s="280"/>
    </row>
    <row r="634" ht="15.75" customHeight="1">
      <c r="A634" s="279"/>
      <c r="B634" s="280"/>
      <c r="C634" s="280"/>
      <c r="D634" s="280"/>
      <c r="E634" s="281"/>
      <c r="F634" s="282"/>
      <c r="G634" s="283"/>
      <c r="H634" s="283"/>
      <c r="I634" s="280"/>
      <c r="J634" s="281"/>
      <c r="K634" s="280"/>
      <c r="L634" s="280"/>
    </row>
    <row r="635" ht="15.75" customHeight="1">
      <c r="A635" s="279"/>
      <c r="B635" s="280"/>
      <c r="C635" s="280"/>
      <c r="D635" s="280"/>
      <c r="E635" s="281"/>
      <c r="F635" s="282"/>
      <c r="G635" s="283"/>
      <c r="H635" s="283"/>
      <c r="I635" s="280"/>
      <c r="J635" s="281"/>
      <c r="K635" s="280"/>
      <c r="L635" s="280"/>
    </row>
    <row r="636" ht="15.75" customHeight="1">
      <c r="A636" s="279"/>
      <c r="B636" s="280"/>
      <c r="C636" s="280"/>
      <c r="D636" s="280"/>
      <c r="E636" s="281"/>
      <c r="F636" s="282"/>
      <c r="G636" s="283"/>
      <c r="H636" s="283"/>
      <c r="I636" s="280"/>
      <c r="J636" s="281"/>
      <c r="K636" s="280"/>
      <c r="L636" s="280"/>
    </row>
    <row r="637" ht="15.75" customHeight="1">
      <c r="A637" s="279"/>
      <c r="B637" s="280"/>
      <c r="C637" s="280"/>
      <c r="D637" s="280"/>
      <c r="E637" s="281"/>
      <c r="F637" s="282"/>
      <c r="G637" s="283"/>
      <c r="H637" s="283"/>
      <c r="I637" s="280"/>
      <c r="J637" s="281"/>
      <c r="K637" s="280"/>
      <c r="L637" s="280"/>
    </row>
    <row r="638" ht="15.75" customHeight="1">
      <c r="A638" s="279"/>
      <c r="B638" s="280"/>
      <c r="C638" s="280"/>
      <c r="D638" s="280"/>
      <c r="E638" s="281"/>
      <c r="F638" s="282"/>
      <c r="G638" s="283"/>
      <c r="H638" s="283"/>
      <c r="I638" s="280"/>
      <c r="J638" s="281"/>
      <c r="K638" s="280"/>
      <c r="L638" s="280"/>
    </row>
    <row r="639" ht="15.75" customHeight="1">
      <c r="A639" s="279"/>
      <c r="B639" s="280"/>
      <c r="C639" s="280"/>
      <c r="D639" s="280"/>
      <c r="E639" s="281"/>
      <c r="F639" s="282"/>
      <c r="G639" s="283"/>
      <c r="H639" s="283"/>
      <c r="I639" s="280"/>
      <c r="J639" s="281"/>
      <c r="K639" s="280"/>
      <c r="L639" s="280"/>
    </row>
    <row r="640" ht="15.75" customHeight="1">
      <c r="A640" s="279"/>
      <c r="B640" s="280"/>
      <c r="C640" s="280"/>
      <c r="D640" s="280"/>
      <c r="E640" s="281"/>
      <c r="F640" s="282"/>
      <c r="G640" s="283"/>
      <c r="H640" s="283"/>
      <c r="I640" s="280"/>
      <c r="J640" s="281"/>
      <c r="K640" s="280"/>
      <c r="L640" s="280"/>
    </row>
    <row r="641" ht="15.75" customHeight="1">
      <c r="A641" s="279"/>
      <c r="B641" s="280"/>
      <c r="C641" s="280"/>
      <c r="D641" s="280"/>
      <c r="E641" s="281"/>
      <c r="F641" s="282"/>
      <c r="G641" s="283"/>
      <c r="H641" s="283"/>
      <c r="I641" s="280"/>
      <c r="J641" s="281"/>
      <c r="K641" s="280"/>
      <c r="L641" s="280"/>
    </row>
    <row r="642" ht="15.75" customHeight="1">
      <c r="A642" s="279"/>
      <c r="B642" s="280"/>
      <c r="C642" s="280"/>
      <c r="D642" s="280"/>
      <c r="E642" s="281"/>
      <c r="F642" s="282"/>
      <c r="G642" s="283"/>
      <c r="H642" s="283"/>
      <c r="I642" s="280"/>
      <c r="J642" s="281"/>
      <c r="K642" s="280"/>
      <c r="L642" s="280"/>
    </row>
    <row r="643" ht="15.75" customHeight="1">
      <c r="A643" s="279"/>
      <c r="B643" s="280"/>
      <c r="C643" s="280"/>
      <c r="D643" s="280"/>
      <c r="E643" s="281"/>
      <c r="F643" s="282"/>
      <c r="G643" s="283"/>
      <c r="H643" s="283"/>
      <c r="I643" s="280"/>
      <c r="J643" s="281"/>
      <c r="K643" s="280"/>
      <c r="L643" s="280"/>
    </row>
    <row r="644" ht="15.75" customHeight="1">
      <c r="A644" s="279"/>
      <c r="B644" s="280"/>
      <c r="C644" s="280"/>
      <c r="D644" s="280"/>
      <c r="E644" s="281"/>
      <c r="F644" s="282"/>
      <c r="G644" s="283"/>
      <c r="H644" s="283"/>
      <c r="I644" s="280"/>
      <c r="J644" s="281"/>
      <c r="K644" s="280"/>
      <c r="L644" s="280"/>
    </row>
    <row r="645" ht="15.75" customHeight="1">
      <c r="A645" s="279"/>
      <c r="B645" s="280"/>
      <c r="C645" s="280"/>
      <c r="D645" s="280"/>
      <c r="E645" s="281"/>
      <c r="F645" s="282"/>
      <c r="G645" s="283"/>
      <c r="H645" s="283"/>
      <c r="I645" s="280"/>
      <c r="J645" s="281"/>
      <c r="K645" s="280"/>
      <c r="L645" s="280"/>
    </row>
    <row r="646" ht="15.75" customHeight="1">
      <c r="A646" s="279"/>
      <c r="B646" s="280"/>
      <c r="C646" s="280"/>
      <c r="D646" s="280"/>
      <c r="E646" s="281"/>
      <c r="F646" s="282"/>
      <c r="G646" s="283"/>
      <c r="H646" s="283"/>
      <c r="I646" s="280"/>
      <c r="J646" s="281"/>
      <c r="K646" s="280"/>
      <c r="L646" s="280"/>
    </row>
    <row r="647" ht="15.75" customHeight="1">
      <c r="A647" s="279"/>
      <c r="B647" s="280"/>
      <c r="C647" s="280"/>
      <c r="D647" s="280"/>
      <c r="E647" s="281"/>
      <c r="F647" s="282"/>
      <c r="G647" s="283"/>
      <c r="H647" s="283"/>
      <c r="I647" s="280"/>
      <c r="J647" s="281"/>
      <c r="K647" s="280"/>
      <c r="L647" s="280"/>
    </row>
    <row r="648" ht="15.75" customHeight="1">
      <c r="A648" s="279"/>
      <c r="B648" s="280"/>
      <c r="C648" s="280"/>
      <c r="D648" s="280"/>
      <c r="E648" s="281"/>
      <c r="F648" s="282"/>
      <c r="G648" s="283"/>
      <c r="H648" s="283"/>
      <c r="I648" s="280"/>
      <c r="J648" s="281"/>
      <c r="K648" s="280"/>
      <c r="L648" s="280"/>
    </row>
    <row r="649" ht="15.75" customHeight="1">
      <c r="A649" s="279"/>
      <c r="B649" s="280"/>
      <c r="C649" s="280"/>
      <c r="D649" s="280"/>
      <c r="E649" s="281"/>
      <c r="F649" s="282"/>
      <c r="G649" s="283"/>
      <c r="H649" s="283"/>
      <c r="I649" s="280"/>
      <c r="J649" s="281"/>
      <c r="K649" s="280"/>
      <c r="L649" s="280"/>
    </row>
    <row r="650" ht="15.75" customHeight="1">
      <c r="A650" s="279"/>
      <c r="B650" s="280"/>
      <c r="C650" s="280"/>
      <c r="D650" s="280"/>
      <c r="E650" s="281"/>
      <c r="F650" s="282"/>
      <c r="G650" s="283"/>
      <c r="H650" s="283"/>
      <c r="I650" s="280"/>
      <c r="J650" s="281"/>
      <c r="K650" s="280"/>
      <c r="L650" s="280"/>
    </row>
    <row r="651" ht="15.75" customHeight="1">
      <c r="A651" s="279"/>
      <c r="B651" s="280"/>
      <c r="C651" s="280"/>
      <c r="D651" s="280"/>
      <c r="E651" s="281"/>
      <c r="F651" s="282"/>
      <c r="G651" s="283"/>
      <c r="H651" s="283"/>
      <c r="I651" s="280"/>
      <c r="J651" s="281"/>
      <c r="K651" s="280"/>
      <c r="L651" s="280"/>
    </row>
    <row r="652" ht="15.75" customHeight="1">
      <c r="A652" s="279"/>
      <c r="B652" s="280"/>
      <c r="C652" s="280"/>
      <c r="D652" s="280"/>
      <c r="E652" s="281"/>
      <c r="F652" s="282"/>
      <c r="G652" s="283"/>
      <c r="H652" s="283"/>
      <c r="I652" s="280"/>
      <c r="J652" s="281"/>
      <c r="K652" s="280"/>
      <c r="L652" s="280"/>
    </row>
    <row r="653" ht="15.75" customHeight="1">
      <c r="A653" s="279"/>
      <c r="B653" s="280"/>
      <c r="C653" s="280"/>
      <c r="D653" s="280"/>
      <c r="E653" s="281"/>
      <c r="F653" s="282"/>
      <c r="G653" s="283"/>
      <c r="H653" s="283"/>
      <c r="I653" s="280"/>
      <c r="J653" s="281"/>
      <c r="K653" s="280"/>
      <c r="L653" s="280"/>
    </row>
    <row r="654" ht="15.75" customHeight="1">
      <c r="A654" s="279"/>
      <c r="B654" s="280"/>
      <c r="C654" s="280"/>
      <c r="D654" s="280"/>
      <c r="E654" s="281"/>
      <c r="F654" s="282"/>
      <c r="G654" s="283"/>
      <c r="H654" s="283"/>
      <c r="I654" s="280"/>
      <c r="J654" s="281"/>
      <c r="K654" s="280"/>
      <c r="L654" s="280"/>
    </row>
    <row r="655" ht="15.75" customHeight="1">
      <c r="A655" s="279"/>
      <c r="B655" s="280"/>
      <c r="C655" s="280"/>
      <c r="D655" s="280"/>
      <c r="E655" s="281"/>
      <c r="F655" s="282"/>
      <c r="G655" s="283"/>
      <c r="H655" s="283"/>
      <c r="I655" s="280"/>
      <c r="J655" s="281"/>
      <c r="K655" s="280"/>
      <c r="L655" s="280"/>
    </row>
    <row r="656" ht="15.75" customHeight="1">
      <c r="A656" s="279"/>
      <c r="B656" s="280"/>
      <c r="C656" s="280"/>
      <c r="D656" s="280"/>
      <c r="E656" s="281"/>
      <c r="F656" s="282"/>
      <c r="G656" s="283"/>
      <c r="H656" s="283"/>
      <c r="I656" s="280"/>
      <c r="J656" s="281"/>
      <c r="K656" s="280"/>
      <c r="L656" s="280"/>
    </row>
    <row r="657" ht="15.75" customHeight="1">
      <c r="A657" s="279"/>
      <c r="B657" s="280"/>
      <c r="C657" s="280"/>
      <c r="D657" s="280"/>
      <c r="E657" s="281"/>
      <c r="F657" s="282"/>
      <c r="G657" s="283"/>
      <c r="H657" s="283"/>
      <c r="I657" s="280"/>
      <c r="J657" s="281"/>
      <c r="K657" s="280"/>
      <c r="L657" s="280"/>
    </row>
    <row r="658" ht="15.75" customHeight="1">
      <c r="A658" s="279"/>
      <c r="B658" s="280"/>
      <c r="C658" s="280"/>
      <c r="D658" s="280"/>
      <c r="E658" s="281"/>
      <c r="F658" s="282"/>
      <c r="G658" s="283"/>
      <c r="H658" s="283"/>
      <c r="I658" s="280"/>
      <c r="J658" s="281"/>
      <c r="K658" s="280"/>
      <c r="L658" s="280"/>
    </row>
    <row r="659" ht="15.75" customHeight="1">
      <c r="A659" s="279"/>
      <c r="B659" s="280"/>
      <c r="C659" s="280"/>
      <c r="D659" s="280"/>
      <c r="E659" s="281"/>
      <c r="F659" s="282"/>
      <c r="G659" s="283"/>
      <c r="H659" s="283"/>
      <c r="I659" s="280"/>
      <c r="J659" s="281"/>
      <c r="K659" s="280"/>
      <c r="L659" s="280"/>
    </row>
    <row r="660" ht="15.75" customHeight="1">
      <c r="A660" s="279"/>
      <c r="B660" s="280"/>
      <c r="C660" s="280"/>
      <c r="D660" s="280"/>
      <c r="E660" s="281"/>
      <c r="F660" s="282"/>
      <c r="G660" s="283"/>
      <c r="H660" s="283"/>
      <c r="I660" s="280"/>
      <c r="J660" s="281"/>
      <c r="K660" s="280"/>
      <c r="L660" s="280"/>
    </row>
    <row r="661" ht="15.75" customHeight="1">
      <c r="A661" s="279"/>
      <c r="B661" s="280"/>
      <c r="C661" s="280"/>
      <c r="D661" s="280"/>
      <c r="E661" s="281"/>
      <c r="F661" s="282"/>
      <c r="G661" s="283"/>
      <c r="H661" s="283"/>
      <c r="I661" s="280"/>
      <c r="J661" s="281"/>
      <c r="K661" s="280"/>
      <c r="L661" s="280"/>
    </row>
    <row r="662" ht="15.75" customHeight="1">
      <c r="A662" s="279"/>
      <c r="B662" s="280"/>
      <c r="C662" s="280"/>
      <c r="D662" s="280"/>
      <c r="E662" s="281"/>
      <c r="F662" s="282"/>
      <c r="G662" s="283"/>
      <c r="H662" s="283"/>
      <c r="I662" s="280"/>
      <c r="J662" s="281"/>
      <c r="K662" s="280"/>
      <c r="L662" s="280"/>
    </row>
    <row r="663" ht="15.75" customHeight="1">
      <c r="A663" s="279"/>
      <c r="B663" s="280"/>
      <c r="C663" s="280"/>
      <c r="D663" s="280"/>
      <c r="E663" s="281"/>
      <c r="F663" s="282"/>
      <c r="G663" s="283"/>
      <c r="H663" s="283"/>
      <c r="I663" s="280"/>
      <c r="J663" s="281"/>
      <c r="K663" s="280"/>
      <c r="L663" s="280"/>
    </row>
    <row r="664" ht="15.75" customHeight="1">
      <c r="A664" s="279"/>
      <c r="B664" s="280"/>
      <c r="C664" s="280"/>
      <c r="D664" s="280"/>
      <c r="E664" s="281"/>
      <c r="F664" s="282"/>
      <c r="G664" s="283"/>
      <c r="H664" s="283"/>
      <c r="I664" s="280"/>
      <c r="J664" s="281"/>
      <c r="K664" s="280"/>
      <c r="L664" s="280"/>
    </row>
    <row r="665" ht="15.75" customHeight="1">
      <c r="A665" s="279"/>
      <c r="B665" s="280"/>
      <c r="C665" s="280"/>
      <c r="D665" s="280"/>
      <c r="E665" s="281"/>
      <c r="F665" s="282"/>
      <c r="G665" s="283"/>
      <c r="H665" s="283"/>
      <c r="I665" s="280"/>
      <c r="J665" s="281"/>
      <c r="K665" s="280"/>
      <c r="L665" s="280"/>
    </row>
    <row r="666" ht="15.75" customHeight="1">
      <c r="A666" s="279"/>
      <c r="B666" s="280"/>
      <c r="C666" s="280"/>
      <c r="D666" s="280"/>
      <c r="E666" s="281"/>
      <c r="F666" s="282"/>
      <c r="G666" s="283"/>
      <c r="H666" s="283"/>
      <c r="I666" s="280"/>
      <c r="J666" s="281"/>
      <c r="K666" s="280"/>
      <c r="L666" s="280"/>
    </row>
    <row r="667" ht="15.75" customHeight="1">
      <c r="A667" s="279"/>
      <c r="B667" s="280"/>
      <c r="C667" s="280"/>
      <c r="D667" s="280"/>
      <c r="E667" s="281"/>
      <c r="F667" s="282"/>
      <c r="G667" s="283"/>
      <c r="H667" s="283"/>
      <c r="I667" s="280"/>
      <c r="J667" s="281"/>
      <c r="K667" s="280"/>
      <c r="L667" s="280"/>
    </row>
    <row r="668" ht="15.75" customHeight="1">
      <c r="A668" s="279"/>
      <c r="B668" s="280"/>
      <c r="C668" s="280"/>
      <c r="D668" s="280"/>
      <c r="E668" s="281"/>
      <c r="F668" s="282"/>
      <c r="G668" s="283"/>
      <c r="H668" s="283"/>
      <c r="I668" s="280"/>
      <c r="J668" s="281"/>
      <c r="K668" s="280"/>
      <c r="L668" s="280"/>
    </row>
    <row r="669" ht="15.75" customHeight="1">
      <c r="A669" s="279"/>
      <c r="B669" s="280"/>
      <c r="C669" s="280"/>
      <c r="D669" s="280"/>
      <c r="E669" s="281"/>
      <c r="F669" s="282"/>
      <c r="G669" s="283"/>
      <c r="H669" s="283"/>
      <c r="I669" s="280"/>
      <c r="J669" s="281"/>
      <c r="K669" s="280"/>
      <c r="L669" s="280"/>
    </row>
    <row r="670" ht="15.75" customHeight="1">
      <c r="A670" s="279"/>
      <c r="B670" s="280"/>
      <c r="C670" s="280"/>
      <c r="D670" s="280"/>
      <c r="E670" s="281"/>
      <c r="F670" s="282"/>
      <c r="G670" s="283"/>
      <c r="H670" s="283"/>
      <c r="I670" s="280"/>
      <c r="J670" s="281"/>
      <c r="K670" s="280"/>
      <c r="L670" s="280"/>
    </row>
    <row r="671" ht="15.75" customHeight="1">
      <c r="A671" s="279"/>
      <c r="B671" s="280"/>
      <c r="C671" s="280"/>
      <c r="D671" s="280"/>
      <c r="E671" s="281"/>
      <c r="F671" s="282"/>
      <c r="G671" s="283"/>
      <c r="H671" s="283"/>
      <c r="I671" s="280"/>
      <c r="J671" s="281"/>
      <c r="K671" s="280"/>
      <c r="L671" s="280"/>
    </row>
    <row r="672" ht="15.75" customHeight="1">
      <c r="A672" s="279"/>
      <c r="B672" s="280"/>
      <c r="C672" s="280"/>
      <c r="D672" s="280"/>
      <c r="E672" s="281"/>
      <c r="F672" s="282"/>
      <c r="G672" s="283"/>
      <c r="H672" s="283"/>
      <c r="I672" s="280"/>
      <c r="J672" s="281"/>
      <c r="K672" s="280"/>
      <c r="L672" s="280"/>
    </row>
    <row r="673" ht="15.75" customHeight="1">
      <c r="A673" s="279"/>
      <c r="B673" s="280"/>
      <c r="C673" s="280"/>
      <c r="D673" s="280"/>
      <c r="E673" s="281"/>
      <c r="F673" s="282"/>
      <c r="G673" s="283"/>
      <c r="H673" s="283"/>
      <c r="I673" s="280"/>
      <c r="J673" s="281"/>
      <c r="K673" s="280"/>
      <c r="L673" s="280"/>
    </row>
    <row r="674" ht="15.75" customHeight="1">
      <c r="A674" s="279"/>
      <c r="B674" s="280"/>
      <c r="C674" s="280"/>
      <c r="D674" s="280"/>
      <c r="E674" s="281"/>
      <c r="F674" s="282"/>
      <c r="G674" s="283"/>
      <c r="H674" s="283"/>
      <c r="I674" s="280"/>
      <c r="J674" s="281"/>
      <c r="K674" s="280"/>
      <c r="L674" s="280"/>
    </row>
    <row r="675" ht="15.75" customHeight="1">
      <c r="A675" s="279"/>
      <c r="B675" s="280"/>
      <c r="C675" s="280"/>
      <c r="D675" s="280"/>
      <c r="E675" s="281"/>
      <c r="F675" s="282"/>
      <c r="G675" s="283"/>
      <c r="H675" s="283"/>
      <c r="I675" s="280"/>
      <c r="J675" s="281"/>
      <c r="K675" s="280"/>
      <c r="L675" s="280"/>
    </row>
    <row r="676" ht="15.75" customHeight="1">
      <c r="A676" s="279"/>
      <c r="B676" s="280"/>
      <c r="C676" s="280"/>
      <c r="D676" s="280"/>
      <c r="E676" s="281"/>
      <c r="F676" s="282"/>
      <c r="G676" s="283"/>
      <c r="H676" s="283"/>
      <c r="I676" s="280"/>
      <c r="J676" s="281"/>
      <c r="K676" s="280"/>
      <c r="L676" s="280"/>
    </row>
    <row r="677" ht="15.75" customHeight="1">
      <c r="A677" s="279"/>
      <c r="B677" s="280"/>
      <c r="C677" s="280"/>
      <c r="D677" s="280"/>
      <c r="E677" s="281"/>
      <c r="F677" s="282"/>
      <c r="G677" s="283"/>
      <c r="H677" s="283"/>
      <c r="I677" s="280"/>
      <c r="J677" s="281"/>
      <c r="K677" s="280"/>
      <c r="L677" s="280"/>
    </row>
    <row r="678" ht="15.75" customHeight="1">
      <c r="A678" s="279"/>
      <c r="B678" s="280"/>
      <c r="C678" s="280"/>
      <c r="D678" s="280"/>
      <c r="E678" s="281"/>
      <c r="F678" s="282"/>
      <c r="G678" s="283"/>
      <c r="H678" s="283"/>
      <c r="I678" s="280"/>
      <c r="J678" s="281"/>
      <c r="K678" s="280"/>
      <c r="L678" s="280"/>
    </row>
    <row r="679" ht="15.75" customHeight="1">
      <c r="A679" s="279"/>
      <c r="B679" s="280"/>
      <c r="C679" s="280"/>
      <c r="D679" s="280"/>
      <c r="E679" s="281"/>
      <c r="F679" s="282"/>
      <c r="G679" s="283"/>
      <c r="H679" s="283"/>
      <c r="I679" s="280"/>
      <c r="J679" s="281"/>
      <c r="K679" s="280"/>
      <c r="L679" s="280"/>
    </row>
    <row r="680" ht="15.75" customHeight="1">
      <c r="A680" s="279"/>
      <c r="B680" s="280"/>
      <c r="C680" s="280"/>
      <c r="D680" s="280"/>
      <c r="E680" s="281"/>
      <c r="F680" s="282"/>
      <c r="G680" s="283"/>
      <c r="H680" s="283"/>
      <c r="I680" s="280"/>
      <c r="J680" s="281"/>
      <c r="K680" s="280"/>
      <c r="L680" s="280"/>
    </row>
    <row r="681" ht="15.75" customHeight="1">
      <c r="A681" s="279"/>
      <c r="B681" s="280"/>
      <c r="C681" s="280"/>
      <c r="D681" s="280"/>
      <c r="E681" s="281"/>
      <c r="F681" s="282"/>
      <c r="G681" s="283"/>
      <c r="H681" s="283"/>
      <c r="I681" s="280"/>
      <c r="J681" s="281"/>
      <c r="K681" s="280"/>
      <c r="L681" s="280"/>
    </row>
    <row r="682" ht="15.75" customHeight="1">
      <c r="A682" s="279"/>
      <c r="B682" s="280"/>
      <c r="C682" s="280"/>
      <c r="D682" s="280"/>
      <c r="E682" s="281"/>
      <c r="F682" s="282"/>
      <c r="G682" s="283"/>
      <c r="H682" s="283"/>
      <c r="I682" s="280"/>
      <c r="J682" s="281"/>
      <c r="K682" s="280"/>
      <c r="L682" s="280"/>
    </row>
    <row r="683" ht="15.75" customHeight="1">
      <c r="A683" s="279"/>
      <c r="B683" s="280"/>
      <c r="C683" s="280"/>
      <c r="D683" s="280"/>
      <c r="E683" s="281"/>
      <c r="F683" s="282"/>
      <c r="G683" s="283"/>
      <c r="H683" s="283"/>
      <c r="I683" s="280"/>
      <c r="J683" s="281"/>
      <c r="K683" s="280"/>
      <c r="L683" s="280"/>
    </row>
    <row r="684" ht="15.75" customHeight="1">
      <c r="A684" s="279"/>
      <c r="B684" s="280"/>
      <c r="C684" s="280"/>
      <c r="D684" s="280"/>
      <c r="E684" s="281"/>
      <c r="F684" s="282"/>
      <c r="G684" s="283"/>
      <c r="H684" s="283"/>
      <c r="I684" s="280"/>
      <c r="J684" s="281"/>
      <c r="K684" s="280"/>
      <c r="L684" s="280"/>
    </row>
    <row r="685" ht="15.75" customHeight="1">
      <c r="A685" s="279"/>
      <c r="B685" s="280"/>
      <c r="C685" s="280"/>
      <c r="D685" s="280"/>
      <c r="E685" s="281"/>
      <c r="F685" s="282"/>
      <c r="G685" s="283"/>
      <c r="H685" s="283"/>
      <c r="I685" s="280"/>
      <c r="J685" s="281"/>
      <c r="K685" s="280"/>
      <c r="L685" s="280"/>
    </row>
    <row r="686" ht="15.75" customHeight="1">
      <c r="A686" s="279"/>
      <c r="B686" s="280"/>
      <c r="C686" s="280"/>
      <c r="D686" s="280"/>
      <c r="E686" s="281"/>
      <c r="F686" s="282"/>
      <c r="G686" s="283"/>
      <c r="H686" s="283"/>
      <c r="I686" s="280"/>
      <c r="J686" s="281"/>
      <c r="K686" s="280"/>
      <c r="L686" s="280"/>
    </row>
    <row r="687" ht="15.75" customHeight="1">
      <c r="A687" s="279"/>
      <c r="B687" s="280"/>
      <c r="C687" s="280"/>
      <c r="D687" s="280"/>
      <c r="E687" s="281"/>
      <c r="F687" s="282"/>
      <c r="G687" s="283"/>
      <c r="H687" s="283"/>
      <c r="I687" s="280"/>
      <c r="J687" s="281"/>
      <c r="K687" s="280"/>
      <c r="L687" s="280"/>
    </row>
    <row r="688" ht="15.75" customHeight="1">
      <c r="A688" s="279"/>
      <c r="B688" s="280"/>
      <c r="C688" s="280"/>
      <c r="D688" s="280"/>
      <c r="E688" s="281"/>
      <c r="F688" s="282"/>
      <c r="G688" s="283"/>
      <c r="H688" s="283"/>
      <c r="I688" s="280"/>
      <c r="J688" s="281"/>
      <c r="K688" s="280"/>
      <c r="L688" s="280"/>
    </row>
    <row r="689" ht="15.75" customHeight="1">
      <c r="A689" s="279"/>
      <c r="B689" s="280"/>
      <c r="C689" s="280"/>
      <c r="D689" s="280"/>
      <c r="E689" s="281"/>
      <c r="F689" s="282"/>
      <c r="G689" s="283"/>
      <c r="H689" s="283"/>
      <c r="I689" s="280"/>
      <c r="J689" s="281"/>
      <c r="K689" s="280"/>
      <c r="L689" s="280"/>
    </row>
    <row r="690" ht="15.75" customHeight="1">
      <c r="A690" s="279"/>
      <c r="B690" s="280"/>
      <c r="C690" s="280"/>
      <c r="D690" s="280"/>
      <c r="E690" s="281"/>
      <c r="F690" s="282"/>
      <c r="G690" s="283"/>
      <c r="H690" s="283"/>
      <c r="I690" s="280"/>
      <c r="J690" s="281"/>
      <c r="K690" s="280"/>
      <c r="L690" s="280"/>
    </row>
    <row r="691" ht="15.75" customHeight="1">
      <c r="A691" s="279"/>
      <c r="B691" s="280"/>
      <c r="C691" s="280"/>
      <c r="D691" s="280"/>
      <c r="E691" s="281"/>
      <c r="F691" s="282"/>
      <c r="G691" s="283"/>
      <c r="H691" s="283"/>
      <c r="I691" s="280"/>
      <c r="J691" s="281"/>
      <c r="K691" s="280"/>
      <c r="L691" s="280"/>
    </row>
    <row r="692" ht="15.75" customHeight="1">
      <c r="A692" s="279"/>
      <c r="B692" s="280"/>
      <c r="C692" s="280"/>
      <c r="D692" s="280"/>
      <c r="E692" s="281"/>
      <c r="F692" s="282"/>
      <c r="G692" s="283"/>
      <c r="H692" s="283"/>
      <c r="I692" s="280"/>
      <c r="J692" s="281"/>
      <c r="K692" s="280"/>
      <c r="L692" s="280"/>
    </row>
    <row r="693" ht="15.75" customHeight="1">
      <c r="A693" s="279"/>
      <c r="B693" s="280"/>
      <c r="C693" s="280"/>
      <c r="D693" s="280"/>
      <c r="E693" s="281"/>
      <c r="F693" s="282"/>
      <c r="G693" s="283"/>
      <c r="H693" s="283"/>
      <c r="I693" s="280"/>
      <c r="J693" s="281"/>
      <c r="K693" s="280"/>
      <c r="L693" s="280"/>
    </row>
    <row r="694" ht="15.75" customHeight="1">
      <c r="A694" s="279"/>
      <c r="B694" s="280"/>
      <c r="C694" s="280"/>
      <c r="D694" s="280"/>
      <c r="E694" s="281"/>
      <c r="F694" s="282"/>
      <c r="G694" s="283"/>
      <c r="H694" s="283"/>
      <c r="I694" s="280"/>
      <c r="J694" s="281"/>
      <c r="K694" s="280"/>
      <c r="L694" s="280"/>
    </row>
    <row r="695" ht="15.75" customHeight="1">
      <c r="A695" s="279"/>
      <c r="B695" s="280"/>
      <c r="C695" s="280"/>
      <c r="D695" s="280"/>
      <c r="E695" s="281"/>
      <c r="F695" s="282"/>
      <c r="G695" s="283"/>
      <c r="H695" s="283"/>
      <c r="I695" s="280"/>
      <c r="J695" s="281"/>
      <c r="K695" s="280"/>
      <c r="L695" s="280"/>
    </row>
    <row r="696" ht="15.75" customHeight="1">
      <c r="A696" s="279"/>
      <c r="B696" s="280"/>
      <c r="C696" s="280"/>
      <c r="D696" s="280"/>
      <c r="E696" s="281"/>
      <c r="F696" s="282"/>
      <c r="G696" s="283"/>
      <c r="H696" s="283"/>
      <c r="I696" s="280"/>
      <c r="J696" s="281"/>
      <c r="K696" s="280"/>
      <c r="L696" s="280"/>
    </row>
    <row r="697" ht="15.75" customHeight="1">
      <c r="A697" s="279"/>
      <c r="B697" s="280"/>
      <c r="C697" s="280"/>
      <c r="D697" s="280"/>
      <c r="E697" s="281"/>
      <c r="F697" s="282"/>
      <c r="G697" s="283"/>
      <c r="H697" s="283"/>
      <c r="I697" s="280"/>
      <c r="J697" s="281"/>
      <c r="K697" s="280"/>
      <c r="L697" s="280"/>
    </row>
    <row r="698" ht="15.75" customHeight="1">
      <c r="A698" s="279"/>
      <c r="B698" s="280"/>
      <c r="C698" s="280"/>
      <c r="D698" s="280"/>
      <c r="E698" s="281"/>
      <c r="F698" s="282"/>
      <c r="G698" s="283"/>
      <c r="H698" s="283"/>
      <c r="I698" s="280"/>
      <c r="J698" s="281"/>
      <c r="K698" s="280"/>
      <c r="L698" s="280"/>
    </row>
    <row r="699" ht="15.75" customHeight="1">
      <c r="A699" s="279"/>
      <c r="B699" s="280"/>
      <c r="C699" s="280"/>
      <c r="D699" s="280"/>
      <c r="E699" s="281"/>
      <c r="F699" s="282"/>
      <c r="G699" s="283"/>
      <c r="H699" s="283"/>
      <c r="I699" s="280"/>
      <c r="J699" s="281"/>
      <c r="K699" s="280"/>
      <c r="L699" s="280"/>
    </row>
    <row r="700" ht="15.75" customHeight="1">
      <c r="A700" s="279"/>
      <c r="B700" s="280"/>
      <c r="C700" s="280"/>
      <c r="D700" s="280"/>
      <c r="E700" s="281"/>
      <c r="F700" s="282"/>
      <c r="G700" s="283"/>
      <c r="H700" s="283"/>
      <c r="I700" s="280"/>
      <c r="J700" s="281"/>
      <c r="K700" s="280"/>
      <c r="L700" s="280"/>
    </row>
    <row r="701" ht="15.75" customHeight="1">
      <c r="A701" s="279"/>
      <c r="B701" s="280"/>
      <c r="C701" s="280"/>
      <c r="D701" s="280"/>
      <c r="E701" s="281"/>
      <c r="F701" s="282"/>
      <c r="G701" s="283"/>
      <c r="H701" s="283"/>
      <c r="I701" s="280"/>
      <c r="J701" s="281"/>
      <c r="K701" s="280"/>
      <c r="L701" s="280"/>
    </row>
    <row r="702" ht="15.75" customHeight="1">
      <c r="A702" s="279"/>
      <c r="B702" s="280"/>
      <c r="C702" s="280"/>
      <c r="D702" s="280"/>
      <c r="E702" s="281"/>
      <c r="F702" s="282"/>
      <c r="G702" s="283"/>
      <c r="H702" s="283"/>
      <c r="I702" s="280"/>
      <c r="J702" s="281"/>
      <c r="K702" s="280"/>
      <c r="L702" s="280"/>
    </row>
    <row r="703" ht="15.75" customHeight="1">
      <c r="A703" s="279"/>
      <c r="B703" s="280"/>
      <c r="C703" s="280"/>
      <c r="D703" s="280"/>
      <c r="E703" s="281"/>
      <c r="F703" s="282"/>
      <c r="G703" s="283"/>
      <c r="H703" s="283"/>
      <c r="I703" s="280"/>
      <c r="J703" s="281"/>
      <c r="K703" s="280"/>
      <c r="L703" s="280"/>
    </row>
    <row r="704" ht="15.75" customHeight="1">
      <c r="A704" s="279"/>
      <c r="B704" s="280"/>
      <c r="C704" s="280"/>
      <c r="D704" s="280"/>
      <c r="E704" s="281"/>
      <c r="F704" s="282"/>
      <c r="G704" s="283"/>
      <c r="H704" s="283"/>
      <c r="I704" s="280"/>
      <c r="J704" s="281"/>
      <c r="K704" s="280"/>
      <c r="L704" s="280"/>
    </row>
    <row r="705" ht="15.75" customHeight="1">
      <c r="A705" s="279"/>
      <c r="B705" s="280"/>
      <c r="C705" s="280"/>
      <c r="D705" s="280"/>
      <c r="E705" s="281"/>
      <c r="F705" s="282"/>
      <c r="G705" s="283"/>
      <c r="H705" s="283"/>
      <c r="I705" s="280"/>
      <c r="J705" s="281"/>
      <c r="K705" s="280"/>
      <c r="L705" s="280"/>
    </row>
    <row r="706" ht="15.75" customHeight="1">
      <c r="A706" s="279"/>
      <c r="B706" s="280"/>
      <c r="C706" s="280"/>
      <c r="D706" s="280"/>
      <c r="E706" s="281"/>
      <c r="F706" s="282"/>
      <c r="G706" s="283"/>
      <c r="H706" s="283"/>
      <c r="I706" s="280"/>
      <c r="J706" s="281"/>
      <c r="K706" s="280"/>
      <c r="L706" s="280"/>
    </row>
    <row r="707" ht="15.75" customHeight="1">
      <c r="A707" s="279"/>
      <c r="B707" s="280"/>
      <c r="C707" s="280"/>
      <c r="D707" s="280"/>
      <c r="E707" s="281"/>
      <c r="F707" s="282"/>
      <c r="G707" s="283"/>
      <c r="H707" s="283"/>
      <c r="I707" s="280"/>
      <c r="J707" s="281"/>
      <c r="K707" s="280"/>
      <c r="L707" s="280"/>
    </row>
    <row r="708" ht="15.75" customHeight="1">
      <c r="A708" s="279"/>
      <c r="B708" s="280"/>
      <c r="C708" s="280"/>
      <c r="D708" s="280"/>
      <c r="E708" s="281"/>
      <c r="F708" s="282"/>
      <c r="G708" s="283"/>
      <c r="H708" s="283"/>
      <c r="I708" s="280"/>
      <c r="J708" s="281"/>
      <c r="K708" s="280"/>
      <c r="L708" s="280"/>
    </row>
    <row r="709" ht="15.75" customHeight="1">
      <c r="A709" s="279"/>
      <c r="B709" s="280"/>
      <c r="C709" s="280"/>
      <c r="D709" s="280"/>
      <c r="E709" s="281"/>
      <c r="F709" s="282"/>
      <c r="G709" s="283"/>
      <c r="H709" s="283"/>
      <c r="I709" s="280"/>
      <c r="J709" s="281"/>
      <c r="K709" s="280"/>
      <c r="L709" s="280"/>
    </row>
    <row r="710" ht="15.75" customHeight="1">
      <c r="A710" s="279"/>
      <c r="B710" s="280"/>
      <c r="C710" s="280"/>
      <c r="D710" s="280"/>
      <c r="E710" s="281"/>
      <c r="F710" s="282"/>
      <c r="G710" s="283"/>
      <c r="H710" s="283"/>
      <c r="I710" s="280"/>
      <c r="J710" s="281"/>
      <c r="K710" s="280"/>
      <c r="L710" s="280"/>
    </row>
    <row r="711" ht="15.75" customHeight="1">
      <c r="A711" s="279"/>
      <c r="B711" s="280"/>
      <c r="C711" s="280"/>
      <c r="D711" s="280"/>
      <c r="E711" s="281"/>
      <c r="F711" s="282"/>
      <c r="G711" s="283"/>
      <c r="H711" s="283"/>
      <c r="I711" s="280"/>
      <c r="J711" s="281"/>
      <c r="K711" s="280"/>
      <c r="L711" s="280"/>
    </row>
    <row r="712" ht="15.75" customHeight="1">
      <c r="A712" s="279"/>
      <c r="B712" s="280"/>
      <c r="C712" s="280"/>
      <c r="D712" s="280"/>
      <c r="E712" s="281"/>
      <c r="F712" s="282"/>
      <c r="G712" s="283"/>
      <c r="H712" s="283"/>
      <c r="I712" s="280"/>
      <c r="J712" s="281"/>
      <c r="K712" s="280"/>
      <c r="L712" s="280"/>
    </row>
    <row r="713" ht="15.75" customHeight="1">
      <c r="A713" s="279"/>
      <c r="B713" s="280"/>
      <c r="C713" s="280"/>
      <c r="D713" s="280"/>
      <c r="E713" s="281"/>
      <c r="F713" s="282"/>
      <c r="G713" s="283"/>
      <c r="H713" s="283"/>
      <c r="I713" s="280"/>
      <c r="J713" s="281"/>
      <c r="K713" s="280"/>
      <c r="L713" s="280"/>
    </row>
    <row r="714" ht="15.75" customHeight="1">
      <c r="A714" s="279"/>
      <c r="B714" s="280"/>
      <c r="C714" s="280"/>
      <c r="D714" s="280"/>
      <c r="E714" s="281"/>
      <c r="F714" s="282"/>
      <c r="G714" s="283"/>
      <c r="H714" s="283"/>
      <c r="I714" s="280"/>
      <c r="J714" s="281"/>
      <c r="K714" s="280"/>
      <c r="L714" s="280"/>
    </row>
    <row r="715" ht="15.75" customHeight="1">
      <c r="A715" s="279"/>
      <c r="B715" s="280"/>
      <c r="C715" s="280"/>
      <c r="D715" s="280"/>
      <c r="E715" s="281"/>
      <c r="F715" s="282"/>
      <c r="G715" s="283"/>
      <c r="H715" s="283"/>
      <c r="I715" s="280"/>
      <c r="J715" s="281"/>
      <c r="K715" s="280"/>
      <c r="L715" s="280"/>
    </row>
    <row r="716" ht="15.75" customHeight="1">
      <c r="A716" s="279"/>
      <c r="B716" s="280"/>
      <c r="C716" s="280"/>
      <c r="D716" s="280"/>
      <c r="E716" s="281"/>
      <c r="F716" s="282"/>
      <c r="G716" s="283"/>
      <c r="H716" s="283"/>
      <c r="I716" s="280"/>
      <c r="J716" s="281"/>
      <c r="K716" s="280"/>
      <c r="L716" s="280"/>
    </row>
    <row r="717" ht="15.75" customHeight="1">
      <c r="A717" s="279"/>
      <c r="B717" s="280"/>
      <c r="C717" s="280"/>
      <c r="D717" s="280"/>
      <c r="E717" s="281"/>
      <c r="F717" s="282"/>
      <c r="G717" s="283"/>
      <c r="H717" s="283"/>
      <c r="I717" s="280"/>
      <c r="J717" s="281"/>
      <c r="K717" s="280"/>
      <c r="L717" s="280"/>
    </row>
    <row r="718" ht="15.75" customHeight="1">
      <c r="A718" s="279"/>
      <c r="B718" s="280"/>
      <c r="C718" s="280"/>
      <c r="D718" s="280"/>
      <c r="E718" s="281"/>
      <c r="F718" s="282"/>
      <c r="G718" s="283"/>
      <c r="H718" s="283"/>
      <c r="I718" s="280"/>
      <c r="J718" s="281"/>
      <c r="K718" s="280"/>
      <c r="L718" s="280"/>
    </row>
    <row r="719" ht="15.75" customHeight="1">
      <c r="A719" s="279"/>
      <c r="B719" s="280"/>
      <c r="C719" s="280"/>
      <c r="D719" s="280"/>
      <c r="E719" s="281"/>
      <c r="F719" s="282"/>
      <c r="G719" s="283"/>
      <c r="H719" s="283"/>
      <c r="I719" s="280"/>
      <c r="J719" s="281"/>
      <c r="K719" s="280"/>
      <c r="L719" s="280"/>
    </row>
    <row r="720" ht="15.75" customHeight="1">
      <c r="A720" s="279"/>
      <c r="B720" s="280"/>
      <c r="C720" s="280"/>
      <c r="D720" s="280"/>
      <c r="E720" s="281"/>
      <c r="F720" s="282"/>
      <c r="G720" s="283"/>
      <c r="H720" s="283"/>
      <c r="I720" s="280"/>
      <c r="J720" s="281"/>
      <c r="K720" s="280"/>
      <c r="L720" s="280"/>
    </row>
    <row r="721" ht="15.75" customHeight="1">
      <c r="A721" s="279"/>
      <c r="B721" s="280"/>
      <c r="C721" s="280"/>
      <c r="D721" s="280"/>
      <c r="E721" s="281"/>
      <c r="F721" s="282"/>
      <c r="G721" s="283"/>
      <c r="H721" s="283"/>
      <c r="I721" s="280"/>
      <c r="J721" s="281"/>
      <c r="K721" s="280"/>
      <c r="L721" s="280"/>
    </row>
    <row r="722" ht="15.75" customHeight="1">
      <c r="A722" s="279"/>
      <c r="B722" s="280"/>
      <c r="C722" s="280"/>
      <c r="D722" s="280"/>
      <c r="E722" s="281"/>
      <c r="F722" s="282"/>
      <c r="G722" s="283"/>
      <c r="H722" s="283"/>
      <c r="I722" s="280"/>
      <c r="J722" s="281"/>
      <c r="K722" s="280"/>
      <c r="L722" s="280"/>
    </row>
    <row r="723" ht="15.75" customHeight="1">
      <c r="A723" s="279"/>
      <c r="B723" s="280"/>
      <c r="C723" s="280"/>
      <c r="D723" s="280"/>
      <c r="E723" s="281"/>
      <c r="F723" s="282"/>
      <c r="G723" s="283"/>
      <c r="H723" s="283"/>
      <c r="I723" s="280"/>
      <c r="J723" s="281"/>
      <c r="K723" s="280"/>
      <c r="L723" s="280"/>
    </row>
    <row r="724" ht="15.75" customHeight="1">
      <c r="A724" s="279"/>
      <c r="B724" s="280"/>
      <c r="C724" s="280"/>
      <c r="D724" s="280"/>
      <c r="E724" s="281"/>
      <c r="F724" s="282"/>
      <c r="G724" s="283"/>
      <c r="H724" s="283"/>
      <c r="I724" s="280"/>
      <c r="J724" s="281"/>
      <c r="K724" s="280"/>
      <c r="L724" s="280"/>
    </row>
    <row r="725" ht="15.75" customHeight="1">
      <c r="A725" s="279"/>
      <c r="B725" s="280"/>
      <c r="C725" s="280"/>
      <c r="D725" s="280"/>
      <c r="E725" s="281"/>
      <c r="F725" s="282"/>
      <c r="G725" s="283"/>
      <c r="H725" s="283"/>
      <c r="I725" s="280"/>
      <c r="J725" s="281"/>
      <c r="K725" s="280"/>
      <c r="L725" s="280"/>
    </row>
    <row r="726" ht="15.75" customHeight="1">
      <c r="A726" s="279"/>
      <c r="B726" s="280"/>
      <c r="C726" s="280"/>
      <c r="D726" s="280"/>
      <c r="E726" s="281"/>
      <c r="F726" s="282"/>
      <c r="G726" s="283"/>
      <c r="H726" s="283"/>
      <c r="I726" s="280"/>
      <c r="J726" s="281"/>
      <c r="K726" s="280"/>
      <c r="L726" s="280"/>
    </row>
    <row r="727" ht="15.75" customHeight="1">
      <c r="A727" s="279"/>
      <c r="B727" s="280"/>
      <c r="C727" s="280"/>
      <c r="D727" s="280"/>
      <c r="E727" s="281"/>
      <c r="F727" s="282"/>
      <c r="G727" s="283"/>
      <c r="H727" s="283"/>
      <c r="I727" s="280"/>
      <c r="J727" s="281"/>
      <c r="K727" s="280"/>
      <c r="L727" s="280"/>
    </row>
    <row r="728" ht="15.75" customHeight="1">
      <c r="A728" s="279"/>
      <c r="B728" s="280"/>
      <c r="C728" s="280"/>
      <c r="D728" s="280"/>
      <c r="E728" s="281"/>
      <c r="F728" s="282"/>
      <c r="G728" s="283"/>
      <c r="H728" s="283"/>
      <c r="I728" s="280"/>
      <c r="J728" s="281"/>
      <c r="K728" s="280"/>
      <c r="L728" s="280"/>
    </row>
    <row r="729" ht="15.75" customHeight="1">
      <c r="A729" s="279"/>
      <c r="B729" s="280"/>
      <c r="C729" s="280"/>
      <c r="D729" s="280"/>
      <c r="E729" s="281"/>
      <c r="F729" s="282"/>
      <c r="G729" s="283"/>
      <c r="H729" s="283"/>
      <c r="I729" s="280"/>
      <c r="J729" s="281"/>
      <c r="K729" s="280"/>
      <c r="L729" s="280"/>
    </row>
    <row r="730" ht="15.75" customHeight="1">
      <c r="A730" s="279"/>
      <c r="B730" s="280"/>
      <c r="C730" s="280"/>
      <c r="D730" s="280"/>
      <c r="E730" s="281"/>
      <c r="F730" s="282"/>
      <c r="G730" s="283"/>
      <c r="H730" s="283"/>
      <c r="I730" s="280"/>
      <c r="J730" s="281"/>
      <c r="K730" s="280"/>
      <c r="L730" s="280"/>
    </row>
    <row r="731" ht="15.75" customHeight="1">
      <c r="A731" s="279"/>
      <c r="B731" s="280"/>
      <c r="C731" s="280"/>
      <c r="D731" s="280"/>
      <c r="E731" s="281"/>
      <c r="F731" s="282"/>
      <c r="G731" s="283"/>
      <c r="H731" s="283"/>
      <c r="I731" s="280"/>
      <c r="J731" s="281"/>
      <c r="K731" s="280"/>
      <c r="L731" s="280"/>
    </row>
    <row r="732" ht="15.75" customHeight="1">
      <c r="A732" s="279"/>
      <c r="B732" s="280"/>
      <c r="C732" s="280"/>
      <c r="D732" s="280"/>
      <c r="E732" s="281"/>
      <c r="F732" s="282"/>
      <c r="G732" s="283"/>
      <c r="H732" s="283"/>
      <c r="I732" s="280"/>
      <c r="J732" s="281"/>
      <c r="K732" s="280"/>
      <c r="L732" s="280"/>
    </row>
    <row r="733" ht="15.75" customHeight="1">
      <c r="A733" s="279"/>
      <c r="B733" s="280"/>
      <c r="C733" s="280"/>
      <c r="D733" s="280"/>
      <c r="E733" s="281"/>
      <c r="F733" s="282"/>
      <c r="G733" s="283"/>
      <c r="H733" s="283"/>
      <c r="I733" s="280"/>
      <c r="J733" s="281"/>
      <c r="K733" s="280"/>
      <c r="L733" s="280"/>
    </row>
    <row r="734" ht="15.75" customHeight="1">
      <c r="A734" s="279"/>
      <c r="B734" s="280"/>
      <c r="C734" s="280"/>
      <c r="D734" s="280"/>
      <c r="E734" s="281"/>
      <c r="F734" s="282"/>
      <c r="G734" s="283"/>
      <c r="H734" s="283"/>
      <c r="I734" s="280"/>
      <c r="J734" s="281"/>
      <c r="K734" s="280"/>
      <c r="L734" s="280"/>
    </row>
    <row r="735" ht="15.75" customHeight="1">
      <c r="A735" s="279"/>
      <c r="B735" s="280"/>
      <c r="C735" s="280"/>
      <c r="D735" s="280"/>
      <c r="E735" s="281"/>
      <c r="F735" s="282"/>
      <c r="G735" s="283"/>
      <c r="H735" s="283"/>
      <c r="I735" s="280"/>
      <c r="J735" s="281"/>
      <c r="K735" s="280"/>
      <c r="L735" s="280"/>
    </row>
    <row r="736" ht="15.75" customHeight="1">
      <c r="A736" s="279"/>
      <c r="B736" s="280"/>
      <c r="C736" s="280"/>
      <c r="D736" s="280"/>
      <c r="E736" s="281"/>
      <c r="F736" s="282"/>
      <c r="G736" s="283"/>
      <c r="H736" s="283"/>
      <c r="I736" s="280"/>
      <c r="J736" s="281"/>
      <c r="K736" s="280"/>
      <c r="L736" s="280"/>
    </row>
    <row r="737" ht="15.75" customHeight="1">
      <c r="A737" s="279"/>
      <c r="B737" s="280"/>
      <c r="C737" s="280"/>
      <c r="D737" s="280"/>
      <c r="E737" s="281"/>
      <c r="F737" s="282"/>
      <c r="G737" s="283"/>
      <c r="H737" s="283"/>
      <c r="I737" s="280"/>
      <c r="J737" s="281"/>
      <c r="K737" s="280"/>
      <c r="L737" s="280"/>
    </row>
    <row r="738" ht="15.75" customHeight="1">
      <c r="A738" s="279"/>
      <c r="B738" s="280"/>
      <c r="C738" s="280"/>
      <c r="D738" s="280"/>
      <c r="E738" s="281"/>
      <c r="F738" s="282"/>
      <c r="G738" s="283"/>
      <c r="H738" s="283"/>
      <c r="I738" s="280"/>
      <c r="J738" s="281"/>
      <c r="K738" s="280"/>
      <c r="L738" s="280"/>
    </row>
    <row r="739" ht="15.75" customHeight="1">
      <c r="A739" s="279"/>
      <c r="B739" s="280"/>
      <c r="C739" s="280"/>
      <c r="D739" s="280"/>
      <c r="E739" s="281"/>
      <c r="F739" s="282"/>
      <c r="G739" s="283"/>
      <c r="H739" s="283"/>
      <c r="I739" s="280"/>
      <c r="J739" s="281"/>
      <c r="K739" s="280"/>
      <c r="L739" s="280"/>
    </row>
    <row r="740" ht="15.75" customHeight="1">
      <c r="A740" s="279"/>
      <c r="B740" s="280"/>
      <c r="C740" s="280"/>
      <c r="D740" s="280"/>
      <c r="E740" s="281"/>
      <c r="F740" s="282"/>
      <c r="G740" s="283"/>
      <c r="H740" s="283"/>
      <c r="I740" s="280"/>
      <c r="J740" s="281"/>
      <c r="K740" s="280"/>
      <c r="L740" s="280"/>
    </row>
    <row r="741" ht="15.75" customHeight="1">
      <c r="A741" s="279"/>
      <c r="B741" s="280"/>
      <c r="C741" s="280"/>
      <c r="D741" s="280"/>
      <c r="E741" s="281"/>
      <c r="F741" s="282"/>
      <c r="G741" s="283"/>
      <c r="H741" s="283"/>
      <c r="I741" s="280"/>
      <c r="J741" s="281"/>
      <c r="K741" s="280"/>
      <c r="L741" s="280"/>
    </row>
    <row r="742" ht="15.75" customHeight="1">
      <c r="A742" s="279"/>
      <c r="B742" s="280"/>
      <c r="C742" s="280"/>
      <c r="D742" s="280"/>
      <c r="E742" s="281"/>
      <c r="F742" s="282"/>
      <c r="G742" s="283"/>
      <c r="H742" s="283"/>
      <c r="I742" s="280"/>
      <c r="J742" s="281"/>
      <c r="K742" s="280"/>
      <c r="L742" s="280"/>
    </row>
    <row r="743" ht="15.75" customHeight="1">
      <c r="A743" s="279"/>
      <c r="B743" s="280"/>
      <c r="C743" s="280"/>
      <c r="D743" s="280"/>
      <c r="E743" s="281"/>
      <c r="F743" s="282"/>
      <c r="G743" s="283"/>
      <c r="H743" s="283"/>
      <c r="I743" s="280"/>
      <c r="J743" s="281"/>
      <c r="K743" s="280"/>
      <c r="L743" s="280"/>
    </row>
    <row r="744" ht="15.75" customHeight="1">
      <c r="A744" s="279"/>
      <c r="B744" s="280"/>
      <c r="C744" s="280"/>
      <c r="D744" s="280"/>
      <c r="E744" s="281"/>
      <c r="F744" s="282"/>
      <c r="G744" s="283"/>
      <c r="H744" s="283"/>
      <c r="I744" s="280"/>
      <c r="J744" s="281"/>
      <c r="K744" s="280"/>
      <c r="L744" s="280"/>
    </row>
    <row r="745" ht="15.75" customHeight="1">
      <c r="A745" s="279"/>
      <c r="B745" s="280"/>
      <c r="C745" s="280"/>
      <c r="D745" s="280"/>
      <c r="E745" s="281"/>
      <c r="F745" s="282"/>
      <c r="G745" s="283"/>
      <c r="H745" s="283"/>
      <c r="I745" s="280"/>
      <c r="J745" s="281"/>
      <c r="K745" s="280"/>
      <c r="L745" s="280"/>
    </row>
    <row r="746" ht="15.75" customHeight="1">
      <c r="A746" s="279"/>
      <c r="B746" s="280"/>
      <c r="C746" s="280"/>
      <c r="D746" s="280"/>
      <c r="E746" s="281"/>
      <c r="F746" s="282"/>
      <c r="G746" s="283"/>
      <c r="H746" s="283"/>
      <c r="I746" s="280"/>
      <c r="J746" s="281"/>
      <c r="K746" s="280"/>
      <c r="L746" s="280"/>
    </row>
    <row r="747" ht="15.75" customHeight="1">
      <c r="A747" s="279"/>
      <c r="B747" s="280"/>
      <c r="C747" s="280"/>
      <c r="D747" s="280"/>
      <c r="E747" s="281"/>
      <c r="F747" s="282"/>
      <c r="G747" s="283"/>
      <c r="H747" s="283"/>
      <c r="I747" s="280"/>
      <c r="J747" s="281"/>
      <c r="K747" s="280"/>
      <c r="L747" s="280"/>
    </row>
    <row r="748" ht="15.75" customHeight="1">
      <c r="A748" s="279"/>
      <c r="B748" s="280"/>
      <c r="C748" s="280"/>
      <c r="D748" s="280"/>
      <c r="E748" s="281"/>
      <c r="F748" s="282"/>
      <c r="G748" s="283"/>
      <c r="H748" s="283"/>
      <c r="I748" s="280"/>
      <c r="J748" s="281"/>
      <c r="K748" s="280"/>
      <c r="L748" s="280"/>
    </row>
    <row r="749" ht="15.75" customHeight="1">
      <c r="A749" s="279"/>
      <c r="B749" s="280"/>
      <c r="C749" s="280"/>
      <c r="D749" s="280"/>
      <c r="E749" s="281"/>
      <c r="F749" s="282"/>
      <c r="G749" s="283"/>
      <c r="H749" s="283"/>
      <c r="I749" s="280"/>
      <c r="J749" s="281"/>
      <c r="K749" s="280"/>
      <c r="L749" s="280"/>
    </row>
    <row r="750" ht="15.75" customHeight="1">
      <c r="A750" s="279"/>
      <c r="B750" s="280"/>
      <c r="C750" s="280"/>
      <c r="D750" s="280"/>
      <c r="E750" s="281"/>
      <c r="F750" s="282"/>
      <c r="G750" s="283"/>
      <c r="H750" s="283"/>
      <c r="I750" s="280"/>
      <c r="J750" s="281"/>
      <c r="K750" s="280"/>
      <c r="L750" s="280"/>
    </row>
    <row r="751" ht="15.75" customHeight="1">
      <c r="A751" s="279"/>
      <c r="B751" s="280"/>
      <c r="C751" s="280"/>
      <c r="D751" s="280"/>
      <c r="E751" s="281"/>
      <c r="F751" s="282"/>
      <c r="G751" s="283"/>
      <c r="H751" s="283"/>
      <c r="I751" s="280"/>
      <c r="J751" s="281"/>
      <c r="K751" s="280"/>
      <c r="L751" s="280"/>
    </row>
    <row r="752" ht="15.75" customHeight="1">
      <c r="A752" s="279"/>
      <c r="B752" s="280"/>
      <c r="C752" s="280"/>
      <c r="D752" s="280"/>
      <c r="E752" s="281"/>
      <c r="F752" s="282"/>
      <c r="G752" s="283"/>
      <c r="H752" s="283"/>
      <c r="I752" s="280"/>
      <c r="J752" s="281"/>
      <c r="K752" s="280"/>
      <c r="L752" s="280"/>
    </row>
    <row r="753" ht="15.75" customHeight="1">
      <c r="A753" s="279"/>
      <c r="B753" s="280"/>
      <c r="C753" s="280"/>
      <c r="D753" s="280"/>
      <c r="E753" s="281"/>
      <c r="F753" s="282"/>
      <c r="G753" s="283"/>
      <c r="H753" s="283"/>
      <c r="I753" s="280"/>
      <c r="J753" s="281"/>
      <c r="K753" s="280"/>
      <c r="L753" s="280"/>
    </row>
    <row r="754" ht="15.75" customHeight="1">
      <c r="A754" s="279"/>
      <c r="B754" s="280"/>
      <c r="C754" s="280"/>
      <c r="D754" s="280"/>
      <c r="E754" s="281"/>
      <c r="F754" s="282"/>
      <c r="G754" s="283"/>
      <c r="H754" s="283"/>
      <c r="I754" s="280"/>
      <c r="J754" s="281"/>
      <c r="K754" s="280"/>
      <c r="L754" s="280"/>
    </row>
    <row r="755" ht="15.75" customHeight="1">
      <c r="A755" s="279"/>
      <c r="B755" s="280"/>
      <c r="C755" s="280"/>
      <c r="D755" s="280"/>
      <c r="E755" s="281"/>
      <c r="F755" s="282"/>
      <c r="G755" s="283"/>
      <c r="H755" s="283"/>
      <c r="I755" s="280"/>
      <c r="J755" s="281"/>
      <c r="K755" s="280"/>
      <c r="L755" s="280"/>
    </row>
    <row r="756" ht="15.75" customHeight="1">
      <c r="A756" s="279"/>
      <c r="B756" s="280"/>
      <c r="C756" s="280"/>
      <c r="D756" s="280"/>
      <c r="E756" s="281"/>
      <c r="F756" s="282"/>
      <c r="G756" s="283"/>
      <c r="H756" s="283"/>
      <c r="I756" s="280"/>
      <c r="J756" s="281"/>
      <c r="K756" s="280"/>
      <c r="L756" s="280"/>
    </row>
    <row r="757" ht="15.75" customHeight="1">
      <c r="A757" s="279"/>
      <c r="B757" s="280"/>
      <c r="C757" s="280"/>
      <c r="D757" s="280"/>
      <c r="E757" s="281"/>
      <c r="F757" s="282"/>
      <c r="G757" s="283"/>
      <c r="H757" s="283"/>
      <c r="I757" s="280"/>
      <c r="J757" s="281"/>
      <c r="K757" s="280"/>
      <c r="L757" s="280"/>
    </row>
    <row r="758" ht="15.75" customHeight="1">
      <c r="A758" s="279"/>
      <c r="B758" s="280"/>
      <c r="C758" s="280"/>
      <c r="D758" s="280"/>
      <c r="E758" s="281"/>
      <c r="F758" s="282"/>
      <c r="G758" s="283"/>
      <c r="H758" s="283"/>
      <c r="I758" s="280"/>
      <c r="J758" s="281"/>
      <c r="K758" s="280"/>
      <c r="L758" s="280"/>
    </row>
    <row r="759" ht="15.75" customHeight="1">
      <c r="A759" s="279"/>
      <c r="B759" s="280"/>
      <c r="C759" s="280"/>
      <c r="D759" s="280"/>
      <c r="E759" s="281"/>
      <c r="F759" s="282"/>
      <c r="G759" s="283"/>
      <c r="H759" s="283"/>
      <c r="I759" s="280"/>
      <c r="J759" s="281"/>
      <c r="K759" s="280"/>
      <c r="L759" s="280"/>
    </row>
    <row r="760" ht="15.75" customHeight="1">
      <c r="A760" s="279"/>
      <c r="B760" s="280"/>
      <c r="C760" s="280"/>
      <c r="D760" s="280"/>
      <c r="E760" s="281"/>
      <c r="F760" s="282"/>
      <c r="G760" s="283"/>
      <c r="H760" s="283"/>
      <c r="I760" s="280"/>
      <c r="J760" s="281"/>
      <c r="K760" s="280"/>
      <c r="L760" s="280"/>
    </row>
    <row r="761" ht="15.75" customHeight="1">
      <c r="A761" s="279"/>
      <c r="B761" s="280"/>
      <c r="C761" s="280"/>
      <c r="D761" s="280"/>
      <c r="E761" s="281"/>
      <c r="F761" s="282"/>
      <c r="G761" s="283"/>
      <c r="H761" s="283"/>
      <c r="I761" s="280"/>
      <c r="J761" s="281"/>
      <c r="K761" s="280"/>
      <c r="L761" s="280"/>
    </row>
    <row r="762" ht="15.75" customHeight="1">
      <c r="A762" s="279"/>
      <c r="B762" s="280"/>
      <c r="C762" s="280"/>
      <c r="D762" s="280"/>
      <c r="E762" s="281"/>
      <c r="F762" s="282"/>
      <c r="G762" s="283"/>
      <c r="H762" s="283"/>
      <c r="I762" s="280"/>
      <c r="J762" s="281"/>
      <c r="K762" s="280"/>
      <c r="L762" s="280"/>
    </row>
    <row r="763" ht="15.75" customHeight="1">
      <c r="A763" s="279"/>
      <c r="B763" s="280"/>
      <c r="C763" s="280"/>
      <c r="D763" s="280"/>
      <c r="E763" s="281"/>
      <c r="F763" s="282"/>
      <c r="G763" s="283"/>
      <c r="H763" s="283"/>
      <c r="I763" s="280"/>
      <c r="J763" s="281"/>
      <c r="K763" s="280"/>
      <c r="L763" s="280"/>
    </row>
    <row r="764" ht="15.75" customHeight="1">
      <c r="A764" s="279"/>
      <c r="B764" s="280"/>
      <c r="C764" s="280"/>
      <c r="D764" s="280"/>
      <c r="E764" s="281"/>
      <c r="F764" s="282"/>
      <c r="G764" s="283"/>
      <c r="H764" s="283"/>
      <c r="I764" s="280"/>
      <c r="J764" s="281"/>
      <c r="K764" s="280"/>
      <c r="L764" s="280"/>
    </row>
    <row r="765" ht="15.75" customHeight="1">
      <c r="A765" s="279"/>
      <c r="B765" s="280"/>
      <c r="C765" s="280"/>
      <c r="D765" s="280"/>
      <c r="E765" s="281"/>
      <c r="F765" s="282"/>
      <c r="G765" s="283"/>
      <c r="H765" s="283"/>
      <c r="I765" s="280"/>
      <c r="J765" s="281"/>
      <c r="K765" s="280"/>
      <c r="L765" s="280"/>
    </row>
    <row r="766" ht="15.75" customHeight="1">
      <c r="A766" s="279"/>
      <c r="B766" s="280"/>
      <c r="C766" s="280"/>
      <c r="D766" s="280"/>
      <c r="E766" s="281"/>
      <c r="F766" s="282"/>
      <c r="G766" s="283"/>
      <c r="H766" s="283"/>
      <c r="I766" s="280"/>
      <c r="J766" s="281"/>
      <c r="K766" s="280"/>
      <c r="L766" s="280"/>
    </row>
    <row r="767" ht="15.75" customHeight="1">
      <c r="A767" s="279"/>
      <c r="B767" s="280"/>
      <c r="C767" s="280"/>
      <c r="D767" s="280"/>
      <c r="E767" s="281"/>
      <c r="F767" s="282"/>
      <c r="G767" s="283"/>
      <c r="H767" s="283"/>
      <c r="I767" s="280"/>
      <c r="J767" s="281"/>
      <c r="K767" s="280"/>
      <c r="L767" s="280"/>
    </row>
    <row r="768" ht="15.75" customHeight="1">
      <c r="A768" s="279"/>
      <c r="B768" s="280"/>
      <c r="C768" s="280"/>
      <c r="D768" s="280"/>
      <c r="E768" s="281"/>
      <c r="F768" s="282"/>
      <c r="G768" s="283"/>
      <c r="H768" s="283"/>
      <c r="I768" s="280"/>
      <c r="J768" s="281"/>
      <c r="K768" s="280"/>
      <c r="L768" s="280"/>
    </row>
    <row r="769" ht="15.75" customHeight="1">
      <c r="A769" s="279"/>
      <c r="B769" s="280"/>
      <c r="C769" s="280"/>
      <c r="D769" s="280"/>
      <c r="E769" s="281"/>
      <c r="F769" s="282"/>
      <c r="G769" s="283"/>
      <c r="H769" s="283"/>
      <c r="I769" s="280"/>
      <c r="J769" s="281"/>
      <c r="K769" s="280"/>
      <c r="L769" s="280"/>
    </row>
    <row r="770" ht="15.75" customHeight="1">
      <c r="A770" s="279"/>
      <c r="B770" s="280"/>
      <c r="C770" s="280"/>
      <c r="D770" s="280"/>
      <c r="E770" s="281"/>
      <c r="F770" s="282"/>
      <c r="G770" s="283"/>
      <c r="H770" s="283"/>
      <c r="I770" s="280"/>
      <c r="J770" s="281"/>
      <c r="K770" s="280"/>
      <c r="L770" s="280"/>
    </row>
    <row r="771" ht="15.75" customHeight="1">
      <c r="A771" s="279"/>
      <c r="B771" s="280"/>
      <c r="C771" s="280"/>
      <c r="D771" s="280"/>
      <c r="E771" s="281"/>
      <c r="F771" s="282"/>
      <c r="G771" s="283"/>
      <c r="H771" s="283"/>
      <c r="I771" s="280"/>
      <c r="J771" s="281"/>
      <c r="K771" s="280"/>
      <c r="L771" s="280"/>
    </row>
    <row r="772" ht="15.75" customHeight="1">
      <c r="A772" s="279"/>
      <c r="B772" s="280"/>
      <c r="C772" s="280"/>
      <c r="D772" s="280"/>
      <c r="E772" s="281"/>
      <c r="F772" s="282"/>
      <c r="G772" s="283"/>
      <c r="H772" s="283"/>
      <c r="I772" s="280"/>
      <c r="J772" s="281"/>
      <c r="K772" s="280"/>
      <c r="L772" s="280"/>
    </row>
    <row r="773" ht="15.75" customHeight="1">
      <c r="A773" s="279"/>
      <c r="B773" s="280"/>
      <c r="C773" s="280"/>
      <c r="D773" s="280"/>
      <c r="E773" s="281"/>
      <c r="F773" s="282"/>
      <c r="G773" s="283"/>
      <c r="H773" s="283"/>
      <c r="I773" s="280"/>
      <c r="J773" s="281"/>
      <c r="K773" s="280"/>
      <c r="L773" s="280"/>
    </row>
    <row r="774" ht="15.75" customHeight="1">
      <c r="A774" s="279"/>
      <c r="B774" s="280"/>
      <c r="C774" s="280"/>
      <c r="D774" s="280"/>
      <c r="E774" s="281"/>
      <c r="F774" s="282"/>
      <c r="G774" s="283"/>
      <c r="H774" s="283"/>
      <c r="I774" s="280"/>
      <c r="J774" s="281"/>
      <c r="K774" s="280"/>
      <c r="L774" s="280"/>
    </row>
    <row r="775" ht="15.75" customHeight="1">
      <c r="A775" s="279"/>
      <c r="B775" s="280"/>
      <c r="C775" s="280"/>
      <c r="D775" s="280"/>
      <c r="E775" s="281"/>
      <c r="F775" s="282"/>
      <c r="G775" s="283"/>
      <c r="H775" s="283"/>
      <c r="I775" s="280"/>
      <c r="J775" s="281"/>
      <c r="K775" s="280"/>
      <c r="L775" s="280"/>
    </row>
    <row r="776" ht="15.75" customHeight="1">
      <c r="A776" s="279"/>
      <c r="B776" s="280"/>
      <c r="C776" s="280"/>
      <c r="D776" s="280"/>
      <c r="E776" s="281"/>
      <c r="F776" s="282"/>
      <c r="G776" s="283"/>
      <c r="H776" s="283"/>
      <c r="I776" s="280"/>
      <c r="J776" s="281"/>
      <c r="K776" s="280"/>
      <c r="L776" s="280"/>
    </row>
    <row r="777" ht="15.75" customHeight="1">
      <c r="A777" s="279"/>
      <c r="B777" s="280"/>
      <c r="C777" s="280"/>
      <c r="D777" s="280"/>
      <c r="E777" s="281"/>
      <c r="F777" s="282"/>
      <c r="G777" s="283"/>
      <c r="H777" s="283"/>
      <c r="I777" s="280"/>
      <c r="J777" s="281"/>
      <c r="K777" s="280"/>
      <c r="L777" s="280"/>
    </row>
    <row r="778" ht="15.75" customHeight="1">
      <c r="A778" s="279"/>
      <c r="B778" s="280"/>
      <c r="C778" s="280"/>
      <c r="D778" s="280"/>
      <c r="E778" s="281"/>
      <c r="F778" s="282"/>
      <c r="G778" s="283"/>
      <c r="H778" s="283"/>
      <c r="I778" s="280"/>
      <c r="J778" s="281"/>
      <c r="K778" s="280"/>
      <c r="L778" s="280"/>
    </row>
    <row r="779" ht="15.75" customHeight="1">
      <c r="A779" s="279"/>
      <c r="B779" s="280"/>
      <c r="C779" s="280"/>
      <c r="D779" s="280"/>
      <c r="E779" s="281"/>
      <c r="F779" s="282"/>
      <c r="G779" s="283"/>
      <c r="H779" s="283"/>
      <c r="I779" s="280"/>
      <c r="J779" s="281"/>
      <c r="K779" s="280"/>
      <c r="L779" s="280"/>
    </row>
    <row r="780" ht="15.75" customHeight="1">
      <c r="A780" s="279"/>
      <c r="B780" s="280"/>
      <c r="C780" s="280"/>
      <c r="D780" s="280"/>
      <c r="E780" s="281"/>
      <c r="F780" s="282"/>
      <c r="G780" s="283"/>
      <c r="H780" s="283"/>
      <c r="I780" s="280"/>
      <c r="J780" s="281"/>
      <c r="K780" s="280"/>
      <c r="L780" s="280"/>
    </row>
    <row r="781" ht="15.75" customHeight="1">
      <c r="A781" s="279"/>
      <c r="B781" s="280"/>
      <c r="C781" s="280"/>
      <c r="D781" s="280"/>
      <c r="E781" s="281"/>
      <c r="F781" s="282"/>
      <c r="G781" s="283"/>
      <c r="H781" s="283"/>
      <c r="I781" s="280"/>
      <c r="J781" s="281"/>
      <c r="K781" s="280"/>
      <c r="L781" s="280"/>
    </row>
    <row r="782" ht="15.75" customHeight="1">
      <c r="A782" s="279"/>
      <c r="B782" s="280"/>
      <c r="C782" s="280"/>
      <c r="D782" s="280"/>
      <c r="E782" s="281"/>
      <c r="F782" s="282"/>
      <c r="G782" s="283"/>
      <c r="H782" s="283"/>
      <c r="I782" s="280"/>
      <c r="J782" s="281"/>
      <c r="K782" s="280"/>
      <c r="L782" s="280"/>
    </row>
    <row r="783" ht="15.75" customHeight="1">
      <c r="A783" s="279"/>
      <c r="B783" s="280"/>
      <c r="C783" s="280"/>
      <c r="D783" s="280"/>
      <c r="E783" s="281"/>
      <c r="F783" s="282"/>
      <c r="G783" s="283"/>
      <c r="H783" s="283"/>
      <c r="I783" s="280"/>
      <c r="J783" s="281"/>
      <c r="K783" s="280"/>
      <c r="L783" s="280"/>
    </row>
    <row r="784" ht="15.75" customHeight="1">
      <c r="A784" s="279"/>
      <c r="B784" s="280"/>
      <c r="C784" s="280"/>
      <c r="D784" s="280"/>
      <c r="E784" s="281"/>
      <c r="F784" s="282"/>
      <c r="G784" s="283"/>
      <c r="H784" s="283"/>
      <c r="I784" s="280"/>
      <c r="J784" s="281"/>
      <c r="K784" s="280"/>
      <c r="L784" s="280"/>
    </row>
    <row r="785" ht="15.75" customHeight="1">
      <c r="A785" s="279"/>
      <c r="B785" s="280"/>
      <c r="C785" s="280"/>
      <c r="D785" s="280"/>
      <c r="E785" s="281"/>
      <c r="F785" s="282"/>
      <c r="G785" s="283"/>
      <c r="H785" s="283"/>
      <c r="I785" s="280"/>
      <c r="J785" s="281"/>
      <c r="K785" s="280"/>
      <c r="L785" s="280"/>
    </row>
    <row r="786" ht="15.75" customHeight="1">
      <c r="A786" s="279"/>
      <c r="B786" s="280"/>
      <c r="C786" s="280"/>
      <c r="D786" s="280"/>
      <c r="E786" s="281"/>
      <c r="F786" s="282"/>
      <c r="G786" s="283"/>
      <c r="H786" s="283"/>
      <c r="I786" s="280"/>
      <c r="J786" s="281"/>
      <c r="K786" s="280"/>
      <c r="L786" s="280"/>
    </row>
    <row r="787" ht="15.75" customHeight="1">
      <c r="A787" s="279"/>
      <c r="B787" s="280"/>
      <c r="C787" s="280"/>
      <c r="D787" s="280"/>
      <c r="E787" s="281"/>
      <c r="F787" s="282"/>
      <c r="G787" s="283"/>
      <c r="H787" s="283"/>
      <c r="I787" s="280"/>
      <c r="J787" s="281"/>
      <c r="K787" s="280"/>
      <c r="L787" s="280"/>
    </row>
    <row r="788" ht="15.75" customHeight="1">
      <c r="A788" s="279"/>
      <c r="B788" s="280"/>
      <c r="C788" s="280"/>
      <c r="D788" s="280"/>
      <c r="E788" s="281"/>
      <c r="F788" s="282"/>
      <c r="G788" s="283"/>
      <c r="H788" s="283"/>
      <c r="I788" s="280"/>
      <c r="J788" s="281"/>
      <c r="K788" s="280"/>
      <c r="L788" s="280"/>
    </row>
    <row r="789" ht="15.75" customHeight="1">
      <c r="A789" s="279"/>
      <c r="B789" s="280"/>
      <c r="C789" s="280"/>
      <c r="D789" s="280"/>
      <c r="E789" s="281"/>
      <c r="F789" s="282"/>
      <c r="G789" s="283"/>
      <c r="H789" s="283"/>
      <c r="I789" s="280"/>
      <c r="J789" s="281"/>
      <c r="K789" s="280"/>
      <c r="L789" s="280"/>
    </row>
    <row r="790" ht="15.75" customHeight="1">
      <c r="A790" s="279"/>
      <c r="B790" s="280"/>
      <c r="C790" s="280"/>
      <c r="D790" s="280"/>
      <c r="E790" s="281"/>
      <c r="F790" s="282"/>
      <c r="G790" s="283"/>
      <c r="H790" s="283"/>
      <c r="I790" s="280"/>
      <c r="J790" s="281"/>
      <c r="K790" s="280"/>
      <c r="L790" s="280"/>
    </row>
    <row r="791" ht="15.75" customHeight="1">
      <c r="A791" s="279"/>
      <c r="B791" s="280"/>
      <c r="C791" s="280"/>
      <c r="D791" s="280"/>
      <c r="E791" s="281"/>
      <c r="F791" s="282"/>
      <c r="G791" s="283"/>
      <c r="H791" s="283"/>
      <c r="I791" s="280"/>
      <c r="J791" s="281"/>
      <c r="K791" s="280"/>
      <c r="L791" s="280"/>
    </row>
    <row r="792" ht="15.75" customHeight="1">
      <c r="A792" s="279"/>
      <c r="B792" s="280"/>
      <c r="C792" s="280"/>
      <c r="D792" s="280"/>
      <c r="E792" s="281"/>
      <c r="F792" s="282"/>
      <c r="G792" s="283"/>
      <c r="H792" s="283"/>
      <c r="I792" s="280"/>
      <c r="J792" s="281"/>
      <c r="K792" s="280"/>
      <c r="L792" s="280"/>
    </row>
    <row r="793" ht="15.75" customHeight="1">
      <c r="A793" s="279"/>
      <c r="B793" s="280"/>
      <c r="C793" s="280"/>
      <c r="D793" s="280"/>
      <c r="E793" s="281"/>
      <c r="F793" s="282"/>
      <c r="G793" s="283"/>
      <c r="H793" s="283"/>
      <c r="I793" s="280"/>
      <c r="J793" s="281"/>
      <c r="K793" s="280"/>
      <c r="L793" s="280"/>
    </row>
    <row r="794" ht="15.75" customHeight="1">
      <c r="A794" s="279"/>
      <c r="B794" s="280"/>
      <c r="C794" s="280"/>
      <c r="D794" s="280"/>
      <c r="E794" s="281"/>
      <c r="F794" s="282"/>
      <c r="G794" s="283"/>
      <c r="H794" s="283"/>
      <c r="I794" s="280"/>
      <c r="J794" s="281"/>
      <c r="K794" s="280"/>
      <c r="L794" s="280"/>
    </row>
    <row r="795" ht="15.75" customHeight="1">
      <c r="A795" s="279"/>
      <c r="B795" s="280"/>
      <c r="C795" s="280"/>
      <c r="D795" s="280"/>
      <c r="E795" s="281"/>
      <c r="F795" s="282"/>
      <c r="G795" s="283"/>
      <c r="H795" s="283"/>
      <c r="I795" s="280"/>
      <c r="J795" s="281"/>
      <c r="K795" s="280"/>
      <c r="L795" s="280"/>
    </row>
    <row r="796" ht="15.75" customHeight="1">
      <c r="A796" s="279"/>
      <c r="B796" s="280"/>
      <c r="C796" s="280"/>
      <c r="D796" s="280"/>
      <c r="E796" s="281"/>
      <c r="F796" s="282"/>
      <c r="G796" s="283"/>
      <c r="H796" s="283"/>
      <c r="I796" s="280"/>
      <c r="J796" s="281"/>
      <c r="K796" s="280"/>
      <c r="L796" s="280"/>
    </row>
    <row r="797" ht="15.75" customHeight="1">
      <c r="A797" s="279"/>
      <c r="B797" s="280"/>
      <c r="C797" s="280"/>
      <c r="D797" s="280"/>
      <c r="E797" s="281"/>
      <c r="F797" s="282"/>
      <c r="G797" s="283"/>
      <c r="H797" s="283"/>
      <c r="I797" s="280"/>
      <c r="J797" s="281"/>
      <c r="K797" s="280"/>
      <c r="L797" s="280"/>
    </row>
    <row r="798" ht="15.75" customHeight="1">
      <c r="A798" s="279"/>
      <c r="B798" s="280"/>
      <c r="C798" s="280"/>
      <c r="D798" s="280"/>
      <c r="E798" s="281"/>
      <c r="F798" s="282"/>
      <c r="G798" s="283"/>
      <c r="H798" s="283"/>
      <c r="I798" s="280"/>
      <c r="J798" s="281"/>
      <c r="K798" s="280"/>
      <c r="L798" s="280"/>
    </row>
    <row r="799" ht="15.75" customHeight="1">
      <c r="A799" s="279"/>
      <c r="B799" s="280"/>
      <c r="C799" s="280"/>
      <c r="D799" s="280"/>
      <c r="E799" s="281"/>
      <c r="F799" s="282"/>
      <c r="G799" s="283"/>
      <c r="H799" s="283"/>
      <c r="I799" s="280"/>
      <c r="J799" s="281"/>
      <c r="K799" s="280"/>
      <c r="L799" s="280"/>
    </row>
    <row r="800" ht="15.75" customHeight="1">
      <c r="A800" s="279"/>
      <c r="B800" s="280"/>
      <c r="C800" s="280"/>
      <c r="D800" s="280"/>
      <c r="E800" s="281"/>
      <c r="F800" s="282"/>
      <c r="G800" s="283"/>
      <c r="H800" s="283"/>
      <c r="I800" s="280"/>
      <c r="J800" s="281"/>
      <c r="K800" s="280"/>
      <c r="L800" s="280"/>
    </row>
    <row r="801" ht="15.75" customHeight="1">
      <c r="A801" s="279"/>
      <c r="B801" s="280"/>
      <c r="C801" s="280"/>
      <c r="D801" s="280"/>
      <c r="E801" s="281"/>
      <c r="F801" s="282"/>
      <c r="G801" s="283"/>
      <c r="H801" s="283"/>
      <c r="I801" s="280"/>
      <c r="J801" s="281"/>
      <c r="K801" s="280"/>
      <c r="L801" s="280"/>
    </row>
    <row r="802" ht="15.75" customHeight="1">
      <c r="A802" s="279"/>
      <c r="B802" s="280"/>
      <c r="C802" s="280"/>
      <c r="D802" s="280"/>
      <c r="E802" s="281"/>
      <c r="F802" s="282"/>
      <c r="G802" s="283"/>
      <c r="H802" s="283"/>
      <c r="I802" s="280"/>
      <c r="J802" s="281"/>
      <c r="K802" s="280"/>
      <c r="L802" s="280"/>
    </row>
    <row r="803" ht="15.75" customHeight="1">
      <c r="A803" s="279"/>
      <c r="B803" s="280"/>
      <c r="C803" s="280"/>
      <c r="D803" s="280"/>
      <c r="E803" s="281"/>
      <c r="F803" s="282"/>
      <c r="G803" s="283"/>
      <c r="H803" s="283"/>
      <c r="I803" s="280"/>
      <c r="J803" s="281"/>
      <c r="K803" s="280"/>
      <c r="L803" s="280"/>
    </row>
    <row r="804" ht="15.75" customHeight="1">
      <c r="A804" s="279"/>
      <c r="B804" s="280"/>
      <c r="C804" s="280"/>
      <c r="D804" s="280"/>
      <c r="E804" s="281"/>
      <c r="F804" s="282"/>
      <c r="G804" s="283"/>
      <c r="H804" s="283"/>
      <c r="I804" s="280"/>
      <c r="J804" s="281"/>
      <c r="K804" s="280"/>
      <c r="L804" s="280"/>
    </row>
    <row r="805" ht="15.75" customHeight="1">
      <c r="A805" s="279"/>
      <c r="B805" s="280"/>
      <c r="C805" s="280"/>
      <c r="D805" s="280"/>
      <c r="E805" s="281"/>
      <c r="F805" s="282"/>
      <c r="G805" s="283"/>
      <c r="H805" s="283"/>
      <c r="I805" s="280"/>
      <c r="J805" s="281"/>
      <c r="K805" s="280"/>
      <c r="L805" s="280"/>
    </row>
    <row r="806" ht="15.75" customHeight="1">
      <c r="A806" s="279"/>
      <c r="B806" s="280"/>
      <c r="C806" s="280"/>
      <c r="D806" s="280"/>
      <c r="E806" s="281"/>
      <c r="F806" s="282"/>
      <c r="G806" s="283"/>
      <c r="H806" s="283"/>
      <c r="I806" s="280"/>
      <c r="J806" s="281"/>
      <c r="K806" s="280"/>
      <c r="L806" s="280"/>
    </row>
    <row r="807" ht="15.75" customHeight="1">
      <c r="A807" s="279"/>
      <c r="B807" s="280"/>
      <c r="C807" s="280"/>
      <c r="D807" s="280"/>
      <c r="E807" s="281"/>
      <c r="F807" s="282"/>
      <c r="G807" s="283"/>
      <c r="H807" s="283"/>
      <c r="I807" s="280"/>
      <c r="J807" s="281"/>
      <c r="K807" s="280"/>
      <c r="L807" s="280"/>
    </row>
    <row r="808" ht="15.75" customHeight="1">
      <c r="A808" s="279"/>
      <c r="B808" s="280"/>
      <c r="C808" s="280"/>
      <c r="D808" s="280"/>
      <c r="E808" s="281"/>
      <c r="F808" s="282"/>
      <c r="G808" s="283"/>
      <c r="H808" s="283"/>
      <c r="I808" s="280"/>
      <c r="J808" s="281"/>
      <c r="K808" s="280"/>
      <c r="L808" s="280"/>
    </row>
    <row r="809" ht="15.75" customHeight="1">
      <c r="A809" s="279"/>
      <c r="B809" s="280"/>
      <c r="C809" s="280"/>
      <c r="D809" s="280"/>
      <c r="E809" s="281"/>
      <c r="F809" s="282"/>
      <c r="G809" s="283"/>
      <c r="H809" s="283"/>
      <c r="I809" s="280"/>
      <c r="J809" s="281"/>
      <c r="K809" s="280"/>
      <c r="L809" s="280"/>
    </row>
    <row r="810" ht="15.75" customHeight="1">
      <c r="A810" s="279"/>
      <c r="B810" s="280"/>
      <c r="C810" s="280"/>
      <c r="D810" s="280"/>
      <c r="E810" s="281"/>
      <c r="F810" s="282"/>
      <c r="G810" s="283"/>
      <c r="H810" s="283"/>
      <c r="I810" s="280"/>
      <c r="J810" s="281"/>
      <c r="K810" s="280"/>
      <c r="L810" s="280"/>
    </row>
    <row r="811" ht="15.75" customHeight="1">
      <c r="A811" s="279"/>
      <c r="B811" s="280"/>
      <c r="C811" s="280"/>
      <c r="D811" s="280"/>
      <c r="E811" s="281"/>
      <c r="F811" s="282"/>
      <c r="G811" s="283"/>
      <c r="H811" s="283"/>
      <c r="I811" s="280"/>
      <c r="J811" s="281"/>
      <c r="K811" s="280"/>
      <c r="L811" s="280"/>
    </row>
    <row r="812" ht="15.75" customHeight="1">
      <c r="A812" s="279"/>
      <c r="B812" s="280"/>
      <c r="C812" s="280"/>
      <c r="D812" s="280"/>
      <c r="E812" s="281"/>
      <c r="F812" s="282"/>
      <c r="G812" s="283"/>
      <c r="H812" s="283"/>
      <c r="I812" s="280"/>
      <c r="J812" s="281"/>
      <c r="K812" s="280"/>
      <c r="L812" s="280"/>
    </row>
    <row r="813" ht="15.75" customHeight="1">
      <c r="A813" s="279"/>
      <c r="B813" s="280"/>
      <c r="C813" s="280"/>
      <c r="D813" s="280"/>
      <c r="E813" s="281"/>
      <c r="F813" s="282"/>
      <c r="G813" s="283"/>
      <c r="H813" s="283"/>
      <c r="I813" s="280"/>
      <c r="J813" s="281"/>
      <c r="K813" s="280"/>
      <c r="L813" s="280"/>
    </row>
    <row r="814" ht="15.75" customHeight="1">
      <c r="A814" s="279"/>
      <c r="B814" s="280"/>
      <c r="C814" s="280"/>
      <c r="D814" s="280"/>
      <c r="E814" s="281"/>
      <c r="F814" s="282"/>
      <c r="G814" s="283"/>
      <c r="H814" s="283"/>
      <c r="I814" s="280"/>
      <c r="J814" s="281"/>
      <c r="K814" s="280"/>
      <c r="L814" s="280"/>
    </row>
    <row r="815" ht="15.75" customHeight="1">
      <c r="A815" s="279"/>
      <c r="B815" s="280"/>
      <c r="C815" s="280"/>
      <c r="D815" s="280"/>
      <c r="E815" s="281"/>
      <c r="F815" s="282"/>
      <c r="G815" s="283"/>
      <c r="H815" s="283"/>
      <c r="I815" s="280"/>
      <c r="J815" s="281"/>
      <c r="K815" s="280"/>
      <c r="L815" s="280"/>
    </row>
    <row r="816" ht="15.75" customHeight="1">
      <c r="A816" s="279"/>
      <c r="B816" s="280"/>
      <c r="C816" s="280"/>
      <c r="D816" s="280"/>
      <c r="E816" s="281"/>
      <c r="F816" s="282"/>
      <c r="G816" s="283"/>
      <c r="H816" s="283"/>
      <c r="I816" s="280"/>
      <c r="J816" s="281"/>
      <c r="K816" s="280"/>
      <c r="L816" s="280"/>
    </row>
    <row r="817" ht="15.75" customHeight="1">
      <c r="A817" s="279"/>
      <c r="B817" s="280"/>
      <c r="C817" s="280"/>
      <c r="D817" s="280"/>
      <c r="E817" s="281"/>
      <c r="F817" s="282"/>
      <c r="G817" s="283"/>
      <c r="H817" s="283"/>
      <c r="I817" s="280"/>
      <c r="J817" s="281"/>
      <c r="K817" s="280"/>
      <c r="L817" s="280"/>
    </row>
    <row r="818" ht="15.75" customHeight="1">
      <c r="A818" s="279"/>
      <c r="B818" s="280"/>
      <c r="C818" s="280"/>
      <c r="D818" s="280"/>
      <c r="E818" s="281"/>
      <c r="F818" s="282"/>
      <c r="G818" s="283"/>
      <c r="H818" s="283"/>
      <c r="I818" s="280"/>
      <c r="J818" s="281"/>
      <c r="K818" s="280"/>
      <c r="L818" s="280"/>
    </row>
    <row r="819" ht="15.75" customHeight="1">
      <c r="A819" s="279"/>
      <c r="B819" s="280"/>
      <c r="C819" s="280"/>
      <c r="D819" s="280"/>
      <c r="E819" s="281"/>
      <c r="F819" s="282"/>
      <c r="G819" s="283"/>
      <c r="H819" s="283"/>
      <c r="I819" s="280"/>
      <c r="J819" s="281"/>
      <c r="K819" s="280"/>
      <c r="L819" s="280"/>
    </row>
    <row r="820" ht="15.75" customHeight="1">
      <c r="A820" s="279"/>
      <c r="B820" s="280"/>
      <c r="C820" s="280"/>
      <c r="D820" s="280"/>
      <c r="E820" s="281"/>
      <c r="F820" s="282"/>
      <c r="G820" s="283"/>
      <c r="H820" s="283"/>
      <c r="I820" s="280"/>
      <c r="J820" s="281"/>
      <c r="K820" s="280"/>
      <c r="L820" s="280"/>
    </row>
    <row r="821" ht="15.75" customHeight="1">
      <c r="A821" s="279"/>
      <c r="B821" s="280"/>
      <c r="C821" s="280"/>
      <c r="D821" s="280"/>
      <c r="E821" s="281"/>
      <c r="F821" s="282"/>
      <c r="G821" s="283"/>
      <c r="H821" s="283"/>
      <c r="I821" s="280"/>
      <c r="J821" s="281"/>
      <c r="K821" s="280"/>
      <c r="L821" s="280"/>
    </row>
    <row r="822" ht="15.75" customHeight="1">
      <c r="A822" s="279"/>
      <c r="B822" s="280"/>
      <c r="C822" s="280"/>
      <c r="D822" s="280"/>
      <c r="E822" s="281"/>
      <c r="F822" s="282"/>
      <c r="G822" s="283"/>
      <c r="H822" s="283"/>
      <c r="I822" s="280"/>
      <c r="J822" s="281"/>
      <c r="K822" s="280"/>
      <c r="L822" s="280"/>
    </row>
    <row r="823" ht="15.75" customHeight="1">
      <c r="A823" s="279"/>
      <c r="B823" s="280"/>
      <c r="C823" s="280"/>
      <c r="D823" s="280"/>
      <c r="E823" s="281"/>
      <c r="F823" s="282"/>
      <c r="G823" s="283"/>
      <c r="H823" s="283"/>
      <c r="I823" s="280"/>
      <c r="J823" s="281"/>
      <c r="K823" s="280"/>
      <c r="L823" s="280"/>
    </row>
    <row r="824" ht="15.75" customHeight="1">
      <c r="A824" s="279"/>
      <c r="B824" s="280"/>
      <c r="C824" s="280"/>
      <c r="D824" s="280"/>
      <c r="E824" s="281"/>
      <c r="F824" s="282"/>
      <c r="G824" s="283"/>
      <c r="H824" s="283"/>
      <c r="I824" s="280"/>
      <c r="J824" s="281"/>
      <c r="K824" s="280"/>
      <c r="L824" s="280"/>
    </row>
    <row r="825" ht="15.75" customHeight="1">
      <c r="A825" s="279"/>
      <c r="B825" s="280"/>
      <c r="C825" s="280"/>
      <c r="D825" s="280"/>
      <c r="E825" s="281"/>
      <c r="F825" s="282"/>
      <c r="G825" s="283"/>
      <c r="H825" s="283"/>
      <c r="I825" s="280"/>
      <c r="J825" s="281"/>
      <c r="K825" s="280"/>
      <c r="L825" s="280"/>
    </row>
    <row r="826" ht="15.75" customHeight="1">
      <c r="A826" s="279"/>
      <c r="B826" s="280"/>
      <c r="C826" s="280"/>
      <c r="D826" s="280"/>
      <c r="E826" s="281"/>
      <c r="F826" s="282"/>
      <c r="G826" s="283"/>
      <c r="H826" s="283"/>
      <c r="I826" s="280"/>
      <c r="J826" s="281"/>
      <c r="K826" s="280"/>
      <c r="L826" s="280"/>
    </row>
    <row r="827" ht="15.75" customHeight="1">
      <c r="A827" s="279"/>
      <c r="B827" s="280"/>
      <c r="C827" s="280"/>
      <c r="D827" s="280"/>
      <c r="E827" s="281"/>
      <c r="F827" s="282"/>
      <c r="G827" s="283"/>
      <c r="H827" s="283"/>
      <c r="I827" s="280"/>
      <c r="J827" s="281"/>
      <c r="K827" s="280"/>
      <c r="L827" s="280"/>
    </row>
    <row r="828" ht="15.75" customHeight="1">
      <c r="A828" s="279"/>
      <c r="B828" s="280"/>
      <c r="C828" s="280"/>
      <c r="D828" s="280"/>
      <c r="E828" s="281"/>
      <c r="F828" s="282"/>
      <c r="G828" s="283"/>
      <c r="H828" s="283"/>
      <c r="I828" s="280"/>
      <c r="J828" s="281"/>
      <c r="K828" s="280"/>
      <c r="L828" s="280"/>
    </row>
    <row r="829" ht="15.75" customHeight="1">
      <c r="A829" s="279"/>
      <c r="B829" s="280"/>
      <c r="C829" s="280"/>
      <c r="D829" s="280"/>
      <c r="E829" s="281"/>
      <c r="F829" s="282"/>
      <c r="G829" s="283"/>
      <c r="H829" s="283"/>
      <c r="I829" s="280"/>
      <c r="J829" s="281"/>
      <c r="K829" s="280"/>
      <c r="L829" s="280"/>
    </row>
    <row r="830" ht="15.75" customHeight="1">
      <c r="A830" s="279"/>
      <c r="B830" s="280"/>
      <c r="C830" s="280"/>
      <c r="D830" s="280"/>
      <c r="E830" s="281"/>
      <c r="F830" s="282"/>
      <c r="G830" s="283"/>
      <c r="H830" s="283"/>
      <c r="I830" s="280"/>
      <c r="J830" s="281"/>
      <c r="K830" s="280"/>
      <c r="L830" s="280"/>
    </row>
    <row r="831" ht="15.75" customHeight="1">
      <c r="A831" s="279"/>
      <c r="B831" s="280"/>
      <c r="C831" s="280"/>
      <c r="D831" s="280"/>
      <c r="E831" s="281"/>
      <c r="F831" s="282"/>
      <c r="G831" s="283"/>
      <c r="H831" s="283"/>
      <c r="I831" s="280"/>
      <c r="J831" s="281"/>
      <c r="K831" s="280"/>
      <c r="L831" s="280"/>
    </row>
    <row r="832" ht="15.75" customHeight="1">
      <c r="A832" s="279"/>
      <c r="B832" s="280"/>
      <c r="C832" s="280"/>
      <c r="D832" s="280"/>
      <c r="E832" s="281"/>
      <c r="F832" s="282"/>
      <c r="G832" s="283"/>
      <c r="H832" s="283"/>
      <c r="I832" s="280"/>
      <c r="J832" s="281"/>
      <c r="K832" s="280"/>
      <c r="L832" s="280"/>
    </row>
    <row r="833" ht="15.75" customHeight="1">
      <c r="A833" s="279"/>
      <c r="B833" s="280"/>
      <c r="C833" s="280"/>
      <c r="D833" s="280"/>
      <c r="E833" s="281"/>
      <c r="F833" s="282"/>
      <c r="G833" s="283"/>
      <c r="H833" s="283"/>
      <c r="I833" s="280"/>
      <c r="J833" s="281"/>
      <c r="K833" s="280"/>
      <c r="L833" s="280"/>
    </row>
    <row r="834" ht="15.75" customHeight="1">
      <c r="A834" s="279"/>
      <c r="B834" s="280"/>
      <c r="C834" s="280"/>
      <c r="D834" s="280"/>
      <c r="E834" s="281"/>
      <c r="F834" s="282"/>
      <c r="G834" s="283"/>
      <c r="H834" s="283"/>
      <c r="I834" s="280"/>
      <c r="J834" s="281"/>
      <c r="K834" s="280"/>
      <c r="L834" s="280"/>
    </row>
    <row r="835" ht="15.75" customHeight="1">
      <c r="A835" s="279"/>
      <c r="B835" s="280"/>
      <c r="C835" s="280"/>
      <c r="D835" s="280"/>
      <c r="E835" s="281"/>
      <c r="F835" s="282"/>
      <c r="G835" s="283"/>
      <c r="H835" s="283"/>
      <c r="I835" s="280"/>
      <c r="J835" s="281"/>
      <c r="K835" s="280"/>
      <c r="L835" s="280"/>
    </row>
    <row r="836" ht="15.75" customHeight="1">
      <c r="A836" s="279"/>
      <c r="B836" s="280"/>
      <c r="C836" s="280"/>
      <c r="D836" s="280"/>
      <c r="E836" s="281"/>
      <c r="F836" s="282"/>
      <c r="G836" s="283"/>
      <c r="H836" s="283"/>
      <c r="I836" s="280"/>
      <c r="J836" s="281"/>
      <c r="K836" s="280"/>
      <c r="L836" s="280"/>
    </row>
    <row r="837" ht="15.75" customHeight="1">
      <c r="A837" s="279"/>
      <c r="B837" s="280"/>
      <c r="C837" s="280"/>
      <c r="D837" s="280"/>
      <c r="E837" s="281"/>
      <c r="F837" s="282"/>
      <c r="G837" s="283"/>
      <c r="H837" s="283"/>
      <c r="I837" s="280"/>
      <c r="J837" s="281"/>
      <c r="K837" s="280"/>
      <c r="L837" s="280"/>
    </row>
    <row r="838" ht="15.75" customHeight="1">
      <c r="A838" s="279"/>
      <c r="B838" s="280"/>
      <c r="C838" s="280"/>
      <c r="D838" s="280"/>
      <c r="E838" s="281"/>
      <c r="F838" s="282"/>
      <c r="G838" s="283"/>
      <c r="H838" s="283"/>
      <c r="I838" s="280"/>
      <c r="J838" s="281"/>
      <c r="K838" s="280"/>
      <c r="L838" s="280"/>
    </row>
    <row r="839" ht="15.75" customHeight="1">
      <c r="A839" s="279"/>
      <c r="B839" s="280"/>
      <c r="C839" s="280"/>
      <c r="D839" s="280"/>
      <c r="E839" s="281"/>
      <c r="F839" s="282"/>
      <c r="G839" s="283"/>
      <c r="H839" s="283"/>
      <c r="I839" s="280"/>
      <c r="J839" s="281"/>
      <c r="K839" s="280"/>
      <c r="L839" s="280"/>
    </row>
    <row r="840" ht="15.75" customHeight="1">
      <c r="A840" s="279"/>
      <c r="B840" s="280"/>
      <c r="C840" s="280"/>
      <c r="D840" s="280"/>
      <c r="E840" s="281"/>
      <c r="F840" s="282"/>
      <c r="G840" s="283"/>
      <c r="H840" s="283"/>
      <c r="I840" s="280"/>
      <c r="J840" s="281"/>
      <c r="K840" s="280"/>
      <c r="L840" s="280"/>
    </row>
    <row r="841" ht="15.75" customHeight="1">
      <c r="A841" s="279"/>
      <c r="B841" s="280"/>
      <c r="C841" s="280"/>
      <c r="D841" s="280"/>
      <c r="E841" s="281"/>
      <c r="F841" s="282"/>
      <c r="G841" s="283"/>
      <c r="H841" s="283"/>
      <c r="I841" s="280"/>
      <c r="J841" s="281"/>
      <c r="K841" s="280"/>
      <c r="L841" s="280"/>
    </row>
    <row r="842" ht="15.75" customHeight="1">
      <c r="A842" s="279"/>
      <c r="B842" s="280"/>
      <c r="C842" s="280"/>
      <c r="D842" s="280"/>
      <c r="E842" s="281"/>
      <c r="F842" s="282"/>
      <c r="G842" s="283"/>
      <c r="H842" s="283"/>
      <c r="I842" s="280"/>
      <c r="J842" s="281"/>
      <c r="K842" s="280"/>
      <c r="L842" s="280"/>
    </row>
    <row r="843" ht="15.75" customHeight="1">
      <c r="A843" s="279"/>
      <c r="B843" s="280"/>
      <c r="C843" s="280"/>
      <c r="D843" s="280"/>
      <c r="E843" s="281"/>
      <c r="F843" s="282"/>
      <c r="G843" s="283"/>
      <c r="H843" s="283"/>
      <c r="I843" s="280"/>
      <c r="J843" s="281"/>
      <c r="K843" s="280"/>
      <c r="L843" s="280"/>
    </row>
    <row r="844" ht="15.75" customHeight="1">
      <c r="A844" s="279"/>
      <c r="B844" s="280"/>
      <c r="C844" s="280"/>
      <c r="D844" s="280"/>
      <c r="E844" s="281"/>
      <c r="F844" s="282"/>
      <c r="G844" s="283"/>
      <c r="H844" s="283"/>
      <c r="I844" s="280"/>
      <c r="J844" s="281"/>
      <c r="K844" s="280"/>
      <c r="L844" s="280"/>
    </row>
    <row r="845" ht="15.75" customHeight="1">
      <c r="A845" s="279"/>
      <c r="B845" s="280"/>
      <c r="C845" s="280"/>
      <c r="D845" s="280"/>
      <c r="E845" s="281"/>
      <c r="F845" s="282"/>
      <c r="G845" s="283"/>
      <c r="H845" s="283"/>
      <c r="I845" s="280"/>
      <c r="J845" s="281"/>
      <c r="K845" s="280"/>
      <c r="L845" s="280"/>
    </row>
    <row r="846" ht="15.75" customHeight="1">
      <c r="A846" s="279"/>
      <c r="B846" s="280"/>
      <c r="C846" s="280"/>
      <c r="D846" s="280"/>
      <c r="E846" s="281"/>
      <c r="F846" s="282"/>
      <c r="G846" s="283"/>
      <c r="H846" s="283"/>
      <c r="I846" s="280"/>
      <c r="J846" s="281"/>
      <c r="K846" s="280"/>
      <c r="L846" s="280"/>
    </row>
    <row r="847" ht="15.75" customHeight="1">
      <c r="A847" s="279"/>
      <c r="B847" s="280"/>
      <c r="C847" s="280"/>
      <c r="D847" s="280"/>
      <c r="E847" s="281"/>
      <c r="F847" s="282"/>
      <c r="G847" s="283"/>
      <c r="H847" s="283"/>
      <c r="I847" s="280"/>
      <c r="J847" s="281"/>
      <c r="K847" s="280"/>
      <c r="L847" s="280"/>
    </row>
    <row r="848" ht="15.75" customHeight="1">
      <c r="A848" s="279"/>
      <c r="B848" s="280"/>
      <c r="C848" s="280"/>
      <c r="D848" s="280"/>
      <c r="E848" s="281"/>
      <c r="F848" s="282"/>
      <c r="G848" s="283"/>
      <c r="H848" s="283"/>
      <c r="I848" s="280"/>
      <c r="J848" s="281"/>
      <c r="K848" s="280"/>
      <c r="L848" s="280"/>
    </row>
    <row r="849" ht="15.75" customHeight="1">
      <c r="A849" s="279"/>
      <c r="B849" s="280"/>
      <c r="C849" s="280"/>
      <c r="D849" s="280"/>
      <c r="E849" s="281"/>
      <c r="F849" s="282"/>
      <c r="G849" s="283"/>
      <c r="H849" s="283"/>
      <c r="I849" s="280"/>
      <c r="J849" s="281"/>
      <c r="K849" s="280"/>
      <c r="L849" s="280"/>
    </row>
    <row r="850" ht="15.75" customHeight="1">
      <c r="A850" s="279"/>
      <c r="B850" s="280"/>
      <c r="C850" s="280"/>
      <c r="D850" s="280"/>
      <c r="E850" s="281"/>
      <c r="F850" s="282"/>
      <c r="G850" s="283"/>
      <c r="H850" s="283"/>
      <c r="I850" s="280"/>
      <c r="J850" s="281"/>
      <c r="K850" s="280"/>
      <c r="L850" s="280"/>
    </row>
    <row r="851" ht="15.75" customHeight="1">
      <c r="A851" s="279"/>
      <c r="B851" s="280"/>
      <c r="C851" s="280"/>
      <c r="D851" s="280"/>
      <c r="E851" s="281"/>
      <c r="F851" s="282"/>
      <c r="G851" s="283"/>
      <c r="H851" s="283"/>
      <c r="I851" s="280"/>
      <c r="J851" s="281"/>
      <c r="K851" s="280"/>
      <c r="L851" s="280"/>
    </row>
    <row r="852" ht="15.75" customHeight="1">
      <c r="A852" s="279"/>
      <c r="B852" s="280"/>
      <c r="C852" s="280"/>
      <c r="D852" s="280"/>
      <c r="E852" s="281"/>
      <c r="F852" s="282"/>
      <c r="G852" s="283"/>
      <c r="H852" s="283"/>
      <c r="I852" s="280"/>
      <c r="J852" s="281"/>
      <c r="K852" s="280"/>
      <c r="L852" s="280"/>
    </row>
    <row r="853" ht="15.75" customHeight="1">
      <c r="A853" s="279"/>
      <c r="B853" s="280"/>
      <c r="C853" s="280"/>
      <c r="D853" s="280"/>
      <c r="E853" s="281"/>
      <c r="F853" s="282"/>
      <c r="G853" s="283"/>
      <c r="H853" s="283"/>
      <c r="I853" s="280"/>
      <c r="J853" s="281"/>
      <c r="K853" s="280"/>
      <c r="L853" s="280"/>
    </row>
    <row r="854" ht="15.75" customHeight="1">
      <c r="A854" s="279"/>
      <c r="B854" s="280"/>
      <c r="C854" s="280"/>
      <c r="D854" s="280"/>
      <c r="E854" s="281"/>
      <c r="F854" s="282"/>
      <c r="G854" s="283"/>
      <c r="H854" s="283"/>
      <c r="I854" s="280"/>
      <c r="J854" s="281"/>
      <c r="K854" s="280"/>
      <c r="L854" s="280"/>
    </row>
    <row r="855" ht="15.75" customHeight="1">
      <c r="A855" s="279"/>
      <c r="B855" s="280"/>
      <c r="C855" s="280"/>
      <c r="D855" s="280"/>
      <c r="E855" s="281"/>
      <c r="F855" s="282"/>
      <c r="G855" s="283"/>
      <c r="H855" s="283"/>
      <c r="I855" s="280"/>
      <c r="J855" s="281"/>
      <c r="K855" s="280"/>
      <c r="L855" s="280"/>
    </row>
    <row r="856" ht="15.75" customHeight="1">
      <c r="A856" s="279"/>
      <c r="B856" s="280"/>
      <c r="C856" s="280"/>
      <c r="D856" s="280"/>
      <c r="E856" s="281"/>
      <c r="F856" s="282"/>
      <c r="G856" s="283"/>
      <c r="H856" s="283"/>
      <c r="I856" s="280"/>
      <c r="J856" s="281"/>
      <c r="K856" s="280"/>
      <c r="L856" s="280"/>
    </row>
    <row r="857" ht="15.75" customHeight="1">
      <c r="A857" s="279"/>
      <c r="B857" s="280"/>
      <c r="C857" s="280"/>
      <c r="D857" s="280"/>
      <c r="E857" s="281"/>
      <c r="F857" s="282"/>
      <c r="G857" s="283"/>
      <c r="H857" s="283"/>
      <c r="I857" s="280"/>
      <c r="J857" s="281"/>
      <c r="K857" s="280"/>
      <c r="L857" s="280"/>
    </row>
    <row r="858" ht="15.75" customHeight="1">
      <c r="A858" s="279"/>
      <c r="B858" s="280"/>
      <c r="C858" s="280"/>
      <c r="D858" s="280"/>
      <c r="E858" s="281"/>
      <c r="F858" s="282"/>
      <c r="G858" s="283"/>
      <c r="H858" s="283"/>
      <c r="I858" s="280"/>
      <c r="J858" s="281"/>
      <c r="K858" s="280"/>
      <c r="L858" s="280"/>
    </row>
    <row r="859" ht="15.75" customHeight="1">
      <c r="A859" s="279"/>
      <c r="B859" s="280"/>
      <c r="C859" s="280"/>
      <c r="D859" s="280"/>
      <c r="E859" s="281"/>
      <c r="F859" s="282"/>
      <c r="G859" s="283"/>
      <c r="H859" s="283"/>
      <c r="I859" s="280"/>
      <c r="J859" s="281"/>
      <c r="K859" s="280"/>
      <c r="L859" s="280"/>
    </row>
    <row r="860" ht="15.75" customHeight="1">
      <c r="A860" s="279"/>
      <c r="B860" s="280"/>
      <c r="C860" s="280"/>
      <c r="D860" s="280"/>
      <c r="E860" s="281"/>
      <c r="F860" s="282"/>
      <c r="G860" s="283"/>
      <c r="H860" s="283"/>
      <c r="I860" s="280"/>
      <c r="J860" s="281"/>
      <c r="K860" s="280"/>
      <c r="L860" s="280"/>
    </row>
    <row r="861" ht="15.75" customHeight="1">
      <c r="A861" s="279"/>
      <c r="B861" s="280"/>
      <c r="C861" s="280"/>
      <c r="D861" s="280"/>
      <c r="E861" s="281"/>
      <c r="F861" s="282"/>
      <c r="G861" s="283"/>
      <c r="H861" s="283"/>
      <c r="I861" s="280"/>
      <c r="J861" s="281"/>
      <c r="K861" s="280"/>
      <c r="L861" s="280"/>
    </row>
    <row r="862" ht="15.75" customHeight="1">
      <c r="A862" s="279"/>
      <c r="B862" s="280"/>
      <c r="C862" s="280"/>
      <c r="D862" s="280"/>
      <c r="E862" s="281"/>
      <c r="F862" s="282"/>
      <c r="G862" s="283"/>
      <c r="H862" s="283"/>
      <c r="I862" s="280"/>
      <c r="J862" s="281"/>
      <c r="K862" s="280"/>
      <c r="L862" s="280"/>
    </row>
    <row r="863" ht="15.75" customHeight="1">
      <c r="A863" s="279"/>
      <c r="B863" s="280"/>
      <c r="C863" s="280"/>
      <c r="D863" s="280"/>
      <c r="E863" s="281"/>
      <c r="F863" s="282"/>
      <c r="G863" s="283"/>
      <c r="H863" s="283"/>
      <c r="I863" s="280"/>
      <c r="J863" s="281"/>
      <c r="K863" s="280"/>
      <c r="L863" s="280"/>
    </row>
    <row r="864" ht="15.75" customHeight="1">
      <c r="A864" s="279"/>
      <c r="B864" s="280"/>
      <c r="C864" s="280"/>
      <c r="D864" s="280"/>
      <c r="E864" s="281"/>
      <c r="F864" s="282"/>
      <c r="G864" s="283"/>
      <c r="H864" s="283"/>
      <c r="I864" s="280"/>
      <c r="J864" s="281"/>
      <c r="K864" s="280"/>
      <c r="L864" s="280"/>
    </row>
    <row r="865" ht="15.75" customHeight="1">
      <c r="A865" s="279"/>
      <c r="B865" s="280"/>
      <c r="C865" s="280"/>
      <c r="D865" s="280"/>
      <c r="E865" s="281"/>
      <c r="F865" s="282"/>
      <c r="G865" s="283"/>
      <c r="H865" s="283"/>
      <c r="I865" s="280"/>
      <c r="J865" s="281"/>
      <c r="K865" s="280"/>
      <c r="L865" s="280"/>
    </row>
    <row r="866" ht="15.75" customHeight="1">
      <c r="A866" s="279"/>
      <c r="B866" s="280"/>
      <c r="C866" s="280"/>
      <c r="D866" s="280"/>
      <c r="E866" s="281"/>
      <c r="F866" s="282"/>
      <c r="G866" s="283"/>
      <c r="H866" s="283"/>
      <c r="I866" s="280"/>
      <c r="J866" s="281"/>
      <c r="K866" s="280"/>
      <c r="L866" s="280"/>
    </row>
    <row r="867" ht="15.75" customHeight="1">
      <c r="A867" s="279"/>
      <c r="B867" s="280"/>
      <c r="C867" s="280"/>
      <c r="D867" s="280"/>
      <c r="E867" s="281"/>
      <c r="F867" s="282"/>
      <c r="G867" s="283"/>
      <c r="H867" s="283"/>
      <c r="I867" s="280"/>
      <c r="J867" s="281"/>
      <c r="K867" s="280"/>
      <c r="L867" s="280"/>
    </row>
    <row r="868" ht="15.75" customHeight="1">
      <c r="A868" s="279"/>
      <c r="B868" s="280"/>
      <c r="C868" s="280"/>
      <c r="D868" s="280"/>
      <c r="E868" s="281"/>
      <c r="F868" s="282"/>
      <c r="G868" s="283"/>
      <c r="H868" s="283"/>
      <c r="I868" s="280"/>
      <c r="J868" s="281"/>
      <c r="K868" s="280"/>
      <c r="L868" s="280"/>
    </row>
    <row r="869" ht="15.75" customHeight="1">
      <c r="A869" s="279"/>
      <c r="B869" s="280"/>
      <c r="C869" s="280"/>
      <c r="D869" s="280"/>
      <c r="E869" s="281"/>
      <c r="F869" s="282"/>
      <c r="G869" s="283"/>
      <c r="H869" s="283"/>
      <c r="I869" s="280"/>
      <c r="J869" s="281"/>
      <c r="K869" s="280"/>
      <c r="L869" s="280"/>
    </row>
    <row r="870" ht="15.75" customHeight="1">
      <c r="A870" s="279"/>
      <c r="B870" s="280"/>
      <c r="C870" s="280"/>
      <c r="D870" s="280"/>
      <c r="E870" s="281"/>
      <c r="F870" s="282"/>
      <c r="G870" s="283"/>
      <c r="H870" s="283"/>
      <c r="I870" s="280"/>
      <c r="J870" s="281"/>
      <c r="K870" s="280"/>
      <c r="L870" s="280"/>
    </row>
    <row r="871" ht="15.75" customHeight="1">
      <c r="A871" s="279"/>
      <c r="B871" s="280"/>
      <c r="C871" s="280"/>
      <c r="D871" s="280"/>
      <c r="E871" s="281"/>
      <c r="F871" s="282"/>
      <c r="G871" s="283"/>
      <c r="H871" s="283"/>
      <c r="I871" s="280"/>
      <c r="J871" s="281"/>
      <c r="K871" s="280"/>
      <c r="L871" s="280"/>
    </row>
    <row r="872" ht="15.75" customHeight="1">
      <c r="A872" s="279"/>
      <c r="B872" s="280"/>
      <c r="C872" s="280"/>
      <c r="D872" s="280"/>
      <c r="E872" s="281"/>
      <c r="F872" s="282"/>
      <c r="G872" s="283"/>
      <c r="H872" s="283"/>
      <c r="I872" s="280"/>
      <c r="J872" s="281"/>
      <c r="K872" s="280"/>
      <c r="L872" s="280"/>
    </row>
    <row r="873" ht="15.75" customHeight="1">
      <c r="A873" s="279"/>
      <c r="B873" s="280"/>
      <c r="C873" s="280"/>
      <c r="D873" s="280"/>
      <c r="E873" s="281"/>
      <c r="F873" s="282"/>
      <c r="G873" s="283"/>
      <c r="H873" s="283"/>
      <c r="I873" s="280"/>
      <c r="J873" s="281"/>
      <c r="K873" s="280"/>
      <c r="L873" s="280"/>
    </row>
    <row r="874" ht="15.75" customHeight="1">
      <c r="A874" s="279"/>
      <c r="B874" s="280"/>
      <c r="C874" s="280"/>
      <c r="D874" s="280"/>
      <c r="E874" s="281"/>
      <c r="F874" s="282"/>
      <c r="G874" s="283"/>
      <c r="H874" s="283"/>
      <c r="I874" s="280"/>
      <c r="J874" s="281"/>
      <c r="K874" s="280"/>
      <c r="L874" s="280"/>
    </row>
    <row r="875" ht="15.75" customHeight="1">
      <c r="A875" s="279"/>
      <c r="B875" s="280"/>
      <c r="C875" s="280"/>
      <c r="D875" s="280"/>
      <c r="E875" s="281"/>
      <c r="F875" s="282"/>
      <c r="G875" s="283"/>
      <c r="H875" s="283"/>
      <c r="I875" s="280"/>
      <c r="J875" s="281"/>
      <c r="K875" s="280"/>
      <c r="L875" s="280"/>
    </row>
    <row r="876" ht="15.75" customHeight="1">
      <c r="A876" s="279"/>
      <c r="B876" s="280"/>
      <c r="C876" s="280"/>
      <c r="D876" s="280"/>
      <c r="E876" s="281"/>
      <c r="F876" s="282"/>
      <c r="G876" s="283"/>
      <c r="H876" s="283"/>
      <c r="I876" s="280"/>
      <c r="J876" s="281"/>
      <c r="K876" s="280"/>
      <c r="L876" s="280"/>
    </row>
    <row r="877" ht="15.75" customHeight="1">
      <c r="A877" s="279"/>
      <c r="B877" s="280"/>
      <c r="C877" s="280"/>
      <c r="D877" s="280"/>
      <c r="E877" s="281"/>
      <c r="F877" s="282"/>
      <c r="G877" s="283"/>
      <c r="H877" s="283"/>
      <c r="I877" s="280"/>
      <c r="J877" s="281"/>
      <c r="K877" s="280"/>
      <c r="L877" s="280"/>
    </row>
    <row r="878" ht="15.75" customHeight="1">
      <c r="A878" s="279"/>
      <c r="B878" s="280"/>
      <c r="C878" s="280"/>
      <c r="D878" s="280"/>
      <c r="E878" s="281"/>
      <c r="F878" s="282"/>
      <c r="G878" s="283"/>
      <c r="H878" s="283"/>
      <c r="I878" s="280"/>
      <c r="J878" s="281"/>
      <c r="K878" s="280"/>
      <c r="L878" s="280"/>
    </row>
    <row r="879" ht="15.75" customHeight="1">
      <c r="A879" s="279"/>
      <c r="B879" s="280"/>
      <c r="C879" s="280"/>
      <c r="D879" s="280"/>
      <c r="E879" s="281"/>
      <c r="F879" s="282"/>
      <c r="G879" s="283"/>
      <c r="H879" s="283"/>
      <c r="I879" s="280"/>
      <c r="J879" s="281"/>
      <c r="K879" s="280"/>
      <c r="L879" s="280"/>
    </row>
    <row r="880" ht="15.75" customHeight="1">
      <c r="A880" s="279"/>
      <c r="B880" s="280"/>
      <c r="C880" s="280"/>
      <c r="D880" s="280"/>
      <c r="E880" s="281"/>
      <c r="F880" s="282"/>
      <c r="G880" s="283"/>
      <c r="H880" s="283"/>
      <c r="I880" s="280"/>
      <c r="J880" s="281"/>
      <c r="K880" s="280"/>
      <c r="L880" s="280"/>
    </row>
    <row r="881" ht="15.75" customHeight="1">
      <c r="A881" s="279"/>
      <c r="B881" s="280"/>
      <c r="C881" s="280"/>
      <c r="D881" s="280"/>
      <c r="E881" s="281"/>
      <c r="F881" s="282"/>
      <c r="G881" s="283"/>
      <c r="H881" s="283"/>
      <c r="I881" s="280"/>
      <c r="J881" s="281"/>
      <c r="K881" s="280"/>
      <c r="L881" s="280"/>
    </row>
    <row r="882" ht="15.75" customHeight="1">
      <c r="A882" s="279"/>
      <c r="B882" s="280"/>
      <c r="C882" s="280"/>
      <c r="D882" s="280"/>
      <c r="E882" s="281"/>
      <c r="F882" s="282"/>
      <c r="G882" s="283"/>
      <c r="H882" s="283"/>
      <c r="I882" s="280"/>
      <c r="J882" s="281"/>
      <c r="K882" s="280"/>
      <c r="L882" s="280"/>
    </row>
    <row r="883" ht="15.75" customHeight="1">
      <c r="A883" s="279"/>
      <c r="B883" s="280"/>
      <c r="C883" s="280"/>
      <c r="D883" s="280"/>
      <c r="E883" s="281"/>
      <c r="F883" s="282"/>
      <c r="G883" s="283"/>
      <c r="H883" s="283"/>
      <c r="I883" s="280"/>
      <c r="J883" s="281"/>
      <c r="K883" s="280"/>
      <c r="L883" s="280"/>
    </row>
    <row r="884" ht="15.75" customHeight="1">
      <c r="A884" s="279"/>
      <c r="B884" s="280"/>
      <c r="C884" s="280"/>
      <c r="D884" s="280"/>
      <c r="E884" s="281"/>
      <c r="F884" s="282"/>
      <c r="G884" s="283"/>
      <c r="H884" s="283"/>
      <c r="I884" s="280"/>
      <c r="J884" s="281"/>
      <c r="K884" s="280"/>
      <c r="L884" s="280"/>
    </row>
    <row r="885" ht="15.75" customHeight="1">
      <c r="A885" s="279"/>
      <c r="B885" s="280"/>
      <c r="C885" s="280"/>
      <c r="D885" s="280"/>
      <c r="E885" s="281"/>
      <c r="F885" s="282"/>
      <c r="G885" s="283"/>
      <c r="H885" s="283"/>
      <c r="I885" s="280"/>
      <c r="J885" s="281"/>
      <c r="K885" s="280"/>
      <c r="L885" s="280"/>
    </row>
    <row r="886" ht="15.75" customHeight="1">
      <c r="A886" s="279"/>
      <c r="B886" s="280"/>
      <c r="C886" s="280"/>
      <c r="D886" s="280"/>
      <c r="E886" s="281"/>
      <c r="F886" s="282"/>
      <c r="G886" s="283"/>
      <c r="H886" s="283"/>
      <c r="I886" s="280"/>
      <c r="J886" s="281"/>
      <c r="K886" s="280"/>
      <c r="L886" s="280"/>
    </row>
    <row r="887" ht="15.75" customHeight="1">
      <c r="A887" s="279"/>
      <c r="B887" s="280"/>
      <c r="C887" s="280"/>
      <c r="D887" s="280"/>
      <c r="E887" s="281"/>
      <c r="F887" s="282"/>
      <c r="G887" s="283"/>
      <c r="H887" s="283"/>
      <c r="I887" s="280"/>
      <c r="J887" s="281"/>
      <c r="K887" s="280"/>
      <c r="L887" s="280"/>
    </row>
    <row r="888" ht="15.75" customHeight="1">
      <c r="A888" s="279"/>
      <c r="B888" s="280"/>
      <c r="C888" s="280"/>
      <c r="D888" s="280"/>
      <c r="E888" s="281"/>
      <c r="F888" s="282"/>
      <c r="G888" s="283"/>
      <c r="H888" s="283"/>
      <c r="I888" s="280"/>
      <c r="J888" s="281"/>
      <c r="K888" s="280"/>
      <c r="L888" s="280"/>
    </row>
    <row r="889" ht="15.75" customHeight="1">
      <c r="A889" s="279"/>
      <c r="B889" s="280"/>
      <c r="C889" s="280"/>
      <c r="D889" s="280"/>
      <c r="E889" s="281"/>
      <c r="F889" s="282"/>
      <c r="G889" s="283"/>
      <c r="H889" s="283"/>
      <c r="I889" s="280"/>
      <c r="J889" s="281"/>
      <c r="K889" s="280"/>
      <c r="L889" s="280"/>
    </row>
    <row r="890" ht="15.75" customHeight="1">
      <c r="A890" s="279"/>
      <c r="B890" s="280"/>
      <c r="C890" s="280"/>
      <c r="D890" s="280"/>
      <c r="E890" s="281"/>
      <c r="F890" s="282"/>
      <c r="G890" s="283"/>
      <c r="H890" s="283"/>
      <c r="I890" s="280"/>
      <c r="J890" s="281"/>
      <c r="K890" s="280"/>
      <c r="L890" s="280"/>
    </row>
    <row r="891" ht="15.75" customHeight="1">
      <c r="A891" s="279"/>
      <c r="B891" s="280"/>
      <c r="C891" s="280"/>
      <c r="D891" s="280"/>
      <c r="E891" s="281"/>
      <c r="F891" s="282"/>
      <c r="G891" s="283"/>
      <c r="H891" s="283"/>
      <c r="I891" s="280"/>
      <c r="J891" s="281"/>
      <c r="K891" s="280"/>
      <c r="L891" s="280"/>
    </row>
    <row r="892" ht="15.75" customHeight="1">
      <c r="A892" s="279"/>
      <c r="B892" s="280"/>
      <c r="C892" s="280"/>
      <c r="D892" s="280"/>
      <c r="E892" s="281"/>
      <c r="F892" s="282"/>
      <c r="G892" s="283"/>
      <c r="H892" s="283"/>
      <c r="I892" s="280"/>
      <c r="J892" s="281"/>
      <c r="K892" s="280"/>
      <c r="L892" s="280"/>
    </row>
    <row r="893" ht="15.75" customHeight="1">
      <c r="A893" s="279"/>
      <c r="B893" s="280"/>
      <c r="C893" s="280"/>
      <c r="D893" s="280"/>
      <c r="E893" s="281"/>
      <c r="F893" s="282"/>
      <c r="G893" s="283"/>
      <c r="H893" s="283"/>
      <c r="I893" s="280"/>
      <c r="J893" s="281"/>
      <c r="K893" s="280"/>
      <c r="L893" s="280"/>
    </row>
    <row r="894" ht="15.75" customHeight="1">
      <c r="A894" s="279"/>
      <c r="B894" s="280"/>
      <c r="C894" s="280"/>
      <c r="D894" s="280"/>
      <c r="E894" s="281"/>
      <c r="F894" s="282"/>
      <c r="G894" s="283"/>
      <c r="H894" s="283"/>
      <c r="I894" s="280"/>
      <c r="J894" s="281"/>
      <c r="K894" s="280"/>
      <c r="L894" s="280"/>
    </row>
    <row r="895" ht="15.75" customHeight="1">
      <c r="A895" s="279"/>
      <c r="B895" s="280"/>
      <c r="C895" s="280"/>
      <c r="D895" s="280"/>
      <c r="E895" s="281"/>
      <c r="F895" s="282"/>
      <c r="G895" s="283"/>
      <c r="H895" s="283"/>
      <c r="I895" s="280"/>
      <c r="J895" s="281"/>
      <c r="K895" s="280"/>
      <c r="L895" s="280"/>
    </row>
    <row r="896" ht="15.75" customHeight="1">
      <c r="A896" s="279"/>
      <c r="B896" s="280"/>
      <c r="C896" s="280"/>
      <c r="D896" s="280"/>
      <c r="E896" s="281"/>
      <c r="F896" s="282"/>
      <c r="G896" s="283"/>
      <c r="H896" s="283"/>
      <c r="I896" s="280"/>
      <c r="J896" s="281"/>
      <c r="K896" s="280"/>
      <c r="L896" s="280"/>
    </row>
    <row r="897" ht="15.75" customHeight="1">
      <c r="A897" s="279"/>
      <c r="B897" s="280"/>
      <c r="C897" s="280"/>
      <c r="D897" s="280"/>
      <c r="E897" s="281"/>
      <c r="F897" s="282"/>
      <c r="G897" s="283"/>
      <c r="H897" s="283"/>
      <c r="I897" s="280"/>
      <c r="J897" s="281"/>
      <c r="K897" s="280"/>
      <c r="L897" s="280"/>
    </row>
    <row r="898" ht="15.75" customHeight="1">
      <c r="A898" s="279"/>
      <c r="B898" s="280"/>
      <c r="C898" s="280"/>
      <c r="D898" s="280"/>
      <c r="E898" s="281"/>
      <c r="F898" s="282"/>
      <c r="G898" s="283"/>
      <c r="H898" s="283"/>
      <c r="I898" s="280"/>
      <c r="J898" s="281"/>
      <c r="K898" s="280"/>
      <c r="L898" s="280"/>
    </row>
    <row r="899" ht="15.75" customHeight="1">
      <c r="A899" s="279"/>
      <c r="B899" s="280"/>
      <c r="C899" s="280"/>
      <c r="D899" s="280"/>
      <c r="E899" s="281"/>
      <c r="F899" s="282"/>
      <c r="G899" s="283"/>
      <c r="H899" s="283"/>
      <c r="I899" s="280"/>
      <c r="J899" s="281"/>
      <c r="K899" s="280"/>
      <c r="L899" s="280"/>
    </row>
    <row r="900" ht="15.75" customHeight="1">
      <c r="A900" s="279"/>
      <c r="B900" s="280"/>
      <c r="C900" s="280"/>
      <c r="D900" s="280"/>
      <c r="E900" s="281"/>
      <c r="F900" s="282"/>
      <c r="G900" s="283"/>
      <c r="H900" s="283"/>
      <c r="I900" s="280"/>
      <c r="J900" s="281"/>
      <c r="K900" s="280"/>
      <c r="L900" s="280"/>
    </row>
    <row r="901" ht="15.75" customHeight="1">
      <c r="A901" s="279"/>
      <c r="B901" s="280"/>
      <c r="C901" s="280"/>
      <c r="D901" s="280"/>
      <c r="E901" s="281"/>
      <c r="F901" s="282"/>
      <c r="G901" s="283"/>
      <c r="H901" s="283"/>
      <c r="I901" s="280"/>
      <c r="J901" s="281"/>
      <c r="K901" s="280"/>
      <c r="L901" s="280"/>
    </row>
    <row r="902" ht="15.75" customHeight="1">
      <c r="A902" s="279"/>
      <c r="B902" s="280"/>
      <c r="C902" s="280"/>
      <c r="D902" s="280"/>
      <c r="E902" s="281"/>
      <c r="F902" s="282"/>
      <c r="G902" s="283"/>
      <c r="H902" s="283"/>
      <c r="I902" s="280"/>
      <c r="J902" s="281"/>
      <c r="K902" s="280"/>
      <c r="L902" s="280"/>
    </row>
    <row r="903" ht="15.75" customHeight="1">
      <c r="A903" s="279"/>
      <c r="B903" s="280"/>
      <c r="C903" s="280"/>
      <c r="D903" s="280"/>
      <c r="E903" s="281"/>
      <c r="F903" s="282"/>
      <c r="G903" s="283"/>
      <c r="H903" s="283"/>
      <c r="I903" s="280"/>
      <c r="J903" s="281"/>
      <c r="K903" s="280"/>
      <c r="L903" s="280"/>
    </row>
    <row r="904" ht="15.75" customHeight="1">
      <c r="A904" s="279"/>
      <c r="B904" s="280"/>
      <c r="C904" s="280"/>
      <c r="D904" s="280"/>
      <c r="E904" s="281"/>
      <c r="F904" s="282"/>
      <c r="G904" s="283"/>
      <c r="H904" s="283"/>
      <c r="I904" s="280"/>
      <c r="J904" s="281"/>
      <c r="K904" s="280"/>
      <c r="L904" s="280"/>
    </row>
    <row r="905" ht="15.75" customHeight="1">
      <c r="A905" s="279"/>
      <c r="B905" s="280"/>
      <c r="C905" s="280"/>
      <c r="D905" s="280"/>
      <c r="E905" s="281"/>
      <c r="F905" s="282"/>
      <c r="G905" s="283"/>
      <c r="H905" s="283"/>
      <c r="I905" s="280"/>
      <c r="J905" s="281"/>
      <c r="K905" s="280"/>
      <c r="L905" s="280"/>
    </row>
    <row r="906" ht="15.75" customHeight="1">
      <c r="A906" s="279"/>
      <c r="B906" s="280"/>
      <c r="C906" s="280"/>
      <c r="D906" s="280"/>
      <c r="E906" s="281"/>
      <c r="F906" s="282"/>
      <c r="G906" s="283"/>
      <c r="H906" s="283"/>
      <c r="I906" s="280"/>
      <c r="J906" s="281"/>
      <c r="K906" s="280"/>
      <c r="L906" s="280"/>
    </row>
    <row r="907" ht="15.75" customHeight="1">
      <c r="A907" s="279"/>
      <c r="B907" s="280"/>
      <c r="C907" s="280"/>
      <c r="D907" s="280"/>
      <c r="E907" s="281"/>
      <c r="F907" s="282"/>
      <c r="G907" s="283"/>
      <c r="H907" s="283"/>
      <c r="I907" s="280"/>
      <c r="J907" s="281"/>
      <c r="K907" s="280"/>
      <c r="L907" s="280"/>
    </row>
    <row r="908" ht="15.75" customHeight="1">
      <c r="A908" s="279"/>
      <c r="B908" s="280"/>
      <c r="C908" s="280"/>
      <c r="D908" s="280"/>
      <c r="E908" s="281"/>
      <c r="F908" s="282"/>
      <c r="G908" s="283"/>
      <c r="H908" s="283"/>
      <c r="I908" s="280"/>
      <c r="J908" s="281"/>
      <c r="K908" s="280"/>
      <c r="L908" s="280"/>
    </row>
    <row r="909" ht="15.75" customHeight="1">
      <c r="A909" s="279"/>
      <c r="B909" s="280"/>
      <c r="C909" s="280"/>
      <c r="D909" s="280"/>
      <c r="E909" s="281"/>
      <c r="F909" s="282"/>
      <c r="G909" s="283"/>
      <c r="H909" s="283"/>
      <c r="I909" s="280"/>
      <c r="J909" s="281"/>
      <c r="K909" s="280"/>
      <c r="L909" s="280"/>
    </row>
    <row r="910" ht="15.75" customHeight="1">
      <c r="A910" s="279"/>
      <c r="B910" s="280"/>
      <c r="C910" s="280"/>
      <c r="D910" s="280"/>
      <c r="E910" s="281"/>
      <c r="F910" s="282"/>
      <c r="G910" s="283"/>
      <c r="H910" s="283"/>
      <c r="I910" s="280"/>
      <c r="J910" s="281"/>
      <c r="K910" s="280"/>
      <c r="L910" s="280"/>
    </row>
    <row r="911" ht="15.75" customHeight="1">
      <c r="A911" s="279"/>
      <c r="B911" s="280"/>
      <c r="C911" s="280"/>
      <c r="D911" s="280"/>
      <c r="E911" s="281"/>
      <c r="F911" s="282"/>
      <c r="G911" s="283"/>
      <c r="H911" s="283"/>
      <c r="I911" s="280"/>
      <c r="J911" s="281"/>
      <c r="K911" s="280"/>
      <c r="L911" s="280"/>
    </row>
    <row r="912" ht="15.75" customHeight="1">
      <c r="A912" s="279"/>
      <c r="B912" s="280"/>
      <c r="C912" s="280"/>
      <c r="D912" s="280"/>
      <c r="E912" s="281"/>
      <c r="F912" s="282"/>
      <c r="G912" s="283"/>
      <c r="H912" s="283"/>
      <c r="I912" s="280"/>
      <c r="J912" s="281"/>
      <c r="K912" s="280"/>
      <c r="L912" s="280"/>
    </row>
    <row r="913" ht="15.75" customHeight="1">
      <c r="A913" s="279"/>
      <c r="B913" s="280"/>
      <c r="C913" s="280"/>
      <c r="D913" s="280"/>
      <c r="E913" s="281"/>
      <c r="F913" s="282"/>
      <c r="G913" s="283"/>
      <c r="H913" s="283"/>
      <c r="I913" s="280"/>
      <c r="J913" s="281"/>
      <c r="K913" s="280"/>
      <c r="L913" s="280"/>
    </row>
    <row r="914" ht="15.75" customHeight="1">
      <c r="A914" s="279"/>
      <c r="B914" s="280"/>
      <c r="C914" s="280"/>
      <c r="D914" s="280"/>
      <c r="E914" s="281"/>
      <c r="F914" s="282"/>
      <c r="G914" s="283"/>
      <c r="H914" s="283"/>
      <c r="I914" s="280"/>
      <c r="J914" s="281"/>
      <c r="K914" s="280"/>
      <c r="L914" s="280"/>
    </row>
    <row r="915" ht="15.75" customHeight="1">
      <c r="A915" s="279"/>
      <c r="B915" s="280"/>
      <c r="C915" s="280"/>
      <c r="D915" s="280"/>
      <c r="E915" s="281"/>
      <c r="F915" s="282"/>
      <c r="G915" s="283"/>
      <c r="H915" s="283"/>
      <c r="I915" s="280"/>
      <c r="J915" s="281"/>
      <c r="K915" s="280"/>
      <c r="L915" s="280"/>
    </row>
    <row r="916" ht="15.75" customHeight="1">
      <c r="A916" s="279"/>
      <c r="B916" s="280"/>
      <c r="C916" s="280"/>
      <c r="D916" s="280"/>
      <c r="E916" s="281"/>
      <c r="F916" s="282"/>
      <c r="G916" s="283"/>
      <c r="H916" s="283"/>
      <c r="I916" s="280"/>
      <c r="J916" s="281"/>
      <c r="K916" s="280"/>
      <c r="L916" s="280"/>
    </row>
    <row r="917" ht="15.75" customHeight="1">
      <c r="A917" s="279"/>
      <c r="B917" s="280"/>
      <c r="C917" s="280"/>
      <c r="D917" s="280"/>
      <c r="E917" s="281"/>
      <c r="F917" s="282"/>
      <c r="G917" s="283"/>
      <c r="H917" s="283"/>
      <c r="I917" s="280"/>
      <c r="J917" s="281"/>
      <c r="K917" s="280"/>
      <c r="L917" s="280"/>
    </row>
    <row r="918" ht="15.75" customHeight="1">
      <c r="A918" s="279"/>
      <c r="B918" s="280"/>
      <c r="C918" s="280"/>
      <c r="D918" s="280"/>
      <c r="E918" s="281"/>
      <c r="F918" s="282"/>
      <c r="G918" s="283"/>
      <c r="H918" s="283"/>
      <c r="I918" s="280"/>
      <c r="J918" s="281"/>
      <c r="K918" s="280"/>
      <c r="L918" s="280"/>
    </row>
    <row r="919" ht="15.75" customHeight="1">
      <c r="A919" s="279"/>
      <c r="B919" s="280"/>
      <c r="C919" s="280"/>
      <c r="D919" s="280"/>
      <c r="E919" s="281"/>
      <c r="F919" s="282"/>
      <c r="G919" s="283"/>
      <c r="H919" s="283"/>
      <c r="I919" s="280"/>
      <c r="J919" s="281"/>
      <c r="K919" s="280"/>
      <c r="L919" s="280"/>
    </row>
    <row r="920" ht="15.75" customHeight="1">
      <c r="A920" s="279"/>
      <c r="B920" s="280"/>
      <c r="C920" s="280"/>
      <c r="D920" s="280"/>
      <c r="E920" s="281"/>
      <c r="F920" s="282"/>
      <c r="G920" s="283"/>
      <c r="H920" s="283"/>
      <c r="I920" s="280"/>
      <c r="J920" s="281"/>
      <c r="K920" s="280"/>
      <c r="L920" s="280"/>
    </row>
    <row r="921" ht="15.75" customHeight="1">
      <c r="A921" s="279"/>
      <c r="B921" s="280"/>
      <c r="C921" s="280"/>
      <c r="D921" s="280"/>
      <c r="E921" s="281"/>
      <c r="F921" s="282"/>
      <c r="G921" s="283"/>
      <c r="H921" s="283"/>
      <c r="I921" s="280"/>
      <c r="J921" s="281"/>
      <c r="K921" s="280"/>
      <c r="L921" s="280"/>
    </row>
    <row r="922" ht="15.75" customHeight="1">
      <c r="A922" s="279"/>
      <c r="B922" s="280"/>
      <c r="C922" s="280"/>
      <c r="D922" s="280"/>
      <c r="E922" s="281"/>
      <c r="F922" s="282"/>
      <c r="G922" s="283"/>
      <c r="H922" s="283"/>
      <c r="I922" s="280"/>
      <c r="J922" s="281"/>
      <c r="K922" s="280"/>
      <c r="L922" s="280"/>
    </row>
    <row r="923" ht="15.75" customHeight="1">
      <c r="A923" s="279"/>
      <c r="B923" s="280"/>
      <c r="C923" s="280"/>
      <c r="D923" s="280"/>
      <c r="E923" s="281"/>
      <c r="F923" s="282"/>
      <c r="G923" s="283"/>
      <c r="H923" s="283"/>
      <c r="I923" s="280"/>
      <c r="J923" s="281"/>
      <c r="K923" s="280"/>
      <c r="L923" s="280"/>
    </row>
    <row r="924" ht="15.75" customHeight="1">
      <c r="A924" s="279"/>
      <c r="B924" s="280"/>
      <c r="C924" s="280"/>
      <c r="D924" s="280"/>
      <c r="E924" s="281"/>
      <c r="F924" s="282"/>
      <c r="G924" s="283"/>
      <c r="H924" s="283"/>
      <c r="I924" s="280"/>
      <c r="J924" s="281"/>
      <c r="K924" s="280"/>
      <c r="L924" s="280"/>
    </row>
    <row r="925" ht="15.75" customHeight="1">
      <c r="A925" s="279"/>
      <c r="B925" s="280"/>
      <c r="C925" s="280"/>
      <c r="D925" s="280"/>
      <c r="E925" s="281"/>
      <c r="F925" s="282"/>
      <c r="G925" s="283"/>
      <c r="H925" s="283"/>
      <c r="I925" s="280"/>
      <c r="J925" s="281"/>
      <c r="K925" s="280"/>
      <c r="L925" s="280"/>
    </row>
    <row r="926" ht="15.75" customHeight="1">
      <c r="A926" s="279"/>
      <c r="B926" s="280"/>
      <c r="C926" s="280"/>
      <c r="D926" s="280"/>
      <c r="E926" s="281"/>
      <c r="F926" s="282"/>
      <c r="G926" s="283"/>
      <c r="H926" s="283"/>
      <c r="I926" s="280"/>
      <c r="J926" s="281"/>
      <c r="K926" s="280"/>
      <c r="L926" s="280"/>
    </row>
    <row r="927" ht="15.75" customHeight="1">
      <c r="A927" s="279"/>
      <c r="B927" s="280"/>
      <c r="C927" s="280"/>
      <c r="D927" s="280"/>
      <c r="E927" s="281"/>
      <c r="F927" s="282"/>
      <c r="G927" s="283"/>
      <c r="H927" s="283"/>
      <c r="I927" s="280"/>
      <c r="J927" s="281"/>
      <c r="K927" s="280"/>
      <c r="L927" s="280"/>
    </row>
    <row r="928" ht="15.75" customHeight="1">
      <c r="A928" s="279"/>
      <c r="B928" s="280"/>
      <c r="C928" s="280"/>
      <c r="D928" s="280"/>
      <c r="E928" s="281"/>
      <c r="F928" s="282"/>
      <c r="G928" s="283"/>
      <c r="H928" s="283"/>
      <c r="I928" s="280"/>
      <c r="J928" s="281"/>
      <c r="K928" s="280"/>
      <c r="L928" s="280"/>
    </row>
    <row r="929" ht="15.75" customHeight="1">
      <c r="A929" s="279"/>
      <c r="B929" s="280"/>
      <c r="C929" s="280"/>
      <c r="D929" s="280"/>
      <c r="E929" s="281"/>
      <c r="F929" s="282"/>
      <c r="G929" s="283"/>
      <c r="H929" s="283"/>
      <c r="I929" s="280"/>
      <c r="J929" s="281"/>
      <c r="K929" s="280"/>
      <c r="L929" s="280"/>
    </row>
    <row r="930" ht="15.75" customHeight="1">
      <c r="A930" s="279"/>
      <c r="B930" s="280"/>
      <c r="C930" s="280"/>
      <c r="D930" s="280"/>
      <c r="E930" s="281"/>
      <c r="F930" s="282"/>
      <c r="G930" s="283"/>
      <c r="H930" s="283"/>
      <c r="I930" s="280"/>
      <c r="J930" s="281"/>
      <c r="K930" s="280"/>
      <c r="L930" s="280"/>
    </row>
    <row r="931" ht="15.75" customHeight="1">
      <c r="A931" s="279"/>
      <c r="B931" s="280"/>
      <c r="C931" s="280"/>
      <c r="D931" s="280"/>
      <c r="E931" s="281"/>
      <c r="F931" s="282"/>
      <c r="G931" s="283"/>
      <c r="H931" s="283"/>
      <c r="I931" s="280"/>
      <c r="J931" s="281"/>
      <c r="K931" s="280"/>
      <c r="L931" s="280"/>
    </row>
    <row r="932" ht="15.75" customHeight="1">
      <c r="A932" s="279"/>
      <c r="B932" s="280"/>
      <c r="C932" s="280"/>
      <c r="D932" s="280"/>
      <c r="E932" s="281"/>
      <c r="F932" s="282"/>
      <c r="G932" s="283"/>
      <c r="H932" s="283"/>
      <c r="I932" s="280"/>
      <c r="J932" s="281"/>
      <c r="K932" s="280"/>
      <c r="L932" s="280"/>
    </row>
    <row r="933" ht="15.75" customHeight="1">
      <c r="A933" s="279"/>
      <c r="B933" s="280"/>
      <c r="C933" s="280"/>
      <c r="D933" s="280"/>
      <c r="E933" s="281"/>
      <c r="F933" s="282"/>
      <c r="G933" s="283"/>
      <c r="H933" s="283"/>
      <c r="I933" s="280"/>
      <c r="J933" s="281"/>
      <c r="K933" s="280"/>
      <c r="L933" s="280"/>
    </row>
    <row r="934" ht="15.75" customHeight="1">
      <c r="A934" s="279"/>
      <c r="B934" s="280"/>
      <c r="C934" s="280"/>
      <c r="D934" s="280"/>
      <c r="E934" s="281"/>
      <c r="F934" s="282"/>
      <c r="G934" s="283"/>
      <c r="H934" s="283"/>
      <c r="I934" s="280"/>
      <c r="J934" s="281"/>
      <c r="K934" s="280"/>
      <c r="L934" s="280"/>
    </row>
    <row r="935" ht="15.75" customHeight="1">
      <c r="A935" s="279"/>
      <c r="B935" s="280"/>
      <c r="C935" s="280"/>
      <c r="D935" s="280"/>
      <c r="E935" s="281"/>
      <c r="F935" s="282"/>
      <c r="G935" s="283"/>
      <c r="H935" s="283"/>
      <c r="I935" s="280"/>
      <c r="J935" s="281"/>
      <c r="K935" s="280"/>
      <c r="L935" s="280"/>
    </row>
    <row r="936" ht="15.75" customHeight="1">
      <c r="A936" s="279"/>
      <c r="B936" s="280"/>
      <c r="C936" s="280"/>
      <c r="D936" s="280"/>
      <c r="E936" s="281"/>
      <c r="F936" s="282"/>
      <c r="G936" s="283"/>
      <c r="H936" s="283"/>
      <c r="I936" s="280"/>
      <c r="J936" s="281"/>
      <c r="K936" s="280"/>
      <c r="L936" s="280"/>
    </row>
    <row r="937" ht="15.75" customHeight="1">
      <c r="A937" s="279"/>
      <c r="B937" s="280"/>
      <c r="C937" s="280"/>
      <c r="D937" s="280"/>
      <c r="E937" s="281"/>
      <c r="F937" s="282"/>
      <c r="G937" s="283"/>
      <c r="H937" s="283"/>
      <c r="I937" s="280"/>
      <c r="J937" s="281"/>
      <c r="K937" s="280"/>
      <c r="L937" s="280"/>
    </row>
    <row r="938" ht="15.75" customHeight="1">
      <c r="A938" s="279"/>
      <c r="B938" s="280"/>
      <c r="C938" s="280"/>
      <c r="D938" s="280"/>
      <c r="E938" s="281"/>
      <c r="F938" s="282"/>
      <c r="G938" s="283"/>
      <c r="H938" s="283"/>
      <c r="I938" s="280"/>
      <c r="J938" s="281"/>
      <c r="K938" s="280"/>
      <c r="L938" s="280"/>
    </row>
    <row r="939" ht="15.75" customHeight="1">
      <c r="A939" s="279"/>
      <c r="B939" s="280"/>
      <c r="C939" s="280"/>
      <c r="D939" s="280"/>
      <c r="E939" s="281"/>
      <c r="F939" s="282"/>
      <c r="G939" s="283"/>
      <c r="H939" s="283"/>
      <c r="I939" s="280"/>
      <c r="J939" s="281"/>
      <c r="K939" s="280"/>
      <c r="L939" s="280"/>
    </row>
    <row r="940" ht="15.75" customHeight="1">
      <c r="A940" s="279"/>
      <c r="B940" s="280"/>
      <c r="C940" s="280"/>
      <c r="D940" s="280"/>
      <c r="E940" s="281"/>
      <c r="F940" s="282"/>
      <c r="G940" s="283"/>
      <c r="H940" s="283"/>
      <c r="I940" s="280"/>
      <c r="J940" s="281"/>
      <c r="K940" s="280"/>
      <c r="L940" s="280"/>
    </row>
    <row r="941" ht="15.75" customHeight="1">
      <c r="A941" s="279"/>
      <c r="B941" s="280"/>
      <c r="C941" s="280"/>
      <c r="D941" s="280"/>
      <c r="E941" s="281"/>
      <c r="F941" s="282"/>
      <c r="G941" s="283"/>
      <c r="H941" s="283"/>
      <c r="I941" s="280"/>
      <c r="J941" s="281"/>
      <c r="K941" s="280"/>
      <c r="L941" s="280"/>
    </row>
    <row r="942" ht="15.75" customHeight="1">
      <c r="A942" s="279"/>
      <c r="B942" s="280"/>
      <c r="C942" s="280"/>
      <c r="D942" s="280"/>
      <c r="E942" s="281"/>
      <c r="F942" s="282"/>
      <c r="G942" s="283"/>
      <c r="H942" s="283"/>
      <c r="I942" s="280"/>
      <c r="J942" s="281"/>
      <c r="K942" s="280"/>
      <c r="L942" s="280"/>
    </row>
    <row r="943" ht="15.75" customHeight="1">
      <c r="A943" s="279"/>
      <c r="B943" s="280"/>
      <c r="C943" s="280"/>
      <c r="D943" s="280"/>
      <c r="E943" s="281"/>
      <c r="F943" s="282"/>
      <c r="G943" s="283"/>
      <c r="H943" s="283"/>
      <c r="I943" s="280"/>
      <c r="J943" s="281"/>
      <c r="K943" s="280"/>
      <c r="L943" s="280"/>
    </row>
    <row r="944" ht="15.75" customHeight="1">
      <c r="A944" s="279"/>
      <c r="B944" s="280"/>
      <c r="C944" s="280"/>
      <c r="D944" s="280"/>
      <c r="E944" s="281"/>
      <c r="F944" s="282"/>
      <c r="G944" s="283"/>
      <c r="H944" s="283"/>
      <c r="I944" s="280"/>
      <c r="J944" s="281"/>
      <c r="K944" s="280"/>
      <c r="L944" s="280"/>
    </row>
    <row r="945" ht="15.75" customHeight="1">
      <c r="A945" s="279"/>
      <c r="B945" s="280"/>
      <c r="C945" s="280"/>
      <c r="D945" s="280"/>
      <c r="E945" s="281"/>
      <c r="F945" s="282"/>
      <c r="G945" s="283"/>
      <c r="H945" s="283"/>
      <c r="I945" s="280"/>
      <c r="J945" s="281"/>
      <c r="K945" s="280"/>
      <c r="L945" s="280"/>
    </row>
    <row r="946" ht="15.75" customHeight="1">
      <c r="A946" s="279"/>
      <c r="B946" s="280"/>
      <c r="C946" s="280"/>
      <c r="D946" s="280"/>
      <c r="E946" s="281"/>
      <c r="F946" s="282"/>
      <c r="G946" s="283"/>
      <c r="H946" s="283"/>
      <c r="I946" s="280"/>
      <c r="J946" s="281"/>
      <c r="K946" s="280"/>
      <c r="L946" s="280"/>
    </row>
    <row r="947" ht="15.75" customHeight="1">
      <c r="A947" s="279"/>
      <c r="B947" s="280"/>
      <c r="C947" s="280"/>
      <c r="D947" s="280"/>
      <c r="E947" s="281"/>
      <c r="F947" s="282"/>
      <c r="G947" s="283"/>
      <c r="H947" s="283"/>
      <c r="I947" s="280"/>
      <c r="J947" s="281"/>
      <c r="K947" s="280"/>
      <c r="L947" s="280"/>
    </row>
    <row r="948" ht="15.75" customHeight="1">
      <c r="A948" s="279"/>
      <c r="B948" s="280"/>
      <c r="C948" s="280"/>
      <c r="D948" s="280"/>
      <c r="E948" s="281"/>
      <c r="F948" s="282"/>
      <c r="G948" s="283"/>
      <c r="H948" s="283"/>
      <c r="I948" s="280"/>
      <c r="J948" s="281"/>
      <c r="K948" s="280"/>
      <c r="L948" s="280"/>
    </row>
    <row r="949" ht="15.75" customHeight="1">
      <c r="A949" s="279"/>
      <c r="B949" s="280"/>
      <c r="C949" s="280"/>
      <c r="D949" s="280"/>
      <c r="E949" s="281"/>
      <c r="F949" s="282"/>
      <c r="G949" s="283"/>
      <c r="H949" s="283"/>
      <c r="I949" s="280"/>
      <c r="J949" s="281"/>
      <c r="K949" s="280"/>
      <c r="L949" s="280"/>
    </row>
    <row r="950" ht="15.75" customHeight="1">
      <c r="A950" s="279"/>
      <c r="B950" s="280"/>
      <c r="C950" s="280"/>
      <c r="D950" s="280"/>
      <c r="E950" s="281"/>
      <c r="F950" s="282"/>
      <c r="G950" s="283"/>
      <c r="H950" s="283"/>
      <c r="I950" s="280"/>
      <c r="J950" s="281"/>
      <c r="K950" s="280"/>
      <c r="L950" s="280"/>
    </row>
    <row r="951" ht="15.75" customHeight="1">
      <c r="A951" s="279"/>
      <c r="B951" s="280"/>
      <c r="C951" s="280"/>
      <c r="D951" s="280"/>
      <c r="E951" s="281"/>
      <c r="F951" s="282"/>
      <c r="G951" s="283"/>
      <c r="H951" s="283"/>
      <c r="I951" s="280"/>
      <c r="J951" s="281"/>
      <c r="K951" s="280"/>
      <c r="L951" s="280"/>
    </row>
    <row r="952" ht="15.75" customHeight="1">
      <c r="A952" s="279"/>
      <c r="B952" s="280"/>
      <c r="C952" s="280"/>
      <c r="D952" s="280"/>
      <c r="E952" s="281"/>
      <c r="F952" s="282"/>
      <c r="G952" s="283"/>
      <c r="H952" s="283"/>
      <c r="I952" s="280"/>
      <c r="J952" s="281"/>
      <c r="K952" s="280"/>
      <c r="L952" s="280"/>
    </row>
    <row r="953" ht="15.75" customHeight="1">
      <c r="A953" s="279"/>
      <c r="B953" s="280"/>
      <c r="C953" s="280"/>
      <c r="D953" s="280"/>
      <c r="E953" s="281"/>
      <c r="F953" s="282"/>
      <c r="G953" s="283"/>
      <c r="H953" s="283"/>
      <c r="I953" s="280"/>
      <c r="J953" s="281"/>
      <c r="K953" s="280"/>
      <c r="L953" s="280"/>
    </row>
    <row r="954" ht="15.75" customHeight="1">
      <c r="A954" s="279"/>
      <c r="B954" s="280"/>
      <c r="C954" s="280"/>
      <c r="D954" s="280"/>
      <c r="E954" s="281"/>
      <c r="F954" s="282"/>
      <c r="G954" s="283"/>
      <c r="H954" s="283"/>
      <c r="I954" s="280"/>
      <c r="J954" s="281"/>
      <c r="K954" s="280"/>
      <c r="L954" s="280"/>
    </row>
    <row r="955" ht="15.75" customHeight="1">
      <c r="A955" s="279"/>
      <c r="B955" s="280"/>
      <c r="C955" s="280"/>
      <c r="D955" s="280"/>
      <c r="E955" s="281"/>
      <c r="F955" s="282"/>
      <c r="G955" s="283"/>
      <c r="H955" s="283"/>
      <c r="I955" s="280"/>
      <c r="J955" s="281"/>
      <c r="K955" s="280"/>
      <c r="L955" s="280"/>
    </row>
    <row r="956" ht="15.75" customHeight="1">
      <c r="A956" s="279"/>
      <c r="B956" s="280"/>
      <c r="C956" s="280"/>
      <c r="D956" s="280"/>
      <c r="E956" s="281"/>
      <c r="F956" s="282"/>
      <c r="G956" s="283"/>
      <c r="H956" s="283"/>
      <c r="I956" s="280"/>
      <c r="J956" s="281"/>
      <c r="K956" s="280"/>
      <c r="L956" s="280"/>
    </row>
    <row r="957" ht="15.75" customHeight="1">
      <c r="A957" s="279"/>
      <c r="B957" s="280"/>
      <c r="C957" s="280"/>
      <c r="D957" s="280"/>
      <c r="E957" s="281"/>
      <c r="F957" s="282"/>
      <c r="G957" s="283"/>
      <c r="H957" s="283"/>
      <c r="I957" s="280"/>
      <c r="J957" s="281"/>
      <c r="K957" s="280"/>
      <c r="L957" s="280"/>
    </row>
    <row r="958" ht="15.75" customHeight="1">
      <c r="A958" s="279"/>
      <c r="B958" s="280"/>
      <c r="C958" s="280"/>
      <c r="D958" s="280"/>
      <c r="E958" s="281"/>
      <c r="F958" s="282"/>
      <c r="G958" s="283"/>
      <c r="H958" s="283"/>
      <c r="I958" s="280"/>
      <c r="J958" s="281"/>
      <c r="K958" s="280"/>
      <c r="L958" s="280"/>
    </row>
    <row r="959" ht="15.75" customHeight="1">
      <c r="A959" s="279"/>
      <c r="B959" s="280"/>
      <c r="C959" s="280"/>
      <c r="D959" s="280"/>
      <c r="E959" s="281"/>
      <c r="F959" s="282"/>
      <c r="G959" s="283"/>
      <c r="H959" s="283"/>
      <c r="I959" s="280"/>
      <c r="J959" s="281"/>
      <c r="K959" s="280"/>
      <c r="L959" s="280"/>
    </row>
    <row r="960" ht="15.75" customHeight="1">
      <c r="A960" s="279"/>
      <c r="B960" s="280"/>
      <c r="C960" s="280"/>
      <c r="D960" s="280"/>
      <c r="E960" s="281"/>
      <c r="F960" s="282"/>
      <c r="G960" s="283"/>
      <c r="H960" s="283"/>
      <c r="I960" s="280"/>
      <c r="J960" s="281"/>
      <c r="K960" s="280"/>
      <c r="L960" s="280"/>
    </row>
    <row r="961" ht="15.75" customHeight="1">
      <c r="A961" s="279"/>
      <c r="B961" s="280"/>
      <c r="C961" s="280"/>
      <c r="D961" s="280"/>
      <c r="E961" s="281"/>
      <c r="F961" s="282"/>
      <c r="G961" s="283"/>
      <c r="H961" s="283"/>
      <c r="I961" s="280"/>
      <c r="J961" s="281"/>
      <c r="K961" s="280"/>
      <c r="L961" s="280"/>
    </row>
    <row r="962" ht="15.75" customHeight="1">
      <c r="A962" s="279"/>
      <c r="B962" s="280"/>
      <c r="C962" s="280"/>
      <c r="D962" s="280"/>
      <c r="E962" s="281"/>
      <c r="F962" s="282"/>
      <c r="G962" s="283"/>
      <c r="H962" s="283"/>
      <c r="I962" s="280"/>
      <c r="J962" s="281"/>
      <c r="K962" s="280"/>
      <c r="L962" s="280"/>
    </row>
    <row r="963" ht="15.75" customHeight="1">
      <c r="A963" s="279"/>
      <c r="B963" s="280"/>
      <c r="C963" s="280"/>
      <c r="D963" s="280"/>
      <c r="E963" s="281"/>
      <c r="F963" s="282"/>
      <c r="G963" s="283"/>
      <c r="H963" s="283"/>
      <c r="I963" s="280"/>
      <c r="J963" s="281"/>
      <c r="K963" s="280"/>
      <c r="L963" s="280"/>
    </row>
    <row r="964" ht="15.75" customHeight="1">
      <c r="A964" s="279"/>
      <c r="B964" s="280"/>
      <c r="C964" s="280"/>
      <c r="D964" s="280"/>
      <c r="E964" s="281"/>
      <c r="F964" s="282"/>
      <c r="G964" s="283"/>
      <c r="H964" s="283"/>
      <c r="I964" s="280"/>
      <c r="J964" s="281"/>
      <c r="K964" s="280"/>
      <c r="L964" s="280"/>
    </row>
    <row r="965" ht="15.75" customHeight="1">
      <c r="A965" s="279"/>
      <c r="B965" s="280"/>
      <c r="C965" s="280"/>
      <c r="D965" s="280"/>
      <c r="E965" s="281"/>
      <c r="F965" s="282"/>
      <c r="G965" s="283"/>
      <c r="H965" s="283"/>
      <c r="I965" s="280"/>
      <c r="J965" s="281"/>
      <c r="K965" s="280"/>
      <c r="L965" s="280"/>
    </row>
    <row r="966" ht="15.75" customHeight="1">
      <c r="A966" s="279"/>
      <c r="B966" s="280"/>
      <c r="C966" s="280"/>
      <c r="D966" s="280"/>
      <c r="E966" s="281"/>
      <c r="F966" s="282"/>
      <c r="G966" s="283"/>
      <c r="H966" s="283"/>
      <c r="I966" s="280"/>
      <c r="J966" s="281"/>
      <c r="K966" s="280"/>
      <c r="L966" s="280"/>
    </row>
    <row r="967" ht="15.75" customHeight="1">
      <c r="A967" s="279"/>
      <c r="B967" s="280"/>
      <c r="C967" s="280"/>
      <c r="D967" s="280"/>
      <c r="E967" s="281"/>
      <c r="F967" s="282"/>
      <c r="G967" s="283"/>
      <c r="H967" s="283"/>
      <c r="I967" s="280"/>
      <c r="J967" s="281"/>
      <c r="K967" s="280"/>
      <c r="L967" s="280"/>
    </row>
    <row r="968" ht="15.75" customHeight="1">
      <c r="A968" s="279"/>
      <c r="B968" s="280"/>
      <c r="C968" s="280"/>
      <c r="D968" s="280"/>
      <c r="E968" s="281"/>
      <c r="F968" s="282"/>
      <c r="G968" s="283"/>
      <c r="H968" s="283"/>
      <c r="I968" s="280"/>
      <c r="J968" s="281"/>
      <c r="K968" s="280"/>
      <c r="L968" s="280"/>
    </row>
    <row r="969" ht="15.75" customHeight="1">
      <c r="A969" s="279"/>
      <c r="B969" s="280"/>
      <c r="C969" s="280"/>
      <c r="D969" s="280"/>
      <c r="E969" s="281"/>
      <c r="F969" s="282"/>
      <c r="G969" s="283"/>
      <c r="H969" s="283"/>
      <c r="I969" s="280"/>
      <c r="J969" s="281"/>
      <c r="K969" s="280"/>
      <c r="L969" s="280"/>
    </row>
    <row r="970" ht="15.75" customHeight="1">
      <c r="A970" s="279"/>
      <c r="B970" s="280"/>
      <c r="C970" s="280"/>
      <c r="D970" s="280"/>
      <c r="E970" s="281"/>
      <c r="F970" s="282"/>
      <c r="G970" s="283"/>
      <c r="H970" s="283"/>
      <c r="I970" s="280"/>
      <c r="J970" s="281"/>
      <c r="K970" s="280"/>
      <c r="L970" s="280"/>
    </row>
    <row r="971" ht="15.75" customHeight="1">
      <c r="A971" s="279"/>
      <c r="B971" s="280"/>
      <c r="C971" s="280"/>
      <c r="D971" s="280"/>
      <c r="E971" s="281"/>
      <c r="F971" s="282"/>
      <c r="G971" s="283"/>
      <c r="H971" s="283"/>
      <c r="I971" s="280"/>
      <c r="J971" s="281"/>
      <c r="K971" s="280"/>
      <c r="L971" s="280"/>
    </row>
    <row r="972" ht="15.75" customHeight="1">
      <c r="A972" s="279"/>
      <c r="B972" s="280"/>
      <c r="C972" s="280"/>
      <c r="D972" s="280"/>
      <c r="E972" s="281"/>
      <c r="F972" s="282"/>
      <c r="G972" s="283"/>
      <c r="H972" s="283"/>
      <c r="I972" s="280"/>
      <c r="J972" s="281"/>
      <c r="K972" s="280"/>
      <c r="L972" s="280"/>
    </row>
    <row r="973" ht="15.75" customHeight="1">
      <c r="A973" s="279"/>
      <c r="B973" s="280"/>
      <c r="C973" s="280"/>
      <c r="D973" s="280"/>
      <c r="E973" s="281"/>
      <c r="F973" s="282"/>
      <c r="G973" s="283"/>
      <c r="H973" s="283"/>
      <c r="I973" s="280"/>
      <c r="J973" s="281"/>
      <c r="K973" s="280"/>
      <c r="L973" s="280"/>
    </row>
    <row r="974" ht="15.75" customHeight="1">
      <c r="A974" s="279"/>
      <c r="B974" s="280"/>
      <c r="C974" s="280"/>
      <c r="D974" s="280"/>
      <c r="E974" s="281"/>
      <c r="F974" s="282"/>
      <c r="G974" s="283"/>
      <c r="H974" s="283"/>
      <c r="I974" s="280"/>
      <c r="J974" s="281"/>
      <c r="K974" s="280"/>
      <c r="L974" s="280"/>
    </row>
    <row r="975" ht="15.75" customHeight="1">
      <c r="A975" s="279"/>
      <c r="B975" s="280"/>
      <c r="C975" s="280"/>
      <c r="D975" s="280"/>
      <c r="E975" s="281"/>
      <c r="F975" s="282"/>
      <c r="G975" s="283"/>
      <c r="H975" s="283"/>
      <c r="I975" s="280"/>
      <c r="J975" s="281"/>
      <c r="K975" s="280"/>
      <c r="L975" s="280"/>
    </row>
    <row r="976" ht="15.75" customHeight="1">
      <c r="A976" s="279"/>
      <c r="B976" s="280"/>
      <c r="C976" s="280"/>
      <c r="D976" s="280"/>
      <c r="E976" s="281"/>
      <c r="F976" s="282"/>
      <c r="G976" s="283"/>
      <c r="H976" s="283"/>
      <c r="I976" s="280"/>
      <c r="J976" s="281"/>
      <c r="K976" s="280"/>
      <c r="L976" s="280"/>
    </row>
    <row r="977" ht="15.75" customHeight="1">
      <c r="A977" s="279"/>
      <c r="B977" s="280"/>
      <c r="C977" s="280"/>
      <c r="D977" s="280"/>
      <c r="E977" s="281"/>
      <c r="F977" s="282"/>
      <c r="G977" s="283"/>
      <c r="H977" s="283"/>
      <c r="I977" s="280"/>
      <c r="J977" s="281"/>
      <c r="K977" s="280"/>
      <c r="L977" s="280"/>
    </row>
    <row r="978" ht="15.75" customHeight="1">
      <c r="A978" s="279"/>
      <c r="B978" s="280"/>
      <c r="C978" s="280"/>
      <c r="D978" s="280"/>
      <c r="E978" s="281"/>
      <c r="F978" s="282"/>
      <c r="G978" s="283"/>
      <c r="H978" s="283"/>
      <c r="I978" s="280"/>
      <c r="J978" s="281"/>
      <c r="K978" s="280"/>
      <c r="L978" s="280"/>
    </row>
    <row r="979" ht="15.75" customHeight="1">
      <c r="A979" s="279"/>
      <c r="B979" s="280"/>
      <c r="C979" s="280"/>
      <c r="D979" s="280"/>
      <c r="E979" s="281"/>
      <c r="F979" s="282"/>
      <c r="G979" s="283"/>
      <c r="H979" s="283"/>
      <c r="I979" s="280"/>
      <c r="J979" s="281"/>
      <c r="K979" s="280"/>
      <c r="L979" s="280"/>
    </row>
    <row r="980" ht="15.75" customHeight="1">
      <c r="A980" s="279"/>
      <c r="B980" s="280"/>
      <c r="C980" s="280"/>
      <c r="D980" s="280"/>
      <c r="E980" s="281"/>
      <c r="F980" s="282"/>
      <c r="G980" s="283"/>
      <c r="H980" s="283"/>
      <c r="I980" s="280"/>
      <c r="J980" s="281"/>
      <c r="K980" s="280"/>
      <c r="L980" s="280"/>
    </row>
    <row r="981" ht="15.75" customHeight="1">
      <c r="A981" s="279"/>
      <c r="B981" s="280"/>
      <c r="C981" s="280"/>
      <c r="D981" s="280"/>
      <c r="E981" s="281"/>
      <c r="F981" s="282"/>
      <c r="G981" s="283"/>
      <c r="H981" s="283"/>
      <c r="I981" s="280"/>
      <c r="J981" s="281"/>
      <c r="K981" s="280"/>
      <c r="L981" s="280"/>
    </row>
    <row r="982" ht="15.75" customHeight="1">
      <c r="A982" s="279"/>
      <c r="B982" s="280"/>
      <c r="C982" s="280"/>
      <c r="D982" s="280"/>
      <c r="E982" s="281"/>
      <c r="F982" s="282"/>
      <c r="G982" s="283"/>
      <c r="H982" s="283"/>
      <c r="I982" s="280"/>
      <c r="J982" s="281"/>
      <c r="K982" s="280"/>
      <c r="L982" s="280"/>
    </row>
    <row r="983" ht="15.75" customHeight="1">
      <c r="A983" s="279"/>
      <c r="B983" s="280"/>
      <c r="C983" s="280"/>
      <c r="D983" s="280"/>
      <c r="E983" s="281"/>
      <c r="F983" s="282"/>
      <c r="G983" s="283"/>
      <c r="H983" s="283"/>
      <c r="I983" s="280"/>
      <c r="J983" s="281"/>
      <c r="K983" s="280"/>
      <c r="L983" s="280"/>
    </row>
    <row r="984" ht="15.75" customHeight="1">
      <c r="A984" s="279"/>
      <c r="B984" s="280"/>
      <c r="C984" s="280"/>
      <c r="D984" s="280"/>
      <c r="E984" s="281"/>
      <c r="F984" s="282"/>
      <c r="G984" s="283"/>
      <c r="H984" s="283"/>
      <c r="I984" s="280"/>
      <c r="J984" s="281"/>
      <c r="K984" s="280"/>
      <c r="L984" s="280"/>
    </row>
    <row r="985" ht="15.75" customHeight="1">
      <c r="A985" s="279"/>
      <c r="B985" s="280"/>
      <c r="C985" s="280"/>
      <c r="D985" s="280"/>
      <c r="E985" s="281"/>
      <c r="F985" s="282"/>
      <c r="G985" s="283"/>
      <c r="H985" s="283"/>
      <c r="I985" s="280"/>
      <c r="J985" s="281"/>
      <c r="K985" s="280"/>
      <c r="L985" s="280"/>
    </row>
    <row r="986" ht="15.75" customHeight="1">
      <c r="A986" s="279"/>
      <c r="B986" s="280"/>
      <c r="C986" s="280"/>
      <c r="D986" s="280"/>
      <c r="E986" s="281"/>
      <c r="F986" s="282"/>
      <c r="G986" s="283"/>
      <c r="H986" s="283"/>
      <c r="I986" s="280"/>
      <c r="J986" s="281"/>
      <c r="K986" s="280"/>
      <c r="L986" s="280"/>
    </row>
    <row r="987" ht="15.75" customHeight="1">
      <c r="A987" s="279"/>
      <c r="B987" s="280"/>
      <c r="C987" s="280"/>
      <c r="D987" s="280"/>
      <c r="E987" s="281"/>
      <c r="F987" s="282"/>
      <c r="G987" s="283"/>
      <c r="H987" s="283"/>
      <c r="I987" s="280"/>
      <c r="J987" s="281"/>
      <c r="K987" s="280"/>
      <c r="L987" s="280"/>
    </row>
    <row r="988" ht="15.75" customHeight="1">
      <c r="A988" s="279"/>
      <c r="B988" s="280"/>
      <c r="C988" s="280"/>
      <c r="D988" s="280"/>
      <c r="E988" s="281"/>
      <c r="F988" s="282"/>
      <c r="G988" s="283"/>
      <c r="H988" s="283"/>
      <c r="I988" s="280"/>
      <c r="J988" s="281"/>
      <c r="K988" s="280"/>
      <c r="L988" s="280"/>
    </row>
    <row r="989" ht="15.75" customHeight="1">
      <c r="A989" s="279"/>
      <c r="B989" s="280"/>
      <c r="C989" s="280"/>
      <c r="D989" s="280"/>
      <c r="E989" s="281"/>
      <c r="F989" s="282"/>
      <c r="G989" s="283"/>
      <c r="H989" s="283"/>
      <c r="I989" s="280"/>
      <c r="J989" s="281"/>
      <c r="K989" s="280"/>
      <c r="L989" s="280"/>
    </row>
    <row r="990" ht="15.75" customHeight="1">
      <c r="A990" s="279"/>
      <c r="B990" s="280"/>
      <c r="C990" s="280"/>
      <c r="D990" s="280"/>
      <c r="E990" s="281"/>
      <c r="F990" s="282"/>
      <c r="G990" s="283"/>
      <c r="H990" s="283"/>
      <c r="I990" s="280"/>
      <c r="J990" s="281"/>
      <c r="K990" s="280"/>
      <c r="L990" s="280"/>
    </row>
    <row r="991" ht="15.75" customHeight="1">
      <c r="A991" s="279"/>
      <c r="B991" s="280"/>
      <c r="C991" s="280"/>
      <c r="D991" s="280"/>
      <c r="E991" s="281"/>
      <c r="F991" s="282"/>
      <c r="G991" s="283"/>
      <c r="H991" s="283"/>
      <c r="I991" s="280"/>
      <c r="J991" s="281"/>
      <c r="K991" s="280"/>
      <c r="L991" s="280"/>
    </row>
    <row r="992" ht="15.75" customHeight="1">
      <c r="A992" s="279"/>
      <c r="B992" s="280"/>
      <c r="C992" s="280"/>
      <c r="D992" s="280"/>
      <c r="E992" s="281"/>
      <c r="F992" s="282"/>
      <c r="G992" s="283"/>
      <c r="H992" s="283"/>
      <c r="I992" s="280"/>
      <c r="J992" s="281"/>
      <c r="K992" s="280"/>
      <c r="L992" s="280"/>
    </row>
    <row r="993" ht="15.75" customHeight="1">
      <c r="A993" s="279"/>
      <c r="B993" s="280"/>
      <c r="C993" s="280"/>
      <c r="D993" s="280"/>
      <c r="E993" s="281"/>
      <c r="F993" s="282"/>
      <c r="G993" s="283"/>
      <c r="H993" s="283"/>
      <c r="I993" s="280"/>
      <c r="J993" s="281"/>
      <c r="K993" s="280"/>
      <c r="L993" s="280"/>
    </row>
    <row r="994" ht="15.75" customHeight="1">
      <c r="A994" s="279"/>
      <c r="B994" s="280"/>
      <c r="C994" s="280"/>
      <c r="D994" s="280"/>
      <c r="E994" s="281"/>
      <c r="F994" s="282"/>
      <c r="G994" s="283"/>
      <c r="H994" s="283"/>
      <c r="I994" s="280"/>
      <c r="J994" s="281"/>
      <c r="K994" s="280"/>
      <c r="L994" s="280"/>
    </row>
    <row r="995" ht="15.75" customHeight="1">
      <c r="A995" s="279"/>
      <c r="B995" s="280"/>
      <c r="C995" s="280"/>
      <c r="D995" s="280"/>
      <c r="E995" s="281"/>
      <c r="F995" s="282"/>
      <c r="G995" s="283"/>
      <c r="H995" s="283"/>
      <c r="I995" s="280"/>
      <c r="J995" s="281"/>
      <c r="K995" s="280"/>
      <c r="L995" s="280"/>
    </row>
    <row r="996" ht="15.75" customHeight="1">
      <c r="A996" s="279"/>
      <c r="B996" s="280"/>
      <c r="C996" s="280"/>
      <c r="D996" s="280"/>
      <c r="E996" s="281"/>
      <c r="F996" s="282"/>
      <c r="G996" s="283"/>
      <c r="H996" s="283"/>
      <c r="I996" s="280"/>
      <c r="J996" s="281"/>
      <c r="K996" s="280"/>
      <c r="L996" s="280"/>
    </row>
    <row r="997" ht="15.75" customHeight="1">
      <c r="A997" s="279"/>
      <c r="B997" s="280"/>
      <c r="C997" s="280"/>
      <c r="D997" s="280"/>
      <c r="E997" s="281"/>
      <c r="F997" s="282"/>
      <c r="G997" s="283"/>
      <c r="H997" s="283"/>
      <c r="I997" s="280"/>
      <c r="J997" s="281"/>
      <c r="K997" s="280"/>
      <c r="L997" s="280"/>
    </row>
    <row r="998" ht="15.75" customHeight="1">
      <c r="A998" s="279"/>
      <c r="B998" s="280"/>
      <c r="C998" s="280"/>
      <c r="D998" s="280"/>
      <c r="E998" s="281"/>
      <c r="F998" s="282"/>
      <c r="G998" s="283"/>
      <c r="H998" s="283"/>
      <c r="I998" s="280"/>
      <c r="J998" s="281"/>
      <c r="K998" s="280"/>
      <c r="L998" s="280"/>
    </row>
    <row r="999" ht="15.75" customHeight="1">
      <c r="A999" s="279"/>
      <c r="B999" s="280"/>
      <c r="C999" s="280"/>
      <c r="D999" s="280"/>
      <c r="E999" s="281"/>
      <c r="F999" s="282"/>
      <c r="G999" s="283"/>
      <c r="H999" s="283"/>
      <c r="I999" s="280"/>
      <c r="J999" s="281"/>
      <c r="K999" s="280"/>
      <c r="L999" s="280"/>
    </row>
    <row r="1000" ht="15.75" customHeight="1">
      <c r="A1000" s="279"/>
      <c r="B1000" s="280"/>
      <c r="C1000" s="280"/>
      <c r="D1000" s="280"/>
      <c r="E1000" s="281"/>
      <c r="F1000" s="282"/>
      <c r="G1000" s="283"/>
      <c r="H1000" s="283"/>
      <c r="I1000" s="280"/>
      <c r="J1000" s="281"/>
      <c r="K1000" s="280"/>
      <c r="L1000" s="280"/>
    </row>
    <row r="1001" ht="15.75" customHeight="1">
      <c r="A1001" s="279"/>
      <c r="B1001" s="280"/>
      <c r="C1001" s="280"/>
      <c r="D1001" s="280"/>
      <c r="E1001" s="281"/>
      <c r="F1001" s="282"/>
      <c r="G1001" s="283"/>
      <c r="H1001" s="283"/>
      <c r="I1001" s="280"/>
      <c r="J1001" s="281"/>
      <c r="K1001" s="280"/>
      <c r="L1001" s="280"/>
    </row>
    <row r="1002" ht="15.75" customHeight="1">
      <c r="A1002" s="279"/>
      <c r="B1002" s="280"/>
      <c r="C1002" s="280"/>
      <c r="D1002" s="280"/>
      <c r="E1002" s="281"/>
      <c r="F1002" s="282"/>
      <c r="G1002" s="283"/>
      <c r="H1002" s="283"/>
      <c r="I1002" s="280"/>
      <c r="J1002" s="281"/>
      <c r="K1002" s="280"/>
      <c r="L1002" s="280"/>
    </row>
    <row r="1003" ht="15.75" customHeight="1">
      <c r="A1003" s="279"/>
      <c r="B1003" s="280"/>
      <c r="C1003" s="280"/>
      <c r="D1003" s="280"/>
      <c r="E1003" s="281"/>
      <c r="F1003" s="282"/>
      <c r="G1003" s="283"/>
      <c r="H1003" s="283"/>
      <c r="I1003" s="280"/>
      <c r="J1003" s="281"/>
      <c r="K1003" s="280"/>
      <c r="L1003" s="280"/>
    </row>
    <row r="1004" ht="15.75" customHeight="1">
      <c r="A1004" s="279"/>
      <c r="B1004" s="280"/>
      <c r="C1004" s="280"/>
      <c r="D1004" s="280"/>
      <c r="E1004" s="281"/>
      <c r="F1004" s="282"/>
      <c r="G1004" s="283"/>
      <c r="H1004" s="283"/>
      <c r="I1004" s="280"/>
      <c r="J1004" s="281"/>
      <c r="K1004" s="280"/>
      <c r="L1004" s="280"/>
    </row>
    <row r="1005" ht="15.75" customHeight="1">
      <c r="A1005" s="279"/>
      <c r="B1005" s="280"/>
      <c r="C1005" s="280"/>
      <c r="D1005" s="280"/>
      <c r="E1005" s="281"/>
      <c r="F1005" s="282"/>
      <c r="G1005" s="283"/>
      <c r="H1005" s="283"/>
      <c r="I1005" s="280"/>
      <c r="J1005" s="281"/>
      <c r="K1005" s="280"/>
      <c r="L1005" s="280"/>
    </row>
    <row r="1006" ht="15.75" customHeight="1">
      <c r="A1006" s="279"/>
      <c r="B1006" s="280"/>
      <c r="C1006" s="280"/>
      <c r="D1006" s="280"/>
      <c r="E1006" s="281"/>
      <c r="F1006" s="282"/>
      <c r="G1006" s="283"/>
      <c r="H1006" s="283"/>
      <c r="I1006" s="280"/>
      <c r="J1006" s="281"/>
      <c r="K1006" s="280"/>
      <c r="L1006" s="280"/>
    </row>
    <row r="1007" ht="15.75" customHeight="1">
      <c r="A1007" s="279"/>
      <c r="B1007" s="280"/>
      <c r="C1007" s="280"/>
      <c r="D1007" s="280"/>
      <c r="E1007" s="281"/>
      <c r="F1007" s="282"/>
      <c r="G1007" s="283"/>
      <c r="H1007" s="283"/>
      <c r="I1007" s="280"/>
      <c r="J1007" s="281"/>
      <c r="K1007" s="280"/>
      <c r="L1007" s="280"/>
    </row>
    <row r="1008" ht="15.75" customHeight="1">
      <c r="A1008" s="279"/>
      <c r="B1008" s="280"/>
      <c r="C1008" s="280"/>
      <c r="D1008" s="280"/>
      <c r="E1008" s="281"/>
      <c r="F1008" s="282"/>
      <c r="G1008" s="283"/>
      <c r="H1008" s="283"/>
      <c r="I1008" s="280"/>
      <c r="J1008" s="281"/>
      <c r="K1008" s="280"/>
      <c r="L1008" s="280"/>
    </row>
    <row r="1009" ht="15.75" customHeight="1">
      <c r="A1009" s="279"/>
      <c r="B1009" s="280"/>
      <c r="C1009" s="280"/>
      <c r="D1009" s="280"/>
      <c r="E1009" s="281"/>
      <c r="F1009" s="282"/>
      <c r="G1009" s="283"/>
      <c r="H1009" s="283"/>
      <c r="I1009" s="280"/>
      <c r="J1009" s="281"/>
      <c r="K1009" s="280"/>
      <c r="L1009" s="280"/>
    </row>
    <row r="1010" ht="15.75" customHeight="1">
      <c r="A1010" s="279"/>
      <c r="B1010" s="280"/>
      <c r="C1010" s="280"/>
      <c r="D1010" s="280"/>
      <c r="E1010" s="281"/>
      <c r="F1010" s="282"/>
      <c r="G1010" s="283"/>
      <c r="H1010" s="283"/>
      <c r="I1010" s="280"/>
      <c r="J1010" s="281"/>
      <c r="K1010" s="280"/>
      <c r="L1010" s="280"/>
    </row>
    <row r="1011" ht="15.75" customHeight="1">
      <c r="A1011" s="279"/>
      <c r="B1011" s="280"/>
      <c r="C1011" s="280"/>
      <c r="D1011" s="280"/>
      <c r="E1011" s="281"/>
      <c r="F1011" s="282"/>
      <c r="G1011" s="283"/>
      <c r="H1011" s="283"/>
      <c r="I1011" s="280"/>
      <c r="J1011" s="281"/>
      <c r="K1011" s="280"/>
      <c r="L1011" s="280"/>
    </row>
    <row r="1012" ht="15.75" customHeight="1">
      <c r="A1012" s="279"/>
      <c r="B1012" s="280"/>
      <c r="C1012" s="280"/>
      <c r="D1012" s="280"/>
      <c r="E1012" s="281"/>
      <c r="F1012" s="282"/>
      <c r="G1012" s="283"/>
      <c r="H1012" s="283"/>
      <c r="I1012" s="280"/>
      <c r="J1012" s="281"/>
      <c r="K1012" s="280"/>
      <c r="L1012" s="280"/>
    </row>
    <row r="1013" ht="15.75" customHeight="1">
      <c r="A1013" s="279"/>
      <c r="B1013" s="280"/>
      <c r="C1013" s="280"/>
      <c r="D1013" s="280"/>
      <c r="E1013" s="281"/>
      <c r="F1013" s="282"/>
      <c r="G1013" s="283"/>
      <c r="H1013" s="283"/>
      <c r="I1013" s="280"/>
      <c r="J1013" s="281"/>
      <c r="K1013" s="280"/>
      <c r="L1013" s="280"/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list" allowBlank="1" sqref="J2:J1013">
      <formula1>#REF!</formula1>
    </dataValidation>
    <dataValidation type="list" allowBlank="1" sqref="E2:F1013">
      <formula1>#REF!</formula1>
    </dataValidation>
  </dataValidations>
  <hyperlinks>
    <hyperlink r:id="rId1" ref="C375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6" max="16" width="21.13"/>
  </cols>
  <sheetData>
    <row r="1">
      <c r="A1" s="2" t="s">
        <v>469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260"/>
      <c r="R1" s="260"/>
      <c r="S1" s="260"/>
      <c r="T1" s="260"/>
      <c r="U1" s="260"/>
      <c r="V1" s="260"/>
      <c r="W1" s="260"/>
      <c r="X1" s="260"/>
      <c r="Y1" s="260"/>
    </row>
    <row r="2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0"/>
      <c r="R2" s="260"/>
      <c r="S2" s="260"/>
      <c r="T2" s="260"/>
      <c r="U2" s="260"/>
      <c r="V2" s="260"/>
      <c r="W2" s="260"/>
      <c r="X2" s="260"/>
      <c r="Y2" s="260"/>
    </row>
    <row r="3">
      <c r="A3" s="32" t="s">
        <v>188</v>
      </c>
      <c r="B3" s="35" t="s">
        <v>187</v>
      </c>
      <c r="C3" s="35" t="s">
        <v>471</v>
      </c>
      <c r="D3" s="35" t="s">
        <v>472</v>
      </c>
      <c r="E3" s="35" t="s">
        <v>473</v>
      </c>
      <c r="F3" s="35" t="s">
        <v>474</v>
      </c>
      <c r="G3" s="35" t="s">
        <v>52</v>
      </c>
      <c r="H3" s="35" t="s">
        <v>475</v>
      </c>
      <c r="I3" s="35" t="s">
        <v>476</v>
      </c>
      <c r="J3" s="35" t="s">
        <v>477</v>
      </c>
      <c r="K3" s="35" t="s">
        <v>478</v>
      </c>
      <c r="L3" s="35" t="s">
        <v>479</v>
      </c>
      <c r="M3" s="35" t="s">
        <v>480</v>
      </c>
      <c r="N3" s="35" t="s">
        <v>481</v>
      </c>
      <c r="O3" s="35" t="s">
        <v>482</v>
      </c>
      <c r="P3" s="263" t="s">
        <v>483</v>
      </c>
      <c r="Q3" s="260"/>
      <c r="R3" s="260"/>
      <c r="S3" s="260"/>
      <c r="T3" s="260"/>
      <c r="U3" s="260"/>
      <c r="V3" s="260"/>
      <c r="W3" s="260"/>
      <c r="X3" s="260"/>
      <c r="Y3" s="260"/>
    </row>
    <row r="4">
      <c r="A4" s="87" t="s">
        <v>484</v>
      </c>
      <c r="B4" s="40" t="s">
        <v>485</v>
      </c>
      <c r="C4" s="40" t="s">
        <v>486</v>
      </c>
      <c r="D4" s="40">
        <v>130.0</v>
      </c>
      <c r="E4" s="40">
        <v>52500.0</v>
      </c>
      <c r="F4" s="40">
        <v>52500.0</v>
      </c>
      <c r="G4" s="40" t="s">
        <v>487</v>
      </c>
      <c r="H4" s="88">
        <v>45931.0</v>
      </c>
      <c r="I4" s="88">
        <v>46266.0</v>
      </c>
      <c r="J4" s="264" t="s">
        <v>488</v>
      </c>
      <c r="K4" s="265" t="s">
        <v>489</v>
      </c>
      <c r="L4" s="40">
        <v>3.0</v>
      </c>
      <c r="M4" s="40">
        <v>2.0</v>
      </c>
      <c r="N4" s="40" t="s">
        <v>491</v>
      </c>
      <c r="O4" s="40">
        <v>55125.0</v>
      </c>
      <c r="P4" s="266" t="s">
        <v>493</v>
      </c>
      <c r="Q4" s="260"/>
      <c r="R4" s="260"/>
      <c r="S4" s="260"/>
      <c r="T4" s="260"/>
      <c r="U4" s="260"/>
      <c r="V4" s="260"/>
      <c r="W4" s="260"/>
      <c r="X4" s="260"/>
      <c r="Y4" s="260"/>
    </row>
    <row r="5">
      <c r="A5" s="87" t="s">
        <v>494</v>
      </c>
      <c r="B5" s="40" t="s">
        <v>485</v>
      </c>
      <c r="C5" s="40" t="s">
        <v>486</v>
      </c>
      <c r="D5" s="40">
        <v>140.0</v>
      </c>
      <c r="E5" s="40">
        <v>55000.0</v>
      </c>
      <c r="F5" s="40">
        <v>55000.0</v>
      </c>
      <c r="G5" s="40" t="s">
        <v>487</v>
      </c>
      <c r="H5" s="88">
        <v>45931.0</v>
      </c>
      <c r="I5" s="88">
        <v>46267.0</v>
      </c>
      <c r="J5" s="267" t="s">
        <v>495</v>
      </c>
      <c r="K5" s="268" t="s">
        <v>489</v>
      </c>
      <c r="L5" s="40">
        <v>6.0</v>
      </c>
      <c r="M5" s="40">
        <v>4.0</v>
      </c>
      <c r="N5" s="40" t="s">
        <v>496</v>
      </c>
      <c r="O5" s="40">
        <v>57750.0</v>
      </c>
      <c r="P5" s="266" t="s">
        <v>493</v>
      </c>
      <c r="Q5" s="260"/>
      <c r="R5" s="260"/>
      <c r="S5" s="260"/>
      <c r="T5" s="260"/>
      <c r="U5" s="260"/>
      <c r="V5" s="260"/>
      <c r="W5" s="260"/>
      <c r="X5" s="260"/>
      <c r="Y5" s="260"/>
    </row>
    <row r="6">
      <c r="A6" s="87" t="s">
        <v>497</v>
      </c>
      <c r="B6" s="40" t="s">
        <v>485</v>
      </c>
      <c r="C6" s="40" t="s">
        <v>486</v>
      </c>
      <c r="D6" s="40">
        <v>150.0</v>
      </c>
      <c r="E6" s="40">
        <v>57500.0</v>
      </c>
      <c r="F6" s="40">
        <v>57500.0</v>
      </c>
      <c r="G6" s="40" t="s">
        <v>487</v>
      </c>
      <c r="H6" s="88">
        <v>45931.0</v>
      </c>
      <c r="I6" s="88">
        <v>46268.0</v>
      </c>
      <c r="J6" s="267" t="s">
        <v>498</v>
      </c>
      <c r="K6" s="268" t="s">
        <v>489</v>
      </c>
      <c r="L6" s="40">
        <v>9.0</v>
      </c>
      <c r="M6" s="40">
        <v>0.0</v>
      </c>
      <c r="N6" s="40" t="s">
        <v>499</v>
      </c>
      <c r="O6" s="40">
        <v>60375.0</v>
      </c>
      <c r="P6" s="266" t="s">
        <v>493</v>
      </c>
      <c r="Q6" s="260"/>
      <c r="R6" s="260"/>
      <c r="S6" s="260"/>
      <c r="T6" s="260"/>
      <c r="U6" s="260"/>
      <c r="V6" s="260"/>
      <c r="W6" s="260"/>
      <c r="X6" s="260"/>
      <c r="Y6" s="260"/>
    </row>
    <row r="7">
      <c r="A7" s="87" t="s">
        <v>500</v>
      </c>
      <c r="B7" s="40" t="s">
        <v>485</v>
      </c>
      <c r="C7" s="40" t="s">
        <v>486</v>
      </c>
      <c r="D7" s="40">
        <v>120.0</v>
      </c>
      <c r="E7" s="40">
        <v>60000.0</v>
      </c>
      <c r="F7" s="40">
        <v>60000.0</v>
      </c>
      <c r="G7" s="40" t="s">
        <v>487</v>
      </c>
      <c r="H7" s="88">
        <v>45931.0</v>
      </c>
      <c r="I7" s="88">
        <v>46269.0</v>
      </c>
      <c r="J7" s="267" t="s">
        <v>501</v>
      </c>
      <c r="K7" s="268" t="s">
        <v>489</v>
      </c>
      <c r="L7" s="40">
        <v>0.0</v>
      </c>
      <c r="M7" s="40">
        <v>2.0</v>
      </c>
      <c r="N7" s="40" t="s">
        <v>491</v>
      </c>
      <c r="O7" s="40">
        <v>63000.0</v>
      </c>
      <c r="P7" s="266" t="s">
        <v>493</v>
      </c>
      <c r="Q7" s="260"/>
      <c r="R7" s="260"/>
      <c r="S7" s="260"/>
      <c r="T7" s="260"/>
      <c r="U7" s="260"/>
      <c r="V7" s="260"/>
      <c r="W7" s="260"/>
      <c r="X7" s="260"/>
      <c r="Y7" s="260"/>
    </row>
    <row r="8">
      <c r="A8" s="87" t="s">
        <v>502</v>
      </c>
      <c r="B8" s="40" t="s">
        <v>485</v>
      </c>
      <c r="C8" s="40" t="s">
        <v>486</v>
      </c>
      <c r="D8" s="40">
        <v>130.0</v>
      </c>
      <c r="E8" s="40">
        <v>62500.0</v>
      </c>
      <c r="F8" s="40">
        <v>62500.0</v>
      </c>
      <c r="G8" s="40" t="s">
        <v>487</v>
      </c>
      <c r="H8" s="88">
        <v>45931.0</v>
      </c>
      <c r="I8" s="88">
        <v>46270.0</v>
      </c>
      <c r="J8" s="267" t="s">
        <v>504</v>
      </c>
      <c r="K8" s="268" t="s">
        <v>489</v>
      </c>
      <c r="L8" s="40">
        <v>3.0</v>
      </c>
      <c r="M8" s="40">
        <v>4.0</v>
      </c>
      <c r="N8" s="40" t="s">
        <v>491</v>
      </c>
      <c r="O8" s="40">
        <v>65625.0</v>
      </c>
      <c r="P8" s="266" t="s">
        <v>493</v>
      </c>
      <c r="Q8" s="260"/>
      <c r="R8" s="260"/>
      <c r="S8" s="260"/>
      <c r="T8" s="260"/>
      <c r="U8" s="260"/>
      <c r="V8" s="260"/>
      <c r="W8" s="260"/>
      <c r="X8" s="260"/>
      <c r="Y8" s="260"/>
    </row>
    <row r="9">
      <c r="A9" s="87" t="s">
        <v>506</v>
      </c>
      <c r="B9" s="40" t="s">
        <v>485</v>
      </c>
      <c r="C9" s="40" t="s">
        <v>486</v>
      </c>
      <c r="D9" s="40">
        <v>140.0</v>
      </c>
      <c r="E9" s="40">
        <v>65000.0</v>
      </c>
      <c r="F9" s="40">
        <v>65000.0</v>
      </c>
      <c r="G9" s="40" t="s">
        <v>487</v>
      </c>
      <c r="H9" s="88">
        <v>45931.0</v>
      </c>
      <c r="I9" s="88">
        <v>46271.0</v>
      </c>
      <c r="J9" s="267" t="s">
        <v>507</v>
      </c>
      <c r="K9" s="268" t="s">
        <v>489</v>
      </c>
      <c r="L9" s="40">
        <v>6.0</v>
      </c>
      <c r="M9" s="40">
        <v>0.0</v>
      </c>
      <c r="N9" s="40" t="s">
        <v>496</v>
      </c>
      <c r="O9" s="40">
        <v>68250.0</v>
      </c>
      <c r="P9" s="266" t="s">
        <v>493</v>
      </c>
      <c r="Q9" s="260"/>
      <c r="R9" s="260"/>
      <c r="S9" s="260"/>
      <c r="T9" s="260"/>
      <c r="U9" s="260"/>
      <c r="V9" s="260"/>
      <c r="W9" s="260"/>
      <c r="X9" s="260"/>
      <c r="Y9" s="260"/>
    </row>
    <row r="10">
      <c r="A10" s="87" t="s">
        <v>508</v>
      </c>
      <c r="B10" s="40" t="s">
        <v>485</v>
      </c>
      <c r="C10" s="40" t="s">
        <v>486</v>
      </c>
      <c r="D10" s="40">
        <v>150.0</v>
      </c>
      <c r="E10" s="40">
        <v>50000.0</v>
      </c>
      <c r="F10" s="40">
        <v>50000.0</v>
      </c>
      <c r="G10" s="40" t="s">
        <v>487</v>
      </c>
      <c r="H10" s="88">
        <v>45931.0</v>
      </c>
      <c r="I10" s="88">
        <v>46272.0</v>
      </c>
      <c r="J10" s="267" t="s">
        <v>509</v>
      </c>
      <c r="K10" s="268" t="s">
        <v>489</v>
      </c>
      <c r="L10" s="40">
        <v>9.0</v>
      </c>
      <c r="M10" s="40">
        <v>2.0</v>
      </c>
      <c r="N10" s="40" t="s">
        <v>499</v>
      </c>
      <c r="O10" s="40">
        <v>52500.0</v>
      </c>
      <c r="P10" s="266" t="s">
        <v>493</v>
      </c>
      <c r="Q10" s="260"/>
      <c r="R10" s="260"/>
      <c r="S10" s="260"/>
      <c r="T10" s="260"/>
      <c r="U10" s="260"/>
      <c r="V10" s="260"/>
      <c r="W10" s="260"/>
      <c r="X10" s="260"/>
      <c r="Y10" s="260"/>
    </row>
    <row r="11">
      <c r="A11" s="87" t="s">
        <v>510</v>
      </c>
      <c r="B11" s="40" t="s">
        <v>485</v>
      </c>
      <c r="C11" s="40" t="s">
        <v>486</v>
      </c>
      <c r="D11" s="40">
        <v>120.0</v>
      </c>
      <c r="E11" s="40">
        <v>52500.0</v>
      </c>
      <c r="F11" s="40">
        <v>52500.0</v>
      </c>
      <c r="G11" s="40" t="s">
        <v>487</v>
      </c>
      <c r="H11" s="88">
        <v>45931.0</v>
      </c>
      <c r="I11" s="88">
        <v>46273.0</v>
      </c>
      <c r="J11" s="267" t="s">
        <v>511</v>
      </c>
      <c r="K11" s="268" t="s">
        <v>489</v>
      </c>
      <c r="L11" s="40">
        <v>0.0</v>
      </c>
      <c r="M11" s="40">
        <v>4.0</v>
      </c>
      <c r="N11" s="40" t="s">
        <v>491</v>
      </c>
      <c r="O11" s="40">
        <v>55125.0</v>
      </c>
      <c r="P11" s="266" t="s">
        <v>493</v>
      </c>
      <c r="Q11" s="260"/>
      <c r="R11" s="260"/>
      <c r="S11" s="260"/>
      <c r="T11" s="260"/>
      <c r="U11" s="260"/>
      <c r="V11" s="260"/>
      <c r="W11" s="260"/>
      <c r="X11" s="260"/>
      <c r="Y11" s="260"/>
    </row>
    <row r="12">
      <c r="A12" s="87" t="s">
        <v>512</v>
      </c>
      <c r="B12" s="40" t="s">
        <v>485</v>
      </c>
      <c r="C12" s="40" t="s">
        <v>486</v>
      </c>
      <c r="D12" s="40">
        <v>130.0</v>
      </c>
      <c r="E12" s="40">
        <v>55000.0</v>
      </c>
      <c r="F12" s="40">
        <v>55000.0</v>
      </c>
      <c r="G12" s="40" t="s">
        <v>487</v>
      </c>
      <c r="H12" s="88">
        <v>45931.0</v>
      </c>
      <c r="I12" s="88">
        <v>46274.0</v>
      </c>
      <c r="J12" s="267" t="s">
        <v>513</v>
      </c>
      <c r="K12" s="268" t="s">
        <v>489</v>
      </c>
      <c r="L12" s="40">
        <v>3.0</v>
      </c>
      <c r="M12" s="40">
        <v>0.0</v>
      </c>
      <c r="N12" s="40" t="s">
        <v>491</v>
      </c>
      <c r="O12" s="40">
        <v>57750.0</v>
      </c>
      <c r="P12" s="266" t="s">
        <v>493</v>
      </c>
      <c r="Q12" s="260"/>
      <c r="R12" s="260"/>
      <c r="S12" s="260"/>
      <c r="T12" s="260"/>
      <c r="U12" s="260"/>
      <c r="V12" s="260"/>
      <c r="W12" s="260"/>
      <c r="X12" s="260"/>
      <c r="Y12" s="260"/>
    </row>
    <row r="13">
      <c r="A13" s="87" t="s">
        <v>514</v>
      </c>
      <c r="B13" s="40" t="s">
        <v>485</v>
      </c>
      <c r="C13" s="40" t="s">
        <v>486</v>
      </c>
      <c r="D13" s="40">
        <v>140.0</v>
      </c>
      <c r="E13" s="40">
        <v>57500.0</v>
      </c>
      <c r="F13" s="40">
        <v>57500.0</v>
      </c>
      <c r="G13" s="40" t="s">
        <v>487</v>
      </c>
      <c r="H13" s="88">
        <v>45931.0</v>
      </c>
      <c r="I13" s="88">
        <v>46275.0</v>
      </c>
      <c r="J13" s="267" t="s">
        <v>515</v>
      </c>
      <c r="K13" s="268" t="s">
        <v>489</v>
      </c>
      <c r="L13" s="40">
        <v>6.0</v>
      </c>
      <c r="M13" s="40">
        <v>2.0</v>
      </c>
      <c r="N13" s="40" t="s">
        <v>496</v>
      </c>
      <c r="O13" s="40">
        <v>60375.0</v>
      </c>
      <c r="P13" s="266" t="s">
        <v>493</v>
      </c>
      <c r="Q13" s="260"/>
      <c r="R13" s="260"/>
      <c r="S13" s="260"/>
      <c r="T13" s="260"/>
      <c r="U13" s="260"/>
      <c r="V13" s="260"/>
      <c r="W13" s="260"/>
      <c r="X13" s="260"/>
      <c r="Y13" s="260"/>
    </row>
    <row r="14">
      <c r="A14" s="87" t="s">
        <v>518</v>
      </c>
      <c r="B14" s="40" t="s">
        <v>519</v>
      </c>
      <c r="C14" s="40" t="s">
        <v>486</v>
      </c>
      <c r="D14" s="40">
        <v>150.0</v>
      </c>
      <c r="E14" s="40">
        <v>60000.0</v>
      </c>
      <c r="F14" s="40">
        <v>60000.0</v>
      </c>
      <c r="G14" s="40" t="s">
        <v>487</v>
      </c>
      <c r="H14" s="88">
        <v>45931.0</v>
      </c>
      <c r="I14" s="88">
        <v>46276.0</v>
      </c>
      <c r="J14" s="267" t="s">
        <v>520</v>
      </c>
      <c r="K14" s="268" t="s">
        <v>489</v>
      </c>
      <c r="L14" s="40">
        <v>9.0</v>
      </c>
      <c r="M14" s="40">
        <v>4.0</v>
      </c>
      <c r="N14" s="40" t="s">
        <v>499</v>
      </c>
      <c r="O14" s="40">
        <v>63000.0</v>
      </c>
      <c r="P14" s="266" t="s">
        <v>493</v>
      </c>
      <c r="Q14" s="260"/>
      <c r="R14" s="260"/>
      <c r="S14" s="260"/>
      <c r="T14" s="260"/>
      <c r="U14" s="260"/>
      <c r="V14" s="260"/>
      <c r="W14" s="260"/>
      <c r="X14" s="260"/>
      <c r="Y14" s="260"/>
    </row>
    <row r="15">
      <c r="A15" s="87" t="s">
        <v>521</v>
      </c>
      <c r="B15" s="40" t="s">
        <v>519</v>
      </c>
      <c r="C15" s="40" t="s">
        <v>486</v>
      </c>
      <c r="D15" s="40">
        <v>120.0</v>
      </c>
      <c r="E15" s="40">
        <v>62500.0</v>
      </c>
      <c r="F15" s="40">
        <v>62500.0</v>
      </c>
      <c r="G15" s="40" t="s">
        <v>522</v>
      </c>
      <c r="H15" s="88">
        <v>45931.0</v>
      </c>
      <c r="I15" s="269"/>
      <c r="J15" s="267" t="s">
        <v>520</v>
      </c>
      <c r="K15" s="268" t="s">
        <v>489</v>
      </c>
      <c r="L15" s="40">
        <v>0.0</v>
      </c>
      <c r="M15" s="40">
        <v>0.0</v>
      </c>
      <c r="N15" s="40" t="s">
        <v>491</v>
      </c>
      <c r="O15" s="40">
        <v>65625.0</v>
      </c>
      <c r="P15" s="266" t="s">
        <v>493</v>
      </c>
      <c r="Q15" s="260"/>
      <c r="R15" s="260"/>
      <c r="S15" s="260"/>
      <c r="T15" s="260"/>
      <c r="U15" s="260"/>
      <c r="V15" s="260"/>
      <c r="W15" s="260"/>
      <c r="X15" s="260"/>
      <c r="Y15" s="260"/>
    </row>
    <row r="16">
      <c r="A16" s="87" t="s">
        <v>523</v>
      </c>
      <c r="B16" s="40" t="s">
        <v>519</v>
      </c>
      <c r="C16" s="40" t="s">
        <v>486</v>
      </c>
      <c r="D16" s="40">
        <v>130.0</v>
      </c>
      <c r="E16" s="40">
        <v>65000.0</v>
      </c>
      <c r="F16" s="40">
        <v>65000.0</v>
      </c>
      <c r="G16" s="40" t="s">
        <v>522</v>
      </c>
      <c r="H16" s="88">
        <v>45931.0</v>
      </c>
      <c r="I16" s="269"/>
      <c r="J16" s="267" t="s">
        <v>520</v>
      </c>
      <c r="K16" s="268" t="s">
        <v>489</v>
      </c>
      <c r="L16" s="40">
        <v>3.0</v>
      </c>
      <c r="M16" s="40">
        <v>2.0</v>
      </c>
      <c r="N16" s="40" t="s">
        <v>491</v>
      </c>
      <c r="O16" s="40">
        <v>68250.0</v>
      </c>
      <c r="P16" s="266" t="s">
        <v>493</v>
      </c>
      <c r="Q16" s="260"/>
      <c r="R16" s="260"/>
      <c r="S16" s="260"/>
      <c r="T16" s="260"/>
      <c r="U16" s="260"/>
      <c r="V16" s="260"/>
      <c r="W16" s="260"/>
      <c r="X16" s="260"/>
      <c r="Y16" s="260"/>
    </row>
    <row r="17">
      <c r="A17" s="87" t="s">
        <v>525</v>
      </c>
      <c r="B17" s="40" t="s">
        <v>519</v>
      </c>
      <c r="C17" s="40" t="s">
        <v>486</v>
      </c>
      <c r="D17" s="40">
        <v>140.0</v>
      </c>
      <c r="E17" s="40">
        <v>50000.0</v>
      </c>
      <c r="F17" s="40">
        <v>50000.0</v>
      </c>
      <c r="G17" s="40" t="s">
        <v>522</v>
      </c>
      <c r="H17" s="88">
        <v>45931.0</v>
      </c>
      <c r="I17" s="269"/>
      <c r="J17" s="267" t="s">
        <v>520</v>
      </c>
      <c r="K17" s="268" t="s">
        <v>489</v>
      </c>
      <c r="L17" s="40">
        <v>6.0</v>
      </c>
      <c r="M17" s="40">
        <v>4.0</v>
      </c>
      <c r="N17" s="40" t="s">
        <v>496</v>
      </c>
      <c r="O17" s="40">
        <v>52500.0</v>
      </c>
      <c r="P17" s="266" t="s">
        <v>493</v>
      </c>
      <c r="Q17" s="260"/>
      <c r="R17" s="260"/>
      <c r="S17" s="260"/>
      <c r="T17" s="260"/>
      <c r="U17" s="260"/>
      <c r="V17" s="260"/>
      <c r="W17" s="260"/>
      <c r="X17" s="260"/>
      <c r="Y17" s="260"/>
    </row>
    <row r="18">
      <c r="A18" s="87" t="s">
        <v>527</v>
      </c>
      <c r="B18" s="40" t="s">
        <v>519</v>
      </c>
      <c r="C18" s="40" t="s">
        <v>486</v>
      </c>
      <c r="D18" s="40">
        <v>150.0</v>
      </c>
      <c r="E18" s="40">
        <v>52500.0</v>
      </c>
      <c r="F18" s="40">
        <v>52500.0</v>
      </c>
      <c r="G18" s="40" t="s">
        <v>522</v>
      </c>
      <c r="H18" s="88">
        <v>45931.0</v>
      </c>
      <c r="I18" s="269"/>
      <c r="J18" s="267" t="s">
        <v>520</v>
      </c>
      <c r="K18" s="268" t="s">
        <v>489</v>
      </c>
      <c r="L18" s="40">
        <v>9.0</v>
      </c>
      <c r="M18" s="40">
        <v>0.0</v>
      </c>
      <c r="N18" s="40" t="s">
        <v>499</v>
      </c>
      <c r="O18" s="40">
        <v>55125.0</v>
      </c>
      <c r="P18" s="266" t="s">
        <v>493</v>
      </c>
      <c r="Q18" s="260"/>
      <c r="R18" s="260"/>
      <c r="S18" s="260"/>
      <c r="T18" s="260"/>
      <c r="U18" s="260"/>
      <c r="V18" s="260"/>
      <c r="W18" s="260"/>
      <c r="X18" s="260"/>
      <c r="Y18" s="260"/>
    </row>
    <row r="19">
      <c r="A19" s="87" t="s">
        <v>528</v>
      </c>
      <c r="B19" s="40" t="s">
        <v>519</v>
      </c>
      <c r="C19" s="40" t="s">
        <v>486</v>
      </c>
      <c r="D19" s="40">
        <v>120.0</v>
      </c>
      <c r="E19" s="40">
        <v>55000.0</v>
      </c>
      <c r="F19" s="40">
        <v>55000.0</v>
      </c>
      <c r="G19" s="40" t="s">
        <v>522</v>
      </c>
      <c r="H19" s="88">
        <v>45931.0</v>
      </c>
      <c r="I19" s="269"/>
      <c r="J19" s="267" t="s">
        <v>520</v>
      </c>
      <c r="K19" s="268" t="s">
        <v>489</v>
      </c>
      <c r="L19" s="40">
        <v>0.0</v>
      </c>
      <c r="M19" s="40">
        <v>2.0</v>
      </c>
      <c r="N19" s="40" t="s">
        <v>491</v>
      </c>
      <c r="O19" s="40">
        <v>57750.0</v>
      </c>
      <c r="P19" s="266" t="s">
        <v>493</v>
      </c>
      <c r="Q19" s="260"/>
      <c r="R19" s="260"/>
      <c r="S19" s="260"/>
      <c r="T19" s="260"/>
      <c r="U19" s="260"/>
      <c r="V19" s="260"/>
      <c r="W19" s="260"/>
      <c r="X19" s="260"/>
      <c r="Y19" s="260"/>
    </row>
    <row r="20">
      <c r="A20" s="87" t="s">
        <v>529</v>
      </c>
      <c r="B20" s="40" t="s">
        <v>519</v>
      </c>
      <c r="C20" s="40" t="s">
        <v>486</v>
      </c>
      <c r="D20" s="40">
        <v>130.0</v>
      </c>
      <c r="E20" s="40">
        <v>57500.0</v>
      </c>
      <c r="F20" s="40">
        <v>57500.0</v>
      </c>
      <c r="G20" s="40" t="s">
        <v>522</v>
      </c>
      <c r="H20" s="88">
        <v>45931.0</v>
      </c>
      <c r="I20" s="269"/>
      <c r="J20" s="267" t="s">
        <v>520</v>
      </c>
      <c r="K20" s="268" t="s">
        <v>489</v>
      </c>
      <c r="L20" s="40">
        <v>3.0</v>
      </c>
      <c r="M20" s="40">
        <v>4.0</v>
      </c>
      <c r="N20" s="40" t="s">
        <v>491</v>
      </c>
      <c r="O20" s="40">
        <v>60375.0</v>
      </c>
      <c r="P20" s="266" t="s">
        <v>493</v>
      </c>
      <c r="Q20" s="260"/>
      <c r="R20" s="260"/>
      <c r="S20" s="260"/>
      <c r="T20" s="260"/>
      <c r="U20" s="260"/>
      <c r="V20" s="260"/>
      <c r="W20" s="260"/>
      <c r="X20" s="260"/>
      <c r="Y20" s="260"/>
    </row>
    <row r="21">
      <c r="A21" s="87" t="s">
        <v>530</v>
      </c>
      <c r="B21" s="40" t="s">
        <v>519</v>
      </c>
      <c r="C21" s="40" t="s">
        <v>486</v>
      </c>
      <c r="D21" s="40">
        <v>140.0</v>
      </c>
      <c r="E21" s="40">
        <v>60000.0</v>
      </c>
      <c r="F21" s="40">
        <v>60000.0</v>
      </c>
      <c r="G21" s="40" t="s">
        <v>522</v>
      </c>
      <c r="H21" s="88">
        <v>45931.0</v>
      </c>
      <c r="I21" s="269"/>
      <c r="J21" s="267" t="s">
        <v>520</v>
      </c>
      <c r="K21" s="268" t="s">
        <v>489</v>
      </c>
      <c r="L21" s="40">
        <v>6.0</v>
      </c>
      <c r="M21" s="40">
        <v>0.0</v>
      </c>
      <c r="N21" s="40" t="s">
        <v>496</v>
      </c>
      <c r="O21" s="40">
        <v>63000.0</v>
      </c>
      <c r="P21" s="266" t="s">
        <v>493</v>
      </c>
      <c r="Q21" s="260"/>
      <c r="R21" s="260"/>
      <c r="S21" s="260"/>
      <c r="T21" s="260"/>
      <c r="U21" s="260"/>
      <c r="V21" s="260"/>
      <c r="W21" s="260"/>
      <c r="X21" s="260"/>
      <c r="Y21" s="260"/>
    </row>
    <row r="22">
      <c r="A22" s="87" t="s">
        <v>531</v>
      </c>
      <c r="B22" s="40" t="s">
        <v>519</v>
      </c>
      <c r="C22" s="40" t="s">
        <v>486</v>
      </c>
      <c r="D22" s="40">
        <v>150.0</v>
      </c>
      <c r="E22" s="40">
        <v>62500.0</v>
      </c>
      <c r="F22" s="40">
        <v>62500.0</v>
      </c>
      <c r="G22" s="40" t="s">
        <v>522</v>
      </c>
      <c r="H22" s="88">
        <v>45931.0</v>
      </c>
      <c r="I22" s="269"/>
      <c r="J22" s="267" t="s">
        <v>520</v>
      </c>
      <c r="K22" s="268" t="s">
        <v>489</v>
      </c>
      <c r="L22" s="40">
        <v>9.0</v>
      </c>
      <c r="M22" s="40">
        <v>2.0</v>
      </c>
      <c r="N22" s="40" t="s">
        <v>499</v>
      </c>
      <c r="O22" s="40">
        <v>65625.0</v>
      </c>
      <c r="P22" s="266" t="s">
        <v>493</v>
      </c>
      <c r="Q22" s="260"/>
      <c r="R22" s="260"/>
      <c r="S22" s="260"/>
      <c r="T22" s="260"/>
      <c r="U22" s="260"/>
      <c r="V22" s="260"/>
      <c r="W22" s="260"/>
      <c r="X22" s="260"/>
      <c r="Y22" s="260"/>
    </row>
    <row r="23">
      <c r="A23" s="87" t="s">
        <v>534</v>
      </c>
      <c r="B23" s="40" t="s">
        <v>519</v>
      </c>
      <c r="C23" s="40" t="s">
        <v>486</v>
      </c>
      <c r="D23" s="40">
        <v>120.0</v>
      </c>
      <c r="E23" s="40">
        <v>65000.0</v>
      </c>
      <c r="F23" s="40">
        <v>65000.0</v>
      </c>
      <c r="G23" s="40" t="s">
        <v>522</v>
      </c>
      <c r="H23" s="88">
        <v>45931.0</v>
      </c>
      <c r="I23" s="269"/>
      <c r="J23" s="267" t="s">
        <v>520</v>
      </c>
      <c r="K23" s="268" t="s">
        <v>489</v>
      </c>
      <c r="L23" s="40">
        <v>0.0</v>
      </c>
      <c r="M23" s="40">
        <v>4.0</v>
      </c>
      <c r="N23" s="40" t="s">
        <v>491</v>
      </c>
      <c r="O23" s="40">
        <v>68250.0</v>
      </c>
      <c r="P23" s="266" t="s">
        <v>493</v>
      </c>
      <c r="Q23" s="260"/>
      <c r="R23" s="260"/>
      <c r="S23" s="260"/>
      <c r="T23" s="260"/>
      <c r="U23" s="260"/>
      <c r="V23" s="260"/>
      <c r="W23" s="260"/>
      <c r="X23" s="260"/>
      <c r="Y23" s="260"/>
    </row>
    <row r="24">
      <c r="A24" s="87" t="s">
        <v>535</v>
      </c>
      <c r="B24" s="40" t="s">
        <v>536</v>
      </c>
      <c r="C24" s="40" t="s">
        <v>486</v>
      </c>
      <c r="D24" s="40">
        <v>130.0</v>
      </c>
      <c r="E24" s="40">
        <v>50000.0</v>
      </c>
      <c r="F24" s="40">
        <v>50000.0</v>
      </c>
      <c r="G24" s="40" t="s">
        <v>522</v>
      </c>
      <c r="H24" s="88">
        <v>45931.0</v>
      </c>
      <c r="I24" s="269"/>
      <c r="J24" s="267" t="s">
        <v>520</v>
      </c>
      <c r="K24" s="268" t="s">
        <v>489</v>
      </c>
      <c r="L24" s="40">
        <v>3.0</v>
      </c>
      <c r="M24" s="40">
        <v>0.0</v>
      </c>
      <c r="N24" s="40" t="s">
        <v>491</v>
      </c>
      <c r="O24" s="40">
        <v>52500.0</v>
      </c>
      <c r="P24" s="266" t="s">
        <v>493</v>
      </c>
      <c r="Q24" s="260"/>
      <c r="R24" s="260"/>
      <c r="S24" s="260"/>
      <c r="T24" s="260"/>
      <c r="U24" s="260"/>
      <c r="V24" s="260"/>
      <c r="W24" s="260"/>
      <c r="X24" s="260"/>
      <c r="Y24" s="260"/>
    </row>
    <row r="25">
      <c r="A25" s="87" t="s">
        <v>537</v>
      </c>
      <c r="B25" s="40" t="s">
        <v>536</v>
      </c>
      <c r="C25" s="40" t="s">
        <v>486</v>
      </c>
      <c r="D25" s="40">
        <v>140.0</v>
      </c>
      <c r="E25" s="40">
        <v>52500.0</v>
      </c>
      <c r="F25" s="40">
        <v>52500.0</v>
      </c>
      <c r="G25" s="40" t="s">
        <v>522</v>
      </c>
      <c r="H25" s="88">
        <v>45931.0</v>
      </c>
      <c r="I25" s="269"/>
      <c r="J25" s="267" t="s">
        <v>520</v>
      </c>
      <c r="K25" s="268" t="s">
        <v>489</v>
      </c>
      <c r="L25" s="40">
        <v>6.0</v>
      </c>
      <c r="M25" s="40">
        <v>2.0</v>
      </c>
      <c r="N25" s="40" t="s">
        <v>496</v>
      </c>
      <c r="O25" s="40">
        <v>55125.0</v>
      </c>
      <c r="P25" s="266" t="s">
        <v>493</v>
      </c>
      <c r="Q25" s="260"/>
      <c r="R25" s="260"/>
      <c r="S25" s="260"/>
      <c r="T25" s="260"/>
      <c r="U25" s="260"/>
      <c r="V25" s="260"/>
      <c r="W25" s="260"/>
      <c r="X25" s="260"/>
      <c r="Y25" s="260"/>
    </row>
    <row r="26">
      <c r="A26" s="87" t="s">
        <v>538</v>
      </c>
      <c r="B26" s="40" t="s">
        <v>536</v>
      </c>
      <c r="C26" s="40" t="s">
        <v>486</v>
      </c>
      <c r="D26" s="40">
        <v>150.0</v>
      </c>
      <c r="E26" s="40">
        <v>55000.0</v>
      </c>
      <c r="F26" s="40">
        <v>55000.0</v>
      </c>
      <c r="G26" s="40" t="s">
        <v>522</v>
      </c>
      <c r="H26" s="88">
        <v>45931.0</v>
      </c>
      <c r="I26" s="269"/>
      <c r="J26" s="267" t="s">
        <v>520</v>
      </c>
      <c r="K26" s="268" t="s">
        <v>489</v>
      </c>
      <c r="L26" s="40">
        <v>9.0</v>
      </c>
      <c r="M26" s="40">
        <v>4.0</v>
      </c>
      <c r="N26" s="40" t="s">
        <v>499</v>
      </c>
      <c r="O26" s="40">
        <v>57750.0</v>
      </c>
      <c r="P26" s="266" t="s">
        <v>493</v>
      </c>
      <c r="Q26" s="260"/>
      <c r="R26" s="260"/>
      <c r="S26" s="260"/>
      <c r="T26" s="260"/>
      <c r="U26" s="260"/>
      <c r="V26" s="260"/>
      <c r="W26" s="260"/>
      <c r="X26" s="260"/>
      <c r="Y26" s="260"/>
    </row>
    <row r="27">
      <c r="A27" s="87" t="s">
        <v>539</v>
      </c>
      <c r="B27" s="40" t="s">
        <v>536</v>
      </c>
      <c r="C27" s="40" t="s">
        <v>486</v>
      </c>
      <c r="D27" s="40">
        <v>120.0</v>
      </c>
      <c r="E27" s="40">
        <v>57500.0</v>
      </c>
      <c r="F27" s="40">
        <v>57500.0</v>
      </c>
      <c r="G27" s="40" t="s">
        <v>522</v>
      </c>
      <c r="H27" s="88">
        <v>45931.0</v>
      </c>
      <c r="I27" s="269"/>
      <c r="J27" s="267" t="s">
        <v>520</v>
      </c>
      <c r="K27" s="268" t="s">
        <v>489</v>
      </c>
      <c r="L27" s="40">
        <v>0.0</v>
      </c>
      <c r="M27" s="40">
        <v>0.0</v>
      </c>
      <c r="N27" s="40" t="s">
        <v>491</v>
      </c>
      <c r="O27" s="40">
        <v>60375.0</v>
      </c>
      <c r="P27" s="266" t="s">
        <v>493</v>
      </c>
      <c r="Q27" s="260"/>
      <c r="R27" s="260"/>
      <c r="S27" s="260"/>
      <c r="T27" s="260"/>
      <c r="U27" s="260"/>
      <c r="V27" s="260"/>
      <c r="W27" s="260"/>
      <c r="X27" s="260"/>
      <c r="Y27" s="260"/>
    </row>
    <row r="28">
      <c r="A28" s="87" t="s">
        <v>541</v>
      </c>
      <c r="B28" s="40" t="s">
        <v>536</v>
      </c>
      <c r="C28" s="40" t="s">
        <v>486</v>
      </c>
      <c r="D28" s="40">
        <v>130.0</v>
      </c>
      <c r="E28" s="40">
        <v>60000.0</v>
      </c>
      <c r="F28" s="40">
        <v>60000.0</v>
      </c>
      <c r="G28" s="40" t="s">
        <v>522</v>
      </c>
      <c r="H28" s="88">
        <v>45931.0</v>
      </c>
      <c r="I28" s="269"/>
      <c r="J28" s="267" t="s">
        <v>520</v>
      </c>
      <c r="K28" s="268" t="s">
        <v>489</v>
      </c>
      <c r="L28" s="40">
        <v>3.0</v>
      </c>
      <c r="M28" s="40">
        <v>2.0</v>
      </c>
      <c r="N28" s="40" t="s">
        <v>491</v>
      </c>
      <c r="O28" s="40">
        <v>63000.0</v>
      </c>
      <c r="P28" s="266" t="s">
        <v>493</v>
      </c>
      <c r="Q28" s="260"/>
      <c r="R28" s="260"/>
      <c r="S28" s="260"/>
      <c r="T28" s="260"/>
      <c r="U28" s="260"/>
      <c r="V28" s="260"/>
      <c r="W28" s="260"/>
      <c r="X28" s="260"/>
      <c r="Y28" s="260"/>
    </row>
    <row r="29">
      <c r="A29" s="87" t="s">
        <v>543</v>
      </c>
      <c r="B29" s="40" t="s">
        <v>536</v>
      </c>
      <c r="C29" s="40" t="s">
        <v>486</v>
      </c>
      <c r="D29" s="40">
        <v>140.0</v>
      </c>
      <c r="E29" s="40">
        <v>62500.0</v>
      </c>
      <c r="F29" s="40">
        <v>62500.0</v>
      </c>
      <c r="G29" s="40" t="s">
        <v>522</v>
      </c>
      <c r="H29" s="88">
        <v>45931.0</v>
      </c>
      <c r="I29" s="269"/>
      <c r="J29" s="267" t="s">
        <v>520</v>
      </c>
      <c r="K29" s="268" t="s">
        <v>489</v>
      </c>
      <c r="L29" s="40">
        <v>6.0</v>
      </c>
      <c r="M29" s="40">
        <v>4.0</v>
      </c>
      <c r="N29" s="40" t="s">
        <v>496</v>
      </c>
      <c r="O29" s="40">
        <v>65625.0</v>
      </c>
      <c r="P29" s="266" t="s">
        <v>493</v>
      </c>
      <c r="Q29" s="260"/>
      <c r="R29" s="260"/>
      <c r="S29" s="260"/>
      <c r="T29" s="260"/>
      <c r="U29" s="260"/>
      <c r="V29" s="260"/>
      <c r="W29" s="260"/>
      <c r="X29" s="260"/>
      <c r="Y29" s="260"/>
    </row>
    <row r="30">
      <c r="A30" s="87" t="s">
        <v>544</v>
      </c>
      <c r="B30" s="40" t="s">
        <v>536</v>
      </c>
      <c r="C30" s="40" t="s">
        <v>486</v>
      </c>
      <c r="D30" s="40">
        <v>150.0</v>
      </c>
      <c r="E30" s="40">
        <v>65000.0</v>
      </c>
      <c r="F30" s="40">
        <v>65000.0</v>
      </c>
      <c r="G30" s="40" t="s">
        <v>522</v>
      </c>
      <c r="H30" s="88">
        <v>45931.0</v>
      </c>
      <c r="I30" s="269"/>
      <c r="J30" s="267" t="s">
        <v>520</v>
      </c>
      <c r="K30" s="268" t="s">
        <v>489</v>
      </c>
      <c r="L30" s="40">
        <v>9.0</v>
      </c>
      <c r="M30" s="40">
        <v>0.0</v>
      </c>
      <c r="N30" s="40" t="s">
        <v>499</v>
      </c>
      <c r="O30" s="40">
        <v>68250.0</v>
      </c>
      <c r="P30" s="266" t="s">
        <v>493</v>
      </c>
      <c r="Q30" s="260"/>
      <c r="R30" s="260"/>
      <c r="S30" s="260"/>
      <c r="T30" s="260"/>
      <c r="U30" s="260"/>
      <c r="V30" s="260"/>
      <c r="W30" s="260"/>
      <c r="X30" s="260"/>
      <c r="Y30" s="260"/>
    </row>
    <row r="31">
      <c r="A31" s="87" t="s">
        <v>545</v>
      </c>
      <c r="B31" s="40" t="s">
        <v>536</v>
      </c>
      <c r="C31" s="40" t="s">
        <v>486</v>
      </c>
      <c r="D31" s="40">
        <v>120.0</v>
      </c>
      <c r="E31" s="40">
        <v>50000.0</v>
      </c>
      <c r="F31" s="40">
        <v>50000.0</v>
      </c>
      <c r="G31" s="40" t="s">
        <v>522</v>
      </c>
      <c r="H31" s="88">
        <v>45931.0</v>
      </c>
      <c r="I31" s="269"/>
      <c r="J31" s="267" t="s">
        <v>520</v>
      </c>
      <c r="K31" s="268" t="s">
        <v>489</v>
      </c>
      <c r="L31" s="40">
        <v>0.0</v>
      </c>
      <c r="M31" s="40">
        <v>2.0</v>
      </c>
      <c r="N31" s="40" t="s">
        <v>491</v>
      </c>
      <c r="O31" s="40">
        <v>52500.0</v>
      </c>
      <c r="P31" s="266" t="s">
        <v>493</v>
      </c>
      <c r="Q31" s="260"/>
      <c r="R31" s="260"/>
      <c r="S31" s="260"/>
      <c r="T31" s="260"/>
      <c r="U31" s="260"/>
      <c r="V31" s="260"/>
      <c r="W31" s="260"/>
      <c r="X31" s="260"/>
      <c r="Y31" s="260"/>
    </row>
    <row r="32">
      <c r="A32" s="87" t="s">
        <v>547</v>
      </c>
      <c r="B32" s="40" t="s">
        <v>536</v>
      </c>
      <c r="C32" s="40" t="s">
        <v>486</v>
      </c>
      <c r="D32" s="40">
        <v>130.0</v>
      </c>
      <c r="E32" s="40">
        <v>52500.0</v>
      </c>
      <c r="F32" s="40">
        <v>52500.0</v>
      </c>
      <c r="G32" s="40" t="s">
        <v>522</v>
      </c>
      <c r="H32" s="88">
        <v>45931.0</v>
      </c>
      <c r="I32" s="269"/>
      <c r="J32" s="267" t="s">
        <v>520</v>
      </c>
      <c r="K32" s="268" t="s">
        <v>489</v>
      </c>
      <c r="L32" s="40">
        <v>3.0</v>
      </c>
      <c r="M32" s="40">
        <v>4.0</v>
      </c>
      <c r="N32" s="40" t="s">
        <v>491</v>
      </c>
      <c r="O32" s="40">
        <v>55125.0</v>
      </c>
      <c r="P32" s="266" t="s">
        <v>493</v>
      </c>
      <c r="Q32" s="260"/>
      <c r="R32" s="260"/>
      <c r="S32" s="260"/>
      <c r="T32" s="260"/>
      <c r="U32" s="260"/>
      <c r="V32" s="260"/>
      <c r="W32" s="260"/>
      <c r="X32" s="260"/>
      <c r="Y32" s="260"/>
    </row>
    <row r="33">
      <c r="A33" s="87" t="s">
        <v>548</v>
      </c>
      <c r="B33" s="40" t="s">
        <v>536</v>
      </c>
      <c r="C33" s="40" t="s">
        <v>486</v>
      </c>
      <c r="D33" s="40">
        <v>140.0</v>
      </c>
      <c r="E33" s="40">
        <v>55000.0</v>
      </c>
      <c r="F33" s="40">
        <v>55000.0</v>
      </c>
      <c r="G33" s="40" t="s">
        <v>522</v>
      </c>
      <c r="H33" s="88">
        <v>45931.0</v>
      </c>
      <c r="I33" s="269"/>
      <c r="J33" s="267" t="s">
        <v>520</v>
      </c>
      <c r="K33" s="268" t="s">
        <v>489</v>
      </c>
      <c r="L33" s="40">
        <v>6.0</v>
      </c>
      <c r="M33" s="40">
        <v>0.0</v>
      </c>
      <c r="N33" s="40" t="s">
        <v>496</v>
      </c>
      <c r="O33" s="40">
        <v>57750.0</v>
      </c>
      <c r="P33" s="266" t="s">
        <v>493</v>
      </c>
      <c r="Q33" s="260"/>
      <c r="R33" s="260"/>
      <c r="S33" s="260"/>
      <c r="T33" s="260"/>
      <c r="U33" s="260"/>
      <c r="V33" s="260"/>
      <c r="W33" s="260"/>
      <c r="X33" s="260"/>
      <c r="Y33" s="260"/>
    </row>
    <row r="34">
      <c r="A34" s="87" t="s">
        <v>549</v>
      </c>
      <c r="B34" s="40" t="s">
        <v>550</v>
      </c>
      <c r="C34" s="40" t="s">
        <v>486</v>
      </c>
      <c r="D34" s="40">
        <v>150.0</v>
      </c>
      <c r="E34" s="40">
        <v>57500.0</v>
      </c>
      <c r="F34" s="40">
        <v>57500.0</v>
      </c>
      <c r="G34" s="40" t="s">
        <v>522</v>
      </c>
      <c r="H34" s="88">
        <v>45931.0</v>
      </c>
      <c r="I34" s="269"/>
      <c r="J34" s="267" t="s">
        <v>520</v>
      </c>
      <c r="K34" s="268" t="s">
        <v>489</v>
      </c>
      <c r="L34" s="40">
        <v>9.0</v>
      </c>
      <c r="M34" s="40">
        <v>2.0</v>
      </c>
      <c r="N34" s="40" t="s">
        <v>499</v>
      </c>
      <c r="O34" s="40">
        <v>60375.0</v>
      </c>
      <c r="P34" s="266" t="s">
        <v>493</v>
      </c>
      <c r="Q34" s="260"/>
      <c r="R34" s="260"/>
      <c r="S34" s="260"/>
      <c r="T34" s="260"/>
      <c r="U34" s="260"/>
      <c r="V34" s="260"/>
      <c r="W34" s="260"/>
      <c r="X34" s="260"/>
      <c r="Y34" s="260"/>
    </row>
    <row r="35">
      <c r="A35" s="87" t="s">
        <v>551</v>
      </c>
      <c r="B35" s="40" t="s">
        <v>550</v>
      </c>
      <c r="C35" s="40" t="s">
        <v>486</v>
      </c>
      <c r="D35" s="40">
        <v>120.0</v>
      </c>
      <c r="E35" s="40">
        <v>60000.0</v>
      </c>
      <c r="F35" s="40">
        <v>60000.0</v>
      </c>
      <c r="G35" s="40" t="s">
        <v>522</v>
      </c>
      <c r="H35" s="88">
        <v>45931.0</v>
      </c>
      <c r="I35" s="269"/>
      <c r="J35" s="267" t="s">
        <v>520</v>
      </c>
      <c r="K35" s="268" t="s">
        <v>489</v>
      </c>
      <c r="L35" s="40">
        <v>0.0</v>
      </c>
      <c r="M35" s="40">
        <v>4.0</v>
      </c>
      <c r="N35" s="40" t="s">
        <v>491</v>
      </c>
      <c r="O35" s="40">
        <v>63000.0</v>
      </c>
      <c r="P35" s="266" t="s">
        <v>493</v>
      </c>
      <c r="Q35" s="260"/>
      <c r="R35" s="260"/>
      <c r="S35" s="260"/>
      <c r="T35" s="260"/>
      <c r="U35" s="260"/>
      <c r="V35" s="260"/>
      <c r="W35" s="260"/>
      <c r="X35" s="260"/>
      <c r="Y35" s="260"/>
    </row>
    <row r="36">
      <c r="A36" s="87" t="s">
        <v>552</v>
      </c>
      <c r="B36" s="40" t="s">
        <v>550</v>
      </c>
      <c r="C36" s="40" t="s">
        <v>486</v>
      </c>
      <c r="D36" s="40">
        <v>130.0</v>
      </c>
      <c r="E36" s="40">
        <v>62500.0</v>
      </c>
      <c r="F36" s="40">
        <v>62500.0</v>
      </c>
      <c r="G36" s="40" t="s">
        <v>522</v>
      </c>
      <c r="H36" s="88">
        <v>45931.0</v>
      </c>
      <c r="I36" s="269"/>
      <c r="J36" s="267" t="s">
        <v>520</v>
      </c>
      <c r="K36" s="268" t="s">
        <v>489</v>
      </c>
      <c r="L36" s="40">
        <v>3.0</v>
      </c>
      <c r="M36" s="40">
        <v>0.0</v>
      </c>
      <c r="N36" s="40" t="s">
        <v>491</v>
      </c>
      <c r="O36" s="40">
        <v>65625.0</v>
      </c>
      <c r="P36" s="266" t="s">
        <v>493</v>
      </c>
      <c r="Q36" s="260"/>
      <c r="R36" s="260"/>
      <c r="S36" s="260"/>
      <c r="T36" s="260"/>
      <c r="U36" s="260"/>
      <c r="V36" s="260"/>
      <c r="W36" s="260"/>
      <c r="X36" s="260"/>
      <c r="Y36" s="260"/>
    </row>
    <row r="37">
      <c r="A37" s="87" t="s">
        <v>555</v>
      </c>
      <c r="B37" s="40" t="s">
        <v>550</v>
      </c>
      <c r="C37" s="40" t="s">
        <v>486</v>
      </c>
      <c r="D37" s="40">
        <v>140.0</v>
      </c>
      <c r="E37" s="40">
        <v>65000.0</v>
      </c>
      <c r="F37" s="40">
        <v>65000.0</v>
      </c>
      <c r="G37" s="40" t="s">
        <v>522</v>
      </c>
      <c r="H37" s="88">
        <v>45931.0</v>
      </c>
      <c r="I37" s="269"/>
      <c r="J37" s="267" t="s">
        <v>520</v>
      </c>
      <c r="K37" s="268" t="s">
        <v>489</v>
      </c>
      <c r="L37" s="40">
        <v>6.0</v>
      </c>
      <c r="M37" s="40">
        <v>2.0</v>
      </c>
      <c r="N37" s="40" t="s">
        <v>496</v>
      </c>
      <c r="O37" s="40">
        <v>68250.0</v>
      </c>
      <c r="P37" s="266" t="s">
        <v>493</v>
      </c>
      <c r="Q37" s="260"/>
      <c r="R37" s="260"/>
      <c r="S37" s="260"/>
      <c r="T37" s="260"/>
      <c r="U37" s="260"/>
      <c r="V37" s="260"/>
      <c r="W37" s="260"/>
      <c r="X37" s="260"/>
      <c r="Y37" s="260"/>
    </row>
    <row r="38">
      <c r="A38" s="87" t="s">
        <v>556</v>
      </c>
      <c r="B38" s="40" t="s">
        <v>550</v>
      </c>
      <c r="C38" s="40" t="s">
        <v>486</v>
      </c>
      <c r="D38" s="40">
        <v>150.0</v>
      </c>
      <c r="E38" s="40">
        <v>50000.0</v>
      </c>
      <c r="F38" s="40">
        <v>50000.0</v>
      </c>
      <c r="G38" s="40" t="s">
        <v>522</v>
      </c>
      <c r="H38" s="88">
        <v>45931.0</v>
      </c>
      <c r="I38" s="269"/>
      <c r="J38" s="267" t="s">
        <v>520</v>
      </c>
      <c r="K38" s="268" t="s">
        <v>489</v>
      </c>
      <c r="L38" s="40">
        <v>9.0</v>
      </c>
      <c r="M38" s="40">
        <v>4.0</v>
      </c>
      <c r="N38" s="40" t="s">
        <v>499</v>
      </c>
      <c r="O38" s="40">
        <v>52500.0</v>
      </c>
      <c r="P38" s="266" t="s">
        <v>493</v>
      </c>
      <c r="Q38" s="260"/>
      <c r="R38" s="260"/>
      <c r="S38" s="260"/>
      <c r="T38" s="260"/>
      <c r="U38" s="260"/>
      <c r="V38" s="260"/>
      <c r="W38" s="260"/>
      <c r="X38" s="260"/>
      <c r="Y38" s="260"/>
    </row>
    <row r="39">
      <c r="A39" s="87" t="s">
        <v>557</v>
      </c>
      <c r="B39" s="40" t="s">
        <v>550</v>
      </c>
      <c r="C39" s="40" t="s">
        <v>486</v>
      </c>
      <c r="D39" s="40">
        <v>120.0</v>
      </c>
      <c r="E39" s="40">
        <v>52500.0</v>
      </c>
      <c r="F39" s="40">
        <v>52500.0</v>
      </c>
      <c r="G39" s="40" t="s">
        <v>522</v>
      </c>
      <c r="H39" s="88">
        <v>45931.0</v>
      </c>
      <c r="I39" s="269"/>
      <c r="J39" s="267" t="s">
        <v>520</v>
      </c>
      <c r="K39" s="268" t="s">
        <v>489</v>
      </c>
      <c r="L39" s="40">
        <v>0.0</v>
      </c>
      <c r="M39" s="40">
        <v>0.0</v>
      </c>
      <c r="N39" s="40" t="s">
        <v>491</v>
      </c>
      <c r="O39" s="40">
        <v>55125.0</v>
      </c>
      <c r="P39" s="266" t="s">
        <v>493</v>
      </c>
      <c r="Q39" s="260"/>
      <c r="R39" s="260"/>
      <c r="S39" s="260"/>
      <c r="T39" s="260"/>
      <c r="U39" s="260"/>
      <c r="V39" s="260"/>
      <c r="W39" s="260"/>
      <c r="X39" s="260"/>
      <c r="Y39" s="260"/>
    </row>
    <row r="40">
      <c r="A40" s="87" t="s">
        <v>558</v>
      </c>
      <c r="B40" s="40" t="s">
        <v>550</v>
      </c>
      <c r="C40" s="40" t="s">
        <v>486</v>
      </c>
      <c r="D40" s="40">
        <v>130.0</v>
      </c>
      <c r="E40" s="40">
        <v>55000.0</v>
      </c>
      <c r="F40" s="40">
        <v>55000.0</v>
      </c>
      <c r="G40" s="40" t="s">
        <v>522</v>
      </c>
      <c r="H40" s="88">
        <v>45931.0</v>
      </c>
      <c r="I40" s="269"/>
      <c r="J40" s="267" t="s">
        <v>520</v>
      </c>
      <c r="K40" s="268" t="s">
        <v>489</v>
      </c>
      <c r="L40" s="40">
        <v>3.0</v>
      </c>
      <c r="M40" s="40">
        <v>2.0</v>
      </c>
      <c r="N40" s="40" t="s">
        <v>491</v>
      </c>
      <c r="O40" s="40">
        <v>57750.0</v>
      </c>
      <c r="P40" s="266" t="s">
        <v>493</v>
      </c>
      <c r="Q40" s="260"/>
      <c r="R40" s="260"/>
      <c r="S40" s="260"/>
      <c r="T40" s="260"/>
      <c r="U40" s="260"/>
      <c r="V40" s="260"/>
      <c r="W40" s="260"/>
      <c r="X40" s="260"/>
      <c r="Y40" s="260"/>
    </row>
    <row r="41">
      <c r="A41" s="87" t="s">
        <v>559</v>
      </c>
      <c r="B41" s="40" t="s">
        <v>550</v>
      </c>
      <c r="C41" s="40" t="s">
        <v>486</v>
      </c>
      <c r="D41" s="40">
        <v>140.0</v>
      </c>
      <c r="E41" s="40">
        <v>57500.0</v>
      </c>
      <c r="F41" s="40">
        <v>57500.0</v>
      </c>
      <c r="G41" s="40" t="s">
        <v>522</v>
      </c>
      <c r="H41" s="88">
        <v>45931.0</v>
      </c>
      <c r="I41" s="269"/>
      <c r="J41" s="267" t="s">
        <v>520</v>
      </c>
      <c r="K41" s="268" t="s">
        <v>489</v>
      </c>
      <c r="L41" s="40">
        <v>6.0</v>
      </c>
      <c r="M41" s="40">
        <v>4.0</v>
      </c>
      <c r="N41" s="40" t="s">
        <v>496</v>
      </c>
      <c r="O41" s="40">
        <v>60375.0</v>
      </c>
      <c r="P41" s="266" t="s">
        <v>493</v>
      </c>
      <c r="Q41" s="260"/>
      <c r="R41" s="260"/>
      <c r="S41" s="260"/>
      <c r="T41" s="260"/>
      <c r="U41" s="260"/>
      <c r="V41" s="260"/>
      <c r="W41" s="260"/>
      <c r="X41" s="260"/>
      <c r="Y41" s="260"/>
    </row>
    <row r="42">
      <c r="A42" s="87" t="s">
        <v>562</v>
      </c>
      <c r="B42" s="40" t="s">
        <v>550</v>
      </c>
      <c r="C42" s="40" t="s">
        <v>486</v>
      </c>
      <c r="D42" s="40">
        <v>150.0</v>
      </c>
      <c r="E42" s="40">
        <v>60000.0</v>
      </c>
      <c r="F42" s="40">
        <v>60000.0</v>
      </c>
      <c r="G42" s="40" t="s">
        <v>522</v>
      </c>
      <c r="H42" s="88">
        <v>45931.0</v>
      </c>
      <c r="I42" s="269"/>
      <c r="J42" s="267" t="s">
        <v>520</v>
      </c>
      <c r="K42" s="268" t="s">
        <v>489</v>
      </c>
      <c r="L42" s="40">
        <v>9.0</v>
      </c>
      <c r="M42" s="40">
        <v>0.0</v>
      </c>
      <c r="N42" s="40" t="s">
        <v>499</v>
      </c>
      <c r="O42" s="40">
        <v>63000.0</v>
      </c>
      <c r="P42" s="266" t="s">
        <v>493</v>
      </c>
      <c r="Q42" s="260"/>
      <c r="R42" s="260"/>
      <c r="S42" s="260"/>
      <c r="T42" s="260"/>
      <c r="U42" s="260"/>
      <c r="V42" s="260"/>
      <c r="W42" s="260"/>
      <c r="X42" s="260"/>
      <c r="Y42" s="260"/>
    </row>
    <row r="43">
      <c r="A43" s="87" t="s">
        <v>563</v>
      </c>
      <c r="B43" s="40" t="s">
        <v>550</v>
      </c>
      <c r="C43" s="40" t="s">
        <v>486</v>
      </c>
      <c r="D43" s="40">
        <v>120.0</v>
      </c>
      <c r="E43" s="40">
        <v>62500.0</v>
      </c>
      <c r="F43" s="40">
        <v>62500.0</v>
      </c>
      <c r="G43" s="40" t="s">
        <v>522</v>
      </c>
      <c r="H43" s="88">
        <v>45931.0</v>
      </c>
      <c r="I43" s="269"/>
      <c r="J43" s="267" t="s">
        <v>520</v>
      </c>
      <c r="K43" s="268" t="s">
        <v>489</v>
      </c>
      <c r="L43" s="40">
        <v>0.0</v>
      </c>
      <c r="M43" s="40">
        <v>2.0</v>
      </c>
      <c r="N43" s="40" t="s">
        <v>491</v>
      </c>
      <c r="O43" s="40">
        <v>65625.0</v>
      </c>
      <c r="P43" s="266" t="s">
        <v>493</v>
      </c>
      <c r="Q43" s="260"/>
      <c r="R43" s="260"/>
      <c r="S43" s="260"/>
      <c r="T43" s="260"/>
      <c r="U43" s="260"/>
      <c r="V43" s="260"/>
      <c r="W43" s="260"/>
      <c r="X43" s="260"/>
      <c r="Y43" s="260"/>
    </row>
    <row r="44">
      <c r="A44" s="87" t="s">
        <v>564</v>
      </c>
      <c r="B44" s="40" t="s">
        <v>565</v>
      </c>
      <c r="C44" s="40" t="s">
        <v>486</v>
      </c>
      <c r="D44" s="40">
        <v>130.0</v>
      </c>
      <c r="E44" s="40">
        <v>65000.0</v>
      </c>
      <c r="F44" s="40">
        <v>65000.0</v>
      </c>
      <c r="G44" s="40" t="s">
        <v>522</v>
      </c>
      <c r="H44" s="88">
        <v>45931.0</v>
      </c>
      <c r="I44" s="269"/>
      <c r="J44" s="267" t="s">
        <v>520</v>
      </c>
      <c r="K44" s="268" t="s">
        <v>489</v>
      </c>
      <c r="L44" s="40">
        <v>3.0</v>
      </c>
      <c r="M44" s="40">
        <v>4.0</v>
      </c>
      <c r="N44" s="40" t="s">
        <v>491</v>
      </c>
      <c r="O44" s="40">
        <v>68250.0</v>
      </c>
      <c r="P44" s="266" t="s">
        <v>493</v>
      </c>
      <c r="Q44" s="260"/>
      <c r="R44" s="260"/>
      <c r="S44" s="260"/>
      <c r="T44" s="260"/>
      <c r="U44" s="260"/>
      <c r="V44" s="260"/>
      <c r="W44" s="260"/>
      <c r="X44" s="260"/>
      <c r="Y44" s="260"/>
    </row>
    <row r="45">
      <c r="A45" s="87" t="s">
        <v>566</v>
      </c>
      <c r="B45" s="40" t="s">
        <v>565</v>
      </c>
      <c r="C45" s="40" t="s">
        <v>486</v>
      </c>
      <c r="D45" s="40">
        <v>140.0</v>
      </c>
      <c r="E45" s="40">
        <v>50000.0</v>
      </c>
      <c r="F45" s="40">
        <v>50000.0</v>
      </c>
      <c r="G45" s="40" t="s">
        <v>522</v>
      </c>
      <c r="H45" s="88">
        <v>45931.0</v>
      </c>
      <c r="I45" s="269"/>
      <c r="J45" s="267" t="s">
        <v>520</v>
      </c>
      <c r="K45" s="268" t="s">
        <v>489</v>
      </c>
      <c r="L45" s="40">
        <v>6.0</v>
      </c>
      <c r="M45" s="40">
        <v>0.0</v>
      </c>
      <c r="N45" s="40" t="s">
        <v>496</v>
      </c>
      <c r="O45" s="40">
        <v>52500.0</v>
      </c>
      <c r="P45" s="266" t="s">
        <v>493</v>
      </c>
      <c r="Q45" s="260"/>
      <c r="R45" s="260"/>
      <c r="S45" s="260"/>
      <c r="T45" s="260"/>
      <c r="U45" s="260"/>
      <c r="V45" s="260"/>
      <c r="W45" s="260"/>
      <c r="X45" s="260"/>
      <c r="Y45" s="260"/>
    </row>
    <row r="46">
      <c r="A46" s="87" t="s">
        <v>567</v>
      </c>
      <c r="B46" s="40" t="s">
        <v>565</v>
      </c>
      <c r="C46" s="40" t="s">
        <v>486</v>
      </c>
      <c r="D46" s="40">
        <v>150.0</v>
      </c>
      <c r="E46" s="40">
        <v>52500.0</v>
      </c>
      <c r="F46" s="40">
        <v>52500.0</v>
      </c>
      <c r="G46" s="40" t="s">
        <v>522</v>
      </c>
      <c r="H46" s="88">
        <v>45931.0</v>
      </c>
      <c r="I46" s="269"/>
      <c r="J46" s="267" t="s">
        <v>520</v>
      </c>
      <c r="K46" s="268" t="s">
        <v>489</v>
      </c>
      <c r="L46" s="40">
        <v>9.0</v>
      </c>
      <c r="M46" s="40">
        <v>2.0</v>
      </c>
      <c r="N46" s="40" t="s">
        <v>499</v>
      </c>
      <c r="O46" s="40">
        <v>55125.0</v>
      </c>
      <c r="P46" s="266" t="s">
        <v>493</v>
      </c>
      <c r="Q46" s="260"/>
      <c r="R46" s="260"/>
      <c r="S46" s="260"/>
      <c r="T46" s="260"/>
      <c r="U46" s="260"/>
      <c r="V46" s="260"/>
      <c r="W46" s="260"/>
      <c r="X46" s="260"/>
      <c r="Y46" s="260"/>
    </row>
    <row r="47">
      <c r="A47" s="87" t="s">
        <v>570</v>
      </c>
      <c r="B47" s="40" t="s">
        <v>565</v>
      </c>
      <c r="C47" s="40" t="s">
        <v>486</v>
      </c>
      <c r="D47" s="40">
        <v>120.0</v>
      </c>
      <c r="E47" s="40">
        <v>55000.0</v>
      </c>
      <c r="F47" s="40">
        <v>55000.0</v>
      </c>
      <c r="G47" s="40" t="s">
        <v>522</v>
      </c>
      <c r="H47" s="88">
        <v>45931.0</v>
      </c>
      <c r="I47" s="269"/>
      <c r="J47" s="267" t="s">
        <v>520</v>
      </c>
      <c r="K47" s="268" t="s">
        <v>489</v>
      </c>
      <c r="L47" s="40">
        <v>0.0</v>
      </c>
      <c r="M47" s="40">
        <v>4.0</v>
      </c>
      <c r="N47" s="40" t="s">
        <v>491</v>
      </c>
      <c r="O47" s="40">
        <v>57750.0</v>
      </c>
      <c r="P47" s="266" t="s">
        <v>493</v>
      </c>
      <c r="Q47" s="260"/>
      <c r="R47" s="260"/>
      <c r="S47" s="260"/>
      <c r="T47" s="260"/>
      <c r="U47" s="260"/>
      <c r="V47" s="260"/>
      <c r="W47" s="260"/>
      <c r="X47" s="260"/>
      <c r="Y47" s="260"/>
    </row>
    <row r="48">
      <c r="A48" s="87" t="s">
        <v>571</v>
      </c>
      <c r="B48" s="40" t="s">
        <v>565</v>
      </c>
      <c r="C48" s="40" t="s">
        <v>486</v>
      </c>
      <c r="D48" s="40">
        <v>130.0</v>
      </c>
      <c r="E48" s="40">
        <v>57500.0</v>
      </c>
      <c r="F48" s="40">
        <v>57500.0</v>
      </c>
      <c r="G48" s="40" t="s">
        <v>522</v>
      </c>
      <c r="H48" s="88">
        <v>45931.0</v>
      </c>
      <c r="I48" s="269"/>
      <c r="J48" s="267" t="s">
        <v>520</v>
      </c>
      <c r="K48" s="268" t="s">
        <v>489</v>
      </c>
      <c r="L48" s="40">
        <v>3.0</v>
      </c>
      <c r="M48" s="40">
        <v>0.0</v>
      </c>
      <c r="N48" s="40" t="s">
        <v>491</v>
      </c>
      <c r="O48" s="40">
        <v>60375.0</v>
      </c>
      <c r="P48" s="266" t="s">
        <v>493</v>
      </c>
      <c r="Q48" s="260"/>
      <c r="R48" s="260"/>
      <c r="S48" s="260"/>
      <c r="T48" s="260"/>
      <c r="U48" s="260"/>
      <c r="V48" s="260"/>
      <c r="W48" s="260"/>
      <c r="X48" s="260"/>
      <c r="Y48" s="260"/>
    </row>
    <row r="49">
      <c r="A49" s="87" t="s">
        <v>572</v>
      </c>
      <c r="B49" s="40" t="s">
        <v>565</v>
      </c>
      <c r="C49" s="40" t="s">
        <v>486</v>
      </c>
      <c r="D49" s="40">
        <v>140.0</v>
      </c>
      <c r="E49" s="40">
        <v>60000.0</v>
      </c>
      <c r="F49" s="40">
        <v>60000.0</v>
      </c>
      <c r="G49" s="40" t="s">
        <v>522</v>
      </c>
      <c r="H49" s="88">
        <v>45931.0</v>
      </c>
      <c r="I49" s="269"/>
      <c r="J49" s="267" t="s">
        <v>520</v>
      </c>
      <c r="K49" s="268" t="s">
        <v>489</v>
      </c>
      <c r="L49" s="40">
        <v>6.0</v>
      </c>
      <c r="M49" s="40">
        <v>2.0</v>
      </c>
      <c r="N49" s="40" t="s">
        <v>496</v>
      </c>
      <c r="O49" s="40">
        <v>63000.0</v>
      </c>
      <c r="P49" s="266" t="s">
        <v>493</v>
      </c>
      <c r="Q49" s="260"/>
      <c r="R49" s="260"/>
      <c r="S49" s="260"/>
      <c r="T49" s="260"/>
      <c r="U49" s="260"/>
      <c r="V49" s="260"/>
      <c r="W49" s="260"/>
      <c r="X49" s="260"/>
      <c r="Y49" s="260"/>
    </row>
    <row r="50">
      <c r="A50" s="87" t="s">
        <v>573</v>
      </c>
      <c r="B50" s="40" t="s">
        <v>565</v>
      </c>
      <c r="C50" s="40" t="s">
        <v>486</v>
      </c>
      <c r="D50" s="40">
        <v>150.0</v>
      </c>
      <c r="E50" s="40">
        <v>62500.0</v>
      </c>
      <c r="F50" s="40">
        <v>62500.0</v>
      </c>
      <c r="G50" s="40" t="s">
        <v>522</v>
      </c>
      <c r="H50" s="88">
        <v>45931.0</v>
      </c>
      <c r="I50" s="269"/>
      <c r="J50" s="267" t="s">
        <v>520</v>
      </c>
      <c r="K50" s="268" t="s">
        <v>489</v>
      </c>
      <c r="L50" s="40">
        <v>9.0</v>
      </c>
      <c r="M50" s="40">
        <v>4.0</v>
      </c>
      <c r="N50" s="40" t="s">
        <v>499</v>
      </c>
      <c r="O50" s="40">
        <v>65625.0</v>
      </c>
      <c r="P50" s="266" t="s">
        <v>493</v>
      </c>
      <c r="Q50" s="260"/>
      <c r="R50" s="260"/>
      <c r="S50" s="260"/>
      <c r="T50" s="260"/>
      <c r="U50" s="260"/>
      <c r="V50" s="260"/>
      <c r="W50" s="260"/>
      <c r="X50" s="260"/>
      <c r="Y50" s="260"/>
    </row>
    <row r="51">
      <c r="A51" s="87" t="s">
        <v>576</v>
      </c>
      <c r="B51" s="40" t="s">
        <v>565</v>
      </c>
      <c r="C51" s="40" t="s">
        <v>486</v>
      </c>
      <c r="D51" s="40">
        <v>120.0</v>
      </c>
      <c r="E51" s="40">
        <v>65000.0</v>
      </c>
      <c r="F51" s="40">
        <v>65000.0</v>
      </c>
      <c r="G51" s="40" t="s">
        <v>522</v>
      </c>
      <c r="H51" s="88">
        <v>45931.0</v>
      </c>
      <c r="I51" s="269"/>
      <c r="J51" s="267" t="s">
        <v>520</v>
      </c>
      <c r="K51" s="268" t="s">
        <v>489</v>
      </c>
      <c r="L51" s="40">
        <v>0.0</v>
      </c>
      <c r="M51" s="40">
        <v>0.0</v>
      </c>
      <c r="N51" s="40" t="s">
        <v>491</v>
      </c>
      <c r="O51" s="40">
        <v>68250.0</v>
      </c>
      <c r="P51" s="266" t="s">
        <v>493</v>
      </c>
      <c r="Q51" s="260"/>
      <c r="R51" s="260"/>
      <c r="S51" s="260"/>
      <c r="T51" s="260"/>
      <c r="U51" s="260"/>
      <c r="V51" s="260"/>
      <c r="W51" s="260"/>
      <c r="X51" s="260"/>
      <c r="Y51" s="260"/>
    </row>
    <row r="52">
      <c r="A52" s="87" t="s">
        <v>577</v>
      </c>
      <c r="B52" s="40" t="s">
        <v>565</v>
      </c>
      <c r="C52" s="40" t="s">
        <v>486</v>
      </c>
      <c r="D52" s="40">
        <v>130.0</v>
      </c>
      <c r="E52" s="40">
        <v>50000.0</v>
      </c>
      <c r="F52" s="40">
        <v>50000.0</v>
      </c>
      <c r="G52" s="40" t="s">
        <v>522</v>
      </c>
      <c r="H52" s="88">
        <v>45931.0</v>
      </c>
      <c r="I52" s="269"/>
      <c r="J52" s="267" t="s">
        <v>520</v>
      </c>
      <c r="K52" s="268" t="s">
        <v>489</v>
      </c>
      <c r="L52" s="40">
        <v>3.0</v>
      </c>
      <c r="M52" s="40">
        <v>2.0</v>
      </c>
      <c r="N52" s="40" t="s">
        <v>491</v>
      </c>
      <c r="O52" s="40">
        <v>52500.0</v>
      </c>
      <c r="P52" s="266" t="s">
        <v>493</v>
      </c>
      <c r="Q52" s="260"/>
      <c r="R52" s="260"/>
      <c r="S52" s="260"/>
      <c r="T52" s="260"/>
      <c r="U52" s="260"/>
      <c r="V52" s="260"/>
      <c r="W52" s="260"/>
      <c r="X52" s="260"/>
      <c r="Y52" s="260"/>
    </row>
    <row r="53">
      <c r="A53" s="87" t="s">
        <v>578</v>
      </c>
      <c r="B53" s="40" t="s">
        <v>565</v>
      </c>
      <c r="C53" s="40" t="s">
        <v>486</v>
      </c>
      <c r="D53" s="40">
        <v>140.0</v>
      </c>
      <c r="E53" s="40">
        <v>52500.0</v>
      </c>
      <c r="F53" s="40">
        <v>52500.0</v>
      </c>
      <c r="G53" s="40" t="s">
        <v>522</v>
      </c>
      <c r="H53" s="88">
        <v>45931.0</v>
      </c>
      <c r="I53" s="269"/>
      <c r="J53" s="267" t="s">
        <v>520</v>
      </c>
      <c r="K53" s="268" t="s">
        <v>489</v>
      </c>
      <c r="L53" s="40">
        <v>6.0</v>
      </c>
      <c r="M53" s="40">
        <v>4.0</v>
      </c>
      <c r="N53" s="40" t="s">
        <v>496</v>
      </c>
      <c r="O53" s="40">
        <v>55125.0</v>
      </c>
      <c r="P53" s="266" t="s">
        <v>493</v>
      </c>
      <c r="Q53" s="260"/>
      <c r="R53" s="260"/>
      <c r="S53" s="260"/>
      <c r="T53" s="260"/>
      <c r="U53" s="260"/>
      <c r="V53" s="260"/>
      <c r="W53" s="260"/>
      <c r="X53" s="260"/>
      <c r="Y53" s="260"/>
    </row>
    <row r="54">
      <c r="A54" s="87" t="s">
        <v>579</v>
      </c>
      <c r="B54" s="40" t="s">
        <v>580</v>
      </c>
      <c r="C54" s="40" t="s">
        <v>486</v>
      </c>
      <c r="D54" s="40">
        <v>150.0</v>
      </c>
      <c r="E54" s="40">
        <v>55000.0</v>
      </c>
      <c r="F54" s="40">
        <v>55000.0</v>
      </c>
      <c r="G54" s="40" t="s">
        <v>522</v>
      </c>
      <c r="H54" s="88">
        <v>45931.0</v>
      </c>
      <c r="I54" s="269"/>
      <c r="J54" s="267" t="s">
        <v>520</v>
      </c>
      <c r="K54" s="268" t="s">
        <v>489</v>
      </c>
      <c r="L54" s="40">
        <v>9.0</v>
      </c>
      <c r="M54" s="40">
        <v>0.0</v>
      </c>
      <c r="N54" s="40" t="s">
        <v>499</v>
      </c>
      <c r="O54" s="40">
        <v>57750.0</v>
      </c>
      <c r="P54" s="266" t="s">
        <v>493</v>
      </c>
      <c r="Q54" s="260"/>
      <c r="R54" s="260"/>
      <c r="S54" s="260"/>
      <c r="T54" s="260"/>
      <c r="U54" s="260"/>
      <c r="V54" s="260"/>
      <c r="W54" s="260"/>
      <c r="X54" s="260"/>
      <c r="Y54" s="260"/>
    </row>
    <row r="55">
      <c r="A55" s="87" t="s">
        <v>581</v>
      </c>
      <c r="B55" s="40" t="s">
        <v>580</v>
      </c>
      <c r="C55" s="40" t="s">
        <v>486</v>
      </c>
      <c r="D55" s="40">
        <v>120.0</v>
      </c>
      <c r="E55" s="40">
        <v>57500.0</v>
      </c>
      <c r="F55" s="40">
        <v>57500.0</v>
      </c>
      <c r="G55" s="40" t="s">
        <v>522</v>
      </c>
      <c r="H55" s="88">
        <v>45931.0</v>
      </c>
      <c r="I55" s="269"/>
      <c r="J55" s="267" t="s">
        <v>520</v>
      </c>
      <c r="K55" s="268" t="s">
        <v>489</v>
      </c>
      <c r="L55" s="40">
        <v>0.0</v>
      </c>
      <c r="M55" s="40">
        <v>2.0</v>
      </c>
      <c r="N55" s="40" t="s">
        <v>491</v>
      </c>
      <c r="O55" s="40">
        <v>60375.0</v>
      </c>
      <c r="P55" s="266" t="s">
        <v>493</v>
      </c>
      <c r="Q55" s="260"/>
      <c r="R55" s="260"/>
      <c r="S55" s="260"/>
      <c r="T55" s="260"/>
      <c r="U55" s="260"/>
      <c r="V55" s="260"/>
      <c r="W55" s="260"/>
      <c r="X55" s="260"/>
      <c r="Y55" s="260"/>
    </row>
    <row r="56">
      <c r="A56" s="87" t="s">
        <v>582</v>
      </c>
      <c r="B56" s="40" t="s">
        <v>580</v>
      </c>
      <c r="C56" s="40" t="s">
        <v>486</v>
      </c>
      <c r="D56" s="40">
        <v>130.0</v>
      </c>
      <c r="E56" s="40">
        <v>60000.0</v>
      </c>
      <c r="F56" s="40">
        <v>60000.0</v>
      </c>
      <c r="G56" s="40" t="s">
        <v>522</v>
      </c>
      <c r="H56" s="88">
        <v>45931.0</v>
      </c>
      <c r="I56" s="269"/>
      <c r="J56" s="267" t="s">
        <v>520</v>
      </c>
      <c r="K56" s="268" t="s">
        <v>489</v>
      </c>
      <c r="L56" s="40">
        <v>3.0</v>
      </c>
      <c r="M56" s="40">
        <v>4.0</v>
      </c>
      <c r="N56" s="40" t="s">
        <v>491</v>
      </c>
      <c r="O56" s="40">
        <v>63000.0</v>
      </c>
      <c r="P56" s="266" t="s">
        <v>493</v>
      </c>
      <c r="Q56" s="260"/>
      <c r="R56" s="260"/>
      <c r="S56" s="260"/>
      <c r="T56" s="260"/>
      <c r="U56" s="260"/>
      <c r="V56" s="260"/>
      <c r="W56" s="260"/>
      <c r="X56" s="260"/>
      <c r="Y56" s="260"/>
    </row>
    <row r="57">
      <c r="A57" s="87" t="s">
        <v>583</v>
      </c>
      <c r="B57" s="40" t="s">
        <v>580</v>
      </c>
      <c r="C57" s="40" t="s">
        <v>486</v>
      </c>
      <c r="D57" s="40">
        <v>140.0</v>
      </c>
      <c r="E57" s="40">
        <v>62500.0</v>
      </c>
      <c r="F57" s="40">
        <v>62500.0</v>
      </c>
      <c r="G57" s="40" t="s">
        <v>522</v>
      </c>
      <c r="H57" s="88">
        <v>45931.0</v>
      </c>
      <c r="I57" s="269"/>
      <c r="J57" s="267" t="s">
        <v>520</v>
      </c>
      <c r="K57" s="268" t="s">
        <v>489</v>
      </c>
      <c r="L57" s="40">
        <v>6.0</v>
      </c>
      <c r="M57" s="40">
        <v>0.0</v>
      </c>
      <c r="N57" s="40" t="s">
        <v>496</v>
      </c>
      <c r="O57" s="40">
        <v>65625.0</v>
      </c>
      <c r="P57" s="266" t="s">
        <v>493</v>
      </c>
      <c r="Q57" s="260"/>
      <c r="R57" s="260"/>
      <c r="S57" s="260"/>
      <c r="T57" s="260"/>
      <c r="U57" s="260"/>
      <c r="V57" s="260"/>
      <c r="W57" s="260"/>
      <c r="X57" s="260"/>
      <c r="Y57" s="260"/>
    </row>
    <row r="58">
      <c r="A58" s="87" t="s">
        <v>584</v>
      </c>
      <c r="B58" s="40" t="s">
        <v>580</v>
      </c>
      <c r="C58" s="40" t="s">
        <v>486</v>
      </c>
      <c r="D58" s="40">
        <v>150.0</v>
      </c>
      <c r="E58" s="40">
        <v>65000.0</v>
      </c>
      <c r="F58" s="40">
        <v>65000.0</v>
      </c>
      <c r="G58" s="40" t="s">
        <v>522</v>
      </c>
      <c r="H58" s="88">
        <v>45931.0</v>
      </c>
      <c r="I58" s="269"/>
      <c r="J58" s="267" t="s">
        <v>520</v>
      </c>
      <c r="K58" s="268" t="s">
        <v>489</v>
      </c>
      <c r="L58" s="40">
        <v>9.0</v>
      </c>
      <c r="M58" s="40">
        <v>2.0</v>
      </c>
      <c r="N58" s="40" t="s">
        <v>499</v>
      </c>
      <c r="O58" s="40">
        <v>68250.0</v>
      </c>
      <c r="P58" s="266" t="s">
        <v>493</v>
      </c>
      <c r="Q58" s="260"/>
      <c r="R58" s="260"/>
      <c r="S58" s="260"/>
      <c r="T58" s="260"/>
      <c r="U58" s="260"/>
      <c r="V58" s="260"/>
      <c r="W58" s="260"/>
      <c r="X58" s="260"/>
      <c r="Y58" s="260"/>
    </row>
    <row r="59">
      <c r="A59" s="87" t="s">
        <v>585</v>
      </c>
      <c r="B59" s="40" t="s">
        <v>580</v>
      </c>
      <c r="C59" s="40" t="s">
        <v>486</v>
      </c>
      <c r="D59" s="40">
        <v>120.0</v>
      </c>
      <c r="E59" s="40">
        <v>50000.0</v>
      </c>
      <c r="F59" s="40">
        <v>50000.0</v>
      </c>
      <c r="G59" s="40" t="s">
        <v>522</v>
      </c>
      <c r="H59" s="88">
        <v>45931.0</v>
      </c>
      <c r="I59" s="269"/>
      <c r="J59" s="267" t="s">
        <v>520</v>
      </c>
      <c r="K59" s="268" t="s">
        <v>489</v>
      </c>
      <c r="L59" s="40">
        <v>0.0</v>
      </c>
      <c r="M59" s="40">
        <v>4.0</v>
      </c>
      <c r="N59" s="40" t="s">
        <v>491</v>
      </c>
      <c r="O59" s="40">
        <v>52500.0</v>
      </c>
      <c r="P59" s="266" t="s">
        <v>493</v>
      </c>
      <c r="Q59" s="260"/>
      <c r="R59" s="260"/>
      <c r="S59" s="260"/>
      <c r="T59" s="260"/>
      <c r="U59" s="260"/>
      <c r="V59" s="260"/>
      <c r="W59" s="260"/>
      <c r="X59" s="260"/>
      <c r="Y59" s="260"/>
    </row>
    <row r="60">
      <c r="A60" s="87" t="s">
        <v>586</v>
      </c>
      <c r="B60" s="40" t="s">
        <v>580</v>
      </c>
      <c r="C60" s="40" t="s">
        <v>486</v>
      </c>
      <c r="D60" s="40">
        <v>130.0</v>
      </c>
      <c r="E60" s="40">
        <v>52500.0</v>
      </c>
      <c r="F60" s="40">
        <v>52500.0</v>
      </c>
      <c r="G60" s="40" t="s">
        <v>522</v>
      </c>
      <c r="H60" s="88">
        <v>45931.0</v>
      </c>
      <c r="I60" s="269"/>
      <c r="J60" s="267" t="s">
        <v>520</v>
      </c>
      <c r="K60" s="268" t="s">
        <v>489</v>
      </c>
      <c r="L60" s="40">
        <v>3.0</v>
      </c>
      <c r="M60" s="40">
        <v>0.0</v>
      </c>
      <c r="N60" s="40" t="s">
        <v>491</v>
      </c>
      <c r="O60" s="40">
        <v>55125.0</v>
      </c>
      <c r="P60" s="266" t="s">
        <v>493</v>
      </c>
      <c r="Q60" s="260"/>
      <c r="R60" s="260"/>
      <c r="S60" s="260"/>
      <c r="T60" s="260"/>
      <c r="U60" s="260"/>
      <c r="V60" s="260"/>
      <c r="W60" s="260"/>
      <c r="X60" s="260"/>
      <c r="Y60" s="260"/>
    </row>
    <row r="61">
      <c r="A61" s="87" t="s">
        <v>589</v>
      </c>
      <c r="B61" s="40" t="s">
        <v>580</v>
      </c>
      <c r="C61" s="40" t="s">
        <v>486</v>
      </c>
      <c r="D61" s="40">
        <v>140.0</v>
      </c>
      <c r="E61" s="40">
        <v>55000.0</v>
      </c>
      <c r="F61" s="40">
        <v>55000.0</v>
      </c>
      <c r="G61" s="40" t="s">
        <v>522</v>
      </c>
      <c r="H61" s="88">
        <v>45931.0</v>
      </c>
      <c r="I61" s="269"/>
      <c r="J61" s="267" t="s">
        <v>520</v>
      </c>
      <c r="K61" s="268" t="s">
        <v>489</v>
      </c>
      <c r="L61" s="40">
        <v>6.0</v>
      </c>
      <c r="M61" s="40">
        <v>2.0</v>
      </c>
      <c r="N61" s="40" t="s">
        <v>496</v>
      </c>
      <c r="O61" s="40">
        <v>57750.0</v>
      </c>
      <c r="P61" s="266" t="s">
        <v>493</v>
      </c>
      <c r="Q61" s="260"/>
      <c r="R61" s="260"/>
      <c r="S61" s="260"/>
      <c r="T61" s="260"/>
      <c r="U61" s="260"/>
      <c r="V61" s="260"/>
      <c r="W61" s="260"/>
      <c r="X61" s="260"/>
      <c r="Y61" s="260"/>
    </row>
    <row r="62">
      <c r="A62" s="87" t="s">
        <v>591</v>
      </c>
      <c r="B62" s="40" t="s">
        <v>580</v>
      </c>
      <c r="C62" s="40" t="s">
        <v>486</v>
      </c>
      <c r="D62" s="40">
        <v>150.0</v>
      </c>
      <c r="E62" s="40">
        <v>57500.0</v>
      </c>
      <c r="F62" s="40">
        <v>57500.0</v>
      </c>
      <c r="G62" s="40" t="s">
        <v>522</v>
      </c>
      <c r="H62" s="88">
        <v>45931.0</v>
      </c>
      <c r="I62" s="269"/>
      <c r="J62" s="267" t="s">
        <v>520</v>
      </c>
      <c r="K62" s="268" t="s">
        <v>489</v>
      </c>
      <c r="L62" s="40">
        <v>9.0</v>
      </c>
      <c r="M62" s="40">
        <v>4.0</v>
      </c>
      <c r="N62" s="40" t="s">
        <v>499</v>
      </c>
      <c r="O62" s="40">
        <v>60375.0</v>
      </c>
      <c r="P62" s="266" t="s">
        <v>493</v>
      </c>
      <c r="Q62" s="260"/>
      <c r="R62" s="260"/>
      <c r="S62" s="260"/>
      <c r="T62" s="260"/>
      <c r="U62" s="260"/>
      <c r="V62" s="260"/>
      <c r="W62" s="260"/>
      <c r="X62" s="260"/>
      <c r="Y62" s="260"/>
    </row>
    <row r="63">
      <c r="A63" s="87" t="s">
        <v>592</v>
      </c>
      <c r="B63" s="40" t="s">
        <v>580</v>
      </c>
      <c r="C63" s="40" t="s">
        <v>486</v>
      </c>
      <c r="D63" s="40">
        <v>120.0</v>
      </c>
      <c r="E63" s="40">
        <v>60000.0</v>
      </c>
      <c r="F63" s="40">
        <v>60000.0</v>
      </c>
      <c r="G63" s="40" t="s">
        <v>522</v>
      </c>
      <c r="H63" s="88">
        <v>45931.0</v>
      </c>
      <c r="I63" s="269"/>
      <c r="J63" s="267" t="s">
        <v>520</v>
      </c>
      <c r="K63" s="268" t="s">
        <v>489</v>
      </c>
      <c r="L63" s="40">
        <v>0.0</v>
      </c>
      <c r="M63" s="40">
        <v>0.0</v>
      </c>
      <c r="N63" s="40" t="s">
        <v>491</v>
      </c>
      <c r="O63" s="40">
        <v>63000.0</v>
      </c>
      <c r="P63" s="266" t="s">
        <v>493</v>
      </c>
      <c r="Q63" s="260"/>
      <c r="R63" s="260"/>
      <c r="S63" s="260"/>
      <c r="T63" s="260"/>
      <c r="U63" s="260"/>
      <c r="V63" s="260"/>
      <c r="W63" s="260"/>
      <c r="X63" s="260"/>
      <c r="Y63" s="260"/>
    </row>
    <row r="64">
      <c r="A64" s="87" t="s">
        <v>593</v>
      </c>
      <c r="B64" s="40" t="s">
        <v>594</v>
      </c>
      <c r="C64" s="40" t="s">
        <v>486</v>
      </c>
      <c r="D64" s="40">
        <v>130.0</v>
      </c>
      <c r="E64" s="40">
        <v>62500.0</v>
      </c>
      <c r="F64" s="40">
        <v>62500.0</v>
      </c>
      <c r="G64" s="40" t="s">
        <v>522</v>
      </c>
      <c r="H64" s="88">
        <v>45931.0</v>
      </c>
      <c r="I64" s="269"/>
      <c r="J64" s="267" t="s">
        <v>520</v>
      </c>
      <c r="K64" s="268" t="s">
        <v>489</v>
      </c>
      <c r="L64" s="40">
        <v>3.0</v>
      </c>
      <c r="M64" s="40">
        <v>2.0</v>
      </c>
      <c r="N64" s="40" t="s">
        <v>491</v>
      </c>
      <c r="O64" s="40">
        <v>65625.0</v>
      </c>
      <c r="P64" s="266" t="s">
        <v>493</v>
      </c>
      <c r="Q64" s="260"/>
      <c r="R64" s="260"/>
      <c r="S64" s="260"/>
      <c r="T64" s="260"/>
      <c r="U64" s="260"/>
      <c r="V64" s="260"/>
      <c r="W64" s="260"/>
      <c r="X64" s="260"/>
      <c r="Y64" s="260"/>
    </row>
    <row r="65">
      <c r="A65" s="87" t="s">
        <v>595</v>
      </c>
      <c r="B65" s="40" t="s">
        <v>594</v>
      </c>
      <c r="C65" s="40" t="s">
        <v>486</v>
      </c>
      <c r="D65" s="40">
        <v>140.0</v>
      </c>
      <c r="E65" s="40">
        <v>65000.0</v>
      </c>
      <c r="F65" s="40">
        <v>65000.0</v>
      </c>
      <c r="G65" s="40" t="s">
        <v>522</v>
      </c>
      <c r="H65" s="88">
        <v>45931.0</v>
      </c>
      <c r="I65" s="269"/>
      <c r="J65" s="267" t="s">
        <v>520</v>
      </c>
      <c r="K65" s="268" t="s">
        <v>489</v>
      </c>
      <c r="L65" s="40">
        <v>6.0</v>
      </c>
      <c r="M65" s="40">
        <v>4.0</v>
      </c>
      <c r="N65" s="40" t="s">
        <v>496</v>
      </c>
      <c r="O65" s="40">
        <v>68250.0</v>
      </c>
      <c r="P65" s="266" t="s">
        <v>493</v>
      </c>
      <c r="Q65" s="260"/>
      <c r="R65" s="260"/>
      <c r="S65" s="260"/>
      <c r="T65" s="260"/>
      <c r="U65" s="260"/>
      <c r="V65" s="260"/>
      <c r="W65" s="260"/>
      <c r="X65" s="260"/>
      <c r="Y65" s="260"/>
    </row>
    <row r="66">
      <c r="A66" s="87" t="s">
        <v>598</v>
      </c>
      <c r="B66" s="40" t="s">
        <v>594</v>
      </c>
      <c r="C66" s="40" t="s">
        <v>486</v>
      </c>
      <c r="D66" s="40">
        <v>150.0</v>
      </c>
      <c r="E66" s="40">
        <v>50000.0</v>
      </c>
      <c r="F66" s="40">
        <v>50000.0</v>
      </c>
      <c r="G66" s="40" t="s">
        <v>522</v>
      </c>
      <c r="H66" s="88">
        <v>45931.0</v>
      </c>
      <c r="I66" s="269"/>
      <c r="J66" s="267" t="s">
        <v>520</v>
      </c>
      <c r="K66" s="268" t="s">
        <v>489</v>
      </c>
      <c r="L66" s="40">
        <v>9.0</v>
      </c>
      <c r="M66" s="40">
        <v>0.0</v>
      </c>
      <c r="N66" s="40" t="s">
        <v>499</v>
      </c>
      <c r="O66" s="40">
        <v>52500.0</v>
      </c>
      <c r="P66" s="266" t="s">
        <v>493</v>
      </c>
      <c r="Q66" s="260"/>
      <c r="R66" s="260"/>
      <c r="S66" s="260"/>
      <c r="T66" s="260"/>
      <c r="U66" s="260"/>
      <c r="V66" s="260"/>
      <c r="W66" s="260"/>
      <c r="X66" s="260"/>
      <c r="Y66" s="260"/>
    </row>
    <row r="67">
      <c r="A67" s="87" t="s">
        <v>599</v>
      </c>
      <c r="B67" s="40" t="s">
        <v>594</v>
      </c>
      <c r="C67" s="40" t="s">
        <v>486</v>
      </c>
      <c r="D67" s="40">
        <v>120.0</v>
      </c>
      <c r="E67" s="40">
        <v>52500.0</v>
      </c>
      <c r="F67" s="40">
        <v>52500.0</v>
      </c>
      <c r="G67" s="40" t="s">
        <v>522</v>
      </c>
      <c r="H67" s="88">
        <v>45931.0</v>
      </c>
      <c r="I67" s="269"/>
      <c r="J67" s="267" t="s">
        <v>520</v>
      </c>
      <c r="K67" s="268" t="s">
        <v>489</v>
      </c>
      <c r="L67" s="40">
        <v>0.0</v>
      </c>
      <c r="M67" s="40">
        <v>2.0</v>
      </c>
      <c r="N67" s="40" t="s">
        <v>491</v>
      </c>
      <c r="O67" s="40">
        <v>55125.0</v>
      </c>
      <c r="P67" s="266" t="s">
        <v>493</v>
      </c>
      <c r="Q67" s="260"/>
      <c r="R67" s="260"/>
      <c r="S67" s="260"/>
      <c r="T67" s="260"/>
      <c r="U67" s="260"/>
      <c r="V67" s="260"/>
      <c r="W67" s="260"/>
      <c r="X67" s="260"/>
      <c r="Y67" s="260"/>
    </row>
    <row r="68">
      <c r="A68" s="87" t="s">
        <v>600</v>
      </c>
      <c r="B68" s="40" t="s">
        <v>594</v>
      </c>
      <c r="C68" s="40" t="s">
        <v>486</v>
      </c>
      <c r="D68" s="40">
        <v>130.0</v>
      </c>
      <c r="E68" s="40">
        <v>55000.0</v>
      </c>
      <c r="F68" s="40">
        <v>55000.0</v>
      </c>
      <c r="G68" s="40" t="s">
        <v>522</v>
      </c>
      <c r="H68" s="88">
        <v>45931.0</v>
      </c>
      <c r="I68" s="269"/>
      <c r="J68" s="267" t="s">
        <v>520</v>
      </c>
      <c r="K68" s="268" t="s">
        <v>489</v>
      </c>
      <c r="L68" s="40">
        <v>3.0</v>
      </c>
      <c r="M68" s="40">
        <v>4.0</v>
      </c>
      <c r="N68" s="40" t="s">
        <v>491</v>
      </c>
      <c r="O68" s="40">
        <v>57750.0</v>
      </c>
      <c r="P68" s="266" t="s">
        <v>493</v>
      </c>
      <c r="Q68" s="260"/>
      <c r="R68" s="260"/>
      <c r="S68" s="260"/>
      <c r="T68" s="260"/>
      <c r="U68" s="260"/>
      <c r="V68" s="260"/>
      <c r="W68" s="260"/>
      <c r="X68" s="260"/>
      <c r="Y68" s="260"/>
    </row>
    <row r="69">
      <c r="A69" s="87" t="s">
        <v>601</v>
      </c>
      <c r="B69" s="40" t="s">
        <v>594</v>
      </c>
      <c r="C69" s="40" t="s">
        <v>486</v>
      </c>
      <c r="D69" s="40">
        <v>140.0</v>
      </c>
      <c r="E69" s="40">
        <v>57500.0</v>
      </c>
      <c r="F69" s="40">
        <v>57500.0</v>
      </c>
      <c r="G69" s="40" t="s">
        <v>522</v>
      </c>
      <c r="H69" s="88">
        <v>45931.0</v>
      </c>
      <c r="I69" s="269"/>
      <c r="J69" s="267" t="s">
        <v>520</v>
      </c>
      <c r="K69" s="268" t="s">
        <v>489</v>
      </c>
      <c r="L69" s="40">
        <v>6.0</v>
      </c>
      <c r="M69" s="40">
        <v>0.0</v>
      </c>
      <c r="N69" s="40" t="s">
        <v>496</v>
      </c>
      <c r="O69" s="40">
        <v>60375.0</v>
      </c>
      <c r="P69" s="266" t="s">
        <v>493</v>
      </c>
      <c r="Q69" s="260"/>
      <c r="R69" s="260"/>
      <c r="S69" s="260"/>
      <c r="T69" s="260"/>
      <c r="U69" s="260"/>
      <c r="V69" s="260"/>
      <c r="W69" s="260"/>
      <c r="X69" s="260"/>
      <c r="Y69" s="260"/>
    </row>
    <row r="70">
      <c r="A70" s="87" t="s">
        <v>602</v>
      </c>
      <c r="B70" s="40" t="s">
        <v>594</v>
      </c>
      <c r="C70" s="40" t="s">
        <v>486</v>
      </c>
      <c r="D70" s="40">
        <v>150.0</v>
      </c>
      <c r="E70" s="40">
        <v>60000.0</v>
      </c>
      <c r="F70" s="40">
        <v>60000.0</v>
      </c>
      <c r="G70" s="40" t="s">
        <v>522</v>
      </c>
      <c r="H70" s="88">
        <v>45931.0</v>
      </c>
      <c r="I70" s="269"/>
      <c r="J70" s="267" t="s">
        <v>520</v>
      </c>
      <c r="K70" s="268" t="s">
        <v>489</v>
      </c>
      <c r="L70" s="40">
        <v>9.0</v>
      </c>
      <c r="M70" s="40">
        <v>2.0</v>
      </c>
      <c r="N70" s="40" t="s">
        <v>499</v>
      </c>
      <c r="O70" s="40">
        <v>63000.0</v>
      </c>
      <c r="P70" s="266" t="s">
        <v>493</v>
      </c>
      <c r="Q70" s="260"/>
      <c r="R70" s="260"/>
      <c r="S70" s="260"/>
      <c r="T70" s="260"/>
      <c r="U70" s="260"/>
      <c r="V70" s="260"/>
      <c r="W70" s="260"/>
      <c r="X70" s="260"/>
      <c r="Y70" s="260"/>
    </row>
    <row r="71">
      <c r="A71" s="87" t="s">
        <v>605</v>
      </c>
      <c r="B71" s="40" t="s">
        <v>594</v>
      </c>
      <c r="C71" s="40" t="s">
        <v>486</v>
      </c>
      <c r="D71" s="40">
        <v>120.0</v>
      </c>
      <c r="E71" s="40">
        <v>62500.0</v>
      </c>
      <c r="F71" s="40">
        <v>62500.0</v>
      </c>
      <c r="G71" s="40" t="s">
        <v>522</v>
      </c>
      <c r="H71" s="88">
        <v>45931.0</v>
      </c>
      <c r="I71" s="269"/>
      <c r="J71" s="267" t="s">
        <v>520</v>
      </c>
      <c r="K71" s="268" t="s">
        <v>489</v>
      </c>
      <c r="L71" s="40">
        <v>0.0</v>
      </c>
      <c r="M71" s="40">
        <v>4.0</v>
      </c>
      <c r="N71" s="40" t="s">
        <v>491</v>
      </c>
      <c r="O71" s="40">
        <v>65625.0</v>
      </c>
      <c r="P71" s="266" t="s">
        <v>493</v>
      </c>
      <c r="Q71" s="260"/>
      <c r="R71" s="260"/>
      <c r="S71" s="260"/>
      <c r="T71" s="260"/>
      <c r="U71" s="260"/>
      <c r="V71" s="260"/>
      <c r="W71" s="260"/>
      <c r="X71" s="260"/>
      <c r="Y71" s="260"/>
    </row>
    <row r="72">
      <c r="A72" s="87" t="s">
        <v>606</v>
      </c>
      <c r="B72" s="40" t="s">
        <v>594</v>
      </c>
      <c r="C72" s="40" t="s">
        <v>486</v>
      </c>
      <c r="D72" s="40">
        <v>130.0</v>
      </c>
      <c r="E72" s="40">
        <v>65000.0</v>
      </c>
      <c r="F72" s="40">
        <v>65000.0</v>
      </c>
      <c r="G72" s="40" t="s">
        <v>522</v>
      </c>
      <c r="H72" s="88">
        <v>45931.0</v>
      </c>
      <c r="I72" s="269"/>
      <c r="J72" s="267" t="s">
        <v>520</v>
      </c>
      <c r="K72" s="268" t="s">
        <v>489</v>
      </c>
      <c r="L72" s="40">
        <v>3.0</v>
      </c>
      <c r="M72" s="40">
        <v>0.0</v>
      </c>
      <c r="N72" s="40" t="s">
        <v>491</v>
      </c>
      <c r="O72" s="40">
        <v>68250.0</v>
      </c>
      <c r="P72" s="266" t="s">
        <v>493</v>
      </c>
      <c r="Q72" s="260"/>
      <c r="R72" s="260"/>
      <c r="S72" s="260"/>
      <c r="T72" s="260"/>
      <c r="U72" s="260"/>
      <c r="V72" s="260"/>
      <c r="W72" s="260"/>
      <c r="X72" s="260"/>
      <c r="Y72" s="260"/>
    </row>
    <row r="73">
      <c r="A73" s="87" t="s">
        <v>607</v>
      </c>
      <c r="B73" s="40" t="s">
        <v>594</v>
      </c>
      <c r="C73" s="40" t="s">
        <v>486</v>
      </c>
      <c r="D73" s="40">
        <v>140.0</v>
      </c>
      <c r="E73" s="40">
        <v>50000.0</v>
      </c>
      <c r="F73" s="40">
        <v>50000.0</v>
      </c>
      <c r="G73" s="40" t="s">
        <v>522</v>
      </c>
      <c r="H73" s="88">
        <v>45931.0</v>
      </c>
      <c r="I73" s="269"/>
      <c r="J73" s="267" t="s">
        <v>520</v>
      </c>
      <c r="K73" s="268" t="s">
        <v>489</v>
      </c>
      <c r="L73" s="40">
        <v>6.0</v>
      </c>
      <c r="M73" s="40">
        <v>2.0</v>
      </c>
      <c r="N73" s="40" t="s">
        <v>496</v>
      </c>
      <c r="O73" s="40">
        <v>52500.0</v>
      </c>
      <c r="P73" s="266" t="s">
        <v>493</v>
      </c>
      <c r="Q73" s="260"/>
      <c r="R73" s="260"/>
      <c r="S73" s="260"/>
      <c r="T73" s="260"/>
      <c r="U73" s="260"/>
      <c r="V73" s="260"/>
      <c r="W73" s="260"/>
      <c r="X73" s="260"/>
      <c r="Y73" s="260"/>
    </row>
    <row r="74">
      <c r="A74" s="87" t="s">
        <v>608</v>
      </c>
      <c r="B74" s="40" t="s">
        <v>609</v>
      </c>
      <c r="C74" s="40" t="s">
        <v>486</v>
      </c>
      <c r="D74" s="40">
        <v>150.0</v>
      </c>
      <c r="E74" s="40">
        <v>52500.0</v>
      </c>
      <c r="F74" s="40">
        <v>52500.0</v>
      </c>
      <c r="G74" s="40" t="s">
        <v>522</v>
      </c>
      <c r="H74" s="88">
        <v>45931.0</v>
      </c>
      <c r="I74" s="269"/>
      <c r="J74" s="267" t="s">
        <v>520</v>
      </c>
      <c r="K74" s="268" t="s">
        <v>489</v>
      </c>
      <c r="L74" s="40">
        <v>9.0</v>
      </c>
      <c r="M74" s="40">
        <v>4.0</v>
      </c>
      <c r="N74" s="40" t="s">
        <v>499</v>
      </c>
      <c r="O74" s="40">
        <v>55125.0</v>
      </c>
      <c r="P74" s="266" t="s">
        <v>493</v>
      </c>
      <c r="Q74" s="260"/>
      <c r="R74" s="260"/>
      <c r="S74" s="260"/>
      <c r="T74" s="260"/>
      <c r="U74" s="260"/>
      <c r="V74" s="260"/>
      <c r="W74" s="260"/>
      <c r="X74" s="260"/>
      <c r="Y74" s="260"/>
    </row>
    <row r="75">
      <c r="A75" s="87" t="s">
        <v>610</v>
      </c>
      <c r="B75" s="40" t="s">
        <v>609</v>
      </c>
      <c r="C75" s="40" t="s">
        <v>486</v>
      </c>
      <c r="D75" s="40">
        <v>120.0</v>
      </c>
      <c r="E75" s="40">
        <v>55000.0</v>
      </c>
      <c r="F75" s="40">
        <v>55000.0</v>
      </c>
      <c r="G75" s="40" t="s">
        <v>522</v>
      </c>
      <c r="H75" s="88">
        <v>45931.0</v>
      </c>
      <c r="I75" s="269"/>
      <c r="J75" s="267" t="s">
        <v>520</v>
      </c>
      <c r="K75" s="268" t="s">
        <v>489</v>
      </c>
      <c r="L75" s="40">
        <v>0.0</v>
      </c>
      <c r="M75" s="40">
        <v>0.0</v>
      </c>
      <c r="N75" s="40" t="s">
        <v>491</v>
      </c>
      <c r="O75" s="40">
        <v>57750.0</v>
      </c>
      <c r="P75" s="266" t="s">
        <v>493</v>
      </c>
      <c r="Q75" s="260"/>
      <c r="R75" s="260"/>
      <c r="S75" s="260"/>
      <c r="T75" s="260"/>
      <c r="U75" s="260"/>
      <c r="V75" s="260"/>
      <c r="W75" s="260"/>
      <c r="X75" s="260"/>
      <c r="Y75" s="260"/>
    </row>
    <row r="76">
      <c r="A76" s="87" t="s">
        <v>613</v>
      </c>
      <c r="B76" s="40" t="s">
        <v>609</v>
      </c>
      <c r="C76" s="40" t="s">
        <v>486</v>
      </c>
      <c r="D76" s="40">
        <v>130.0</v>
      </c>
      <c r="E76" s="40">
        <v>57500.0</v>
      </c>
      <c r="F76" s="40">
        <v>57500.0</v>
      </c>
      <c r="G76" s="40" t="s">
        <v>522</v>
      </c>
      <c r="H76" s="88">
        <v>45931.0</v>
      </c>
      <c r="I76" s="269"/>
      <c r="J76" s="267" t="s">
        <v>520</v>
      </c>
      <c r="K76" s="268" t="s">
        <v>489</v>
      </c>
      <c r="L76" s="40">
        <v>3.0</v>
      </c>
      <c r="M76" s="40">
        <v>2.0</v>
      </c>
      <c r="N76" s="40" t="s">
        <v>491</v>
      </c>
      <c r="O76" s="40">
        <v>60375.0</v>
      </c>
      <c r="P76" s="266" t="s">
        <v>493</v>
      </c>
      <c r="Q76" s="260"/>
      <c r="R76" s="260"/>
      <c r="S76" s="260"/>
      <c r="T76" s="260"/>
      <c r="U76" s="260"/>
      <c r="V76" s="260"/>
      <c r="W76" s="260"/>
      <c r="X76" s="260"/>
      <c r="Y76" s="260"/>
    </row>
    <row r="77">
      <c r="A77" s="87" t="s">
        <v>614</v>
      </c>
      <c r="B77" s="40" t="s">
        <v>609</v>
      </c>
      <c r="C77" s="40" t="s">
        <v>486</v>
      </c>
      <c r="D77" s="40">
        <v>140.0</v>
      </c>
      <c r="E77" s="40">
        <v>60000.0</v>
      </c>
      <c r="F77" s="40">
        <v>60000.0</v>
      </c>
      <c r="G77" s="40" t="s">
        <v>522</v>
      </c>
      <c r="H77" s="88">
        <v>45931.0</v>
      </c>
      <c r="I77" s="269"/>
      <c r="J77" s="267" t="s">
        <v>520</v>
      </c>
      <c r="K77" s="268" t="s">
        <v>489</v>
      </c>
      <c r="L77" s="40">
        <v>6.0</v>
      </c>
      <c r="M77" s="40">
        <v>4.0</v>
      </c>
      <c r="N77" s="40" t="s">
        <v>496</v>
      </c>
      <c r="O77" s="40">
        <v>63000.0</v>
      </c>
      <c r="P77" s="266" t="s">
        <v>493</v>
      </c>
      <c r="Q77" s="260"/>
      <c r="R77" s="260"/>
      <c r="S77" s="260"/>
      <c r="T77" s="260"/>
      <c r="U77" s="260"/>
      <c r="V77" s="260"/>
      <c r="W77" s="260"/>
      <c r="X77" s="260"/>
      <c r="Y77" s="260"/>
    </row>
    <row r="78">
      <c r="A78" s="87" t="s">
        <v>615</v>
      </c>
      <c r="B78" s="40" t="s">
        <v>609</v>
      </c>
      <c r="C78" s="40" t="s">
        <v>486</v>
      </c>
      <c r="D78" s="40">
        <v>150.0</v>
      </c>
      <c r="E78" s="40">
        <v>62500.0</v>
      </c>
      <c r="F78" s="40">
        <v>62500.0</v>
      </c>
      <c r="G78" s="40" t="s">
        <v>522</v>
      </c>
      <c r="H78" s="88">
        <v>45931.0</v>
      </c>
      <c r="I78" s="269"/>
      <c r="J78" s="267" t="s">
        <v>520</v>
      </c>
      <c r="K78" s="268" t="s">
        <v>489</v>
      </c>
      <c r="L78" s="40">
        <v>9.0</v>
      </c>
      <c r="M78" s="40">
        <v>0.0</v>
      </c>
      <c r="N78" s="40" t="s">
        <v>499</v>
      </c>
      <c r="O78" s="40">
        <v>65625.0</v>
      </c>
      <c r="P78" s="266" t="s">
        <v>493</v>
      </c>
      <c r="Q78" s="260"/>
      <c r="R78" s="260"/>
      <c r="S78" s="260"/>
      <c r="T78" s="260"/>
      <c r="U78" s="260"/>
      <c r="V78" s="260"/>
      <c r="W78" s="260"/>
      <c r="X78" s="260"/>
      <c r="Y78" s="260"/>
    </row>
    <row r="79">
      <c r="A79" s="87" t="s">
        <v>616</v>
      </c>
      <c r="B79" s="40" t="s">
        <v>609</v>
      </c>
      <c r="C79" s="40" t="s">
        <v>486</v>
      </c>
      <c r="D79" s="40">
        <v>120.0</v>
      </c>
      <c r="E79" s="40">
        <v>65000.0</v>
      </c>
      <c r="F79" s="40">
        <v>65000.0</v>
      </c>
      <c r="G79" s="40" t="s">
        <v>522</v>
      </c>
      <c r="H79" s="88">
        <v>45931.0</v>
      </c>
      <c r="I79" s="269"/>
      <c r="J79" s="267" t="s">
        <v>520</v>
      </c>
      <c r="K79" s="268" t="s">
        <v>489</v>
      </c>
      <c r="L79" s="40">
        <v>0.0</v>
      </c>
      <c r="M79" s="40">
        <v>2.0</v>
      </c>
      <c r="N79" s="40" t="s">
        <v>491</v>
      </c>
      <c r="O79" s="40">
        <v>68250.0</v>
      </c>
      <c r="P79" s="266" t="s">
        <v>493</v>
      </c>
      <c r="Q79" s="260"/>
      <c r="R79" s="260"/>
      <c r="S79" s="260"/>
      <c r="T79" s="260"/>
      <c r="U79" s="260"/>
      <c r="V79" s="260"/>
      <c r="W79" s="260"/>
      <c r="X79" s="260"/>
      <c r="Y79" s="260"/>
    </row>
    <row r="80">
      <c r="A80" s="87" t="s">
        <v>617</v>
      </c>
      <c r="B80" s="40" t="s">
        <v>609</v>
      </c>
      <c r="C80" s="40" t="s">
        <v>486</v>
      </c>
      <c r="D80" s="40">
        <v>130.0</v>
      </c>
      <c r="E80" s="40">
        <v>50000.0</v>
      </c>
      <c r="F80" s="40">
        <v>50000.0</v>
      </c>
      <c r="G80" s="40" t="s">
        <v>522</v>
      </c>
      <c r="H80" s="88">
        <v>45931.0</v>
      </c>
      <c r="I80" s="269"/>
      <c r="J80" s="267" t="s">
        <v>520</v>
      </c>
      <c r="K80" s="268" t="s">
        <v>489</v>
      </c>
      <c r="L80" s="40">
        <v>3.0</v>
      </c>
      <c r="M80" s="40">
        <v>4.0</v>
      </c>
      <c r="N80" s="40" t="s">
        <v>491</v>
      </c>
      <c r="O80" s="40">
        <v>52500.0</v>
      </c>
      <c r="P80" s="266" t="s">
        <v>493</v>
      </c>
      <c r="Q80" s="260"/>
      <c r="R80" s="260"/>
      <c r="S80" s="260"/>
      <c r="T80" s="260"/>
      <c r="U80" s="260"/>
      <c r="V80" s="260"/>
      <c r="W80" s="260"/>
      <c r="X80" s="260"/>
      <c r="Y80" s="260"/>
    </row>
    <row r="81">
      <c r="A81" s="87" t="s">
        <v>620</v>
      </c>
      <c r="B81" s="40" t="s">
        <v>609</v>
      </c>
      <c r="C81" s="40" t="s">
        <v>486</v>
      </c>
      <c r="D81" s="40">
        <v>140.0</v>
      </c>
      <c r="E81" s="40">
        <v>52500.0</v>
      </c>
      <c r="F81" s="40">
        <v>52500.0</v>
      </c>
      <c r="G81" s="40" t="s">
        <v>522</v>
      </c>
      <c r="H81" s="88">
        <v>45931.0</v>
      </c>
      <c r="I81" s="269"/>
      <c r="J81" s="267" t="s">
        <v>520</v>
      </c>
      <c r="K81" s="268" t="s">
        <v>489</v>
      </c>
      <c r="L81" s="40">
        <v>6.0</v>
      </c>
      <c r="M81" s="40">
        <v>0.0</v>
      </c>
      <c r="N81" s="40" t="s">
        <v>496</v>
      </c>
      <c r="O81" s="40">
        <v>55125.0</v>
      </c>
      <c r="P81" s="266" t="s">
        <v>493</v>
      </c>
      <c r="Q81" s="260"/>
      <c r="R81" s="260"/>
      <c r="S81" s="260"/>
      <c r="T81" s="260"/>
      <c r="U81" s="260"/>
      <c r="V81" s="260"/>
      <c r="W81" s="260"/>
      <c r="X81" s="260"/>
      <c r="Y81" s="260"/>
    </row>
    <row r="82">
      <c r="A82" s="87" t="s">
        <v>621</v>
      </c>
      <c r="B82" s="40" t="s">
        <v>609</v>
      </c>
      <c r="C82" s="40" t="s">
        <v>486</v>
      </c>
      <c r="D82" s="40">
        <v>150.0</v>
      </c>
      <c r="E82" s="40">
        <v>55000.0</v>
      </c>
      <c r="F82" s="40">
        <v>55000.0</v>
      </c>
      <c r="G82" s="40" t="s">
        <v>522</v>
      </c>
      <c r="H82" s="88">
        <v>45931.0</v>
      </c>
      <c r="I82" s="269"/>
      <c r="J82" s="267" t="s">
        <v>520</v>
      </c>
      <c r="K82" s="268" t="s">
        <v>489</v>
      </c>
      <c r="L82" s="40">
        <v>9.0</v>
      </c>
      <c r="M82" s="40">
        <v>2.0</v>
      </c>
      <c r="N82" s="40" t="s">
        <v>499</v>
      </c>
      <c r="O82" s="40">
        <v>57750.0</v>
      </c>
      <c r="P82" s="266" t="s">
        <v>493</v>
      </c>
      <c r="Q82" s="260"/>
      <c r="R82" s="260"/>
      <c r="S82" s="260"/>
      <c r="T82" s="260"/>
      <c r="U82" s="260"/>
      <c r="V82" s="260"/>
      <c r="W82" s="260"/>
      <c r="X82" s="260"/>
      <c r="Y82" s="260"/>
    </row>
    <row r="83">
      <c r="A83" s="87" t="s">
        <v>622</v>
      </c>
      <c r="B83" s="40" t="s">
        <v>609</v>
      </c>
      <c r="C83" s="40" t="s">
        <v>486</v>
      </c>
      <c r="D83" s="40">
        <v>120.0</v>
      </c>
      <c r="E83" s="40">
        <v>57500.0</v>
      </c>
      <c r="F83" s="40">
        <v>57500.0</v>
      </c>
      <c r="G83" s="40" t="s">
        <v>522</v>
      </c>
      <c r="H83" s="88">
        <v>45931.0</v>
      </c>
      <c r="I83" s="269"/>
      <c r="J83" s="267" t="s">
        <v>520</v>
      </c>
      <c r="K83" s="268" t="s">
        <v>489</v>
      </c>
      <c r="L83" s="40">
        <v>0.0</v>
      </c>
      <c r="M83" s="40">
        <v>4.0</v>
      </c>
      <c r="N83" s="40" t="s">
        <v>491</v>
      </c>
      <c r="O83" s="40">
        <v>60375.0</v>
      </c>
      <c r="P83" s="266" t="s">
        <v>493</v>
      </c>
      <c r="Q83" s="260"/>
      <c r="R83" s="260"/>
      <c r="S83" s="260"/>
      <c r="T83" s="260"/>
      <c r="U83" s="260"/>
      <c r="V83" s="260"/>
      <c r="W83" s="260"/>
      <c r="X83" s="260"/>
      <c r="Y83" s="260"/>
    </row>
    <row r="84">
      <c r="A84" s="87" t="s">
        <v>623</v>
      </c>
      <c r="B84" s="40" t="s">
        <v>624</v>
      </c>
      <c r="C84" s="40" t="s">
        <v>486</v>
      </c>
      <c r="D84" s="40">
        <v>130.0</v>
      </c>
      <c r="E84" s="40">
        <v>60000.0</v>
      </c>
      <c r="F84" s="40">
        <v>60000.0</v>
      </c>
      <c r="G84" s="40" t="s">
        <v>522</v>
      </c>
      <c r="H84" s="88">
        <v>45931.0</v>
      </c>
      <c r="I84" s="269"/>
      <c r="J84" s="267" t="s">
        <v>520</v>
      </c>
      <c r="K84" s="268" t="s">
        <v>489</v>
      </c>
      <c r="L84" s="40">
        <v>3.0</v>
      </c>
      <c r="M84" s="40">
        <v>0.0</v>
      </c>
      <c r="N84" s="40" t="s">
        <v>491</v>
      </c>
      <c r="O84" s="40">
        <v>63000.0</v>
      </c>
      <c r="P84" s="266" t="s">
        <v>493</v>
      </c>
      <c r="Q84" s="260"/>
      <c r="R84" s="260"/>
      <c r="S84" s="260"/>
      <c r="T84" s="260"/>
      <c r="U84" s="260"/>
      <c r="V84" s="260"/>
      <c r="W84" s="260"/>
      <c r="X84" s="260"/>
      <c r="Y84" s="260"/>
    </row>
    <row r="85">
      <c r="A85" s="87" t="s">
        <v>625</v>
      </c>
      <c r="B85" s="40" t="s">
        <v>624</v>
      </c>
      <c r="C85" s="40" t="s">
        <v>486</v>
      </c>
      <c r="D85" s="40">
        <v>140.0</v>
      </c>
      <c r="E85" s="40">
        <v>62500.0</v>
      </c>
      <c r="F85" s="40">
        <v>62500.0</v>
      </c>
      <c r="G85" s="40" t="s">
        <v>522</v>
      </c>
      <c r="H85" s="88">
        <v>45931.0</v>
      </c>
      <c r="I85" s="269"/>
      <c r="J85" s="267" t="s">
        <v>520</v>
      </c>
      <c r="K85" s="268" t="s">
        <v>489</v>
      </c>
      <c r="L85" s="40">
        <v>6.0</v>
      </c>
      <c r="M85" s="40">
        <v>2.0</v>
      </c>
      <c r="N85" s="40" t="s">
        <v>496</v>
      </c>
      <c r="O85" s="40">
        <v>65625.0</v>
      </c>
      <c r="P85" s="266" t="s">
        <v>493</v>
      </c>
      <c r="Q85" s="260"/>
      <c r="R85" s="260"/>
      <c r="S85" s="260"/>
      <c r="T85" s="260"/>
      <c r="U85" s="260"/>
      <c r="V85" s="260"/>
      <c r="W85" s="260"/>
      <c r="X85" s="260"/>
      <c r="Y85" s="260"/>
    </row>
    <row r="86">
      <c r="A86" s="87" t="s">
        <v>626</v>
      </c>
      <c r="B86" s="40" t="s">
        <v>624</v>
      </c>
      <c r="C86" s="40" t="s">
        <v>486</v>
      </c>
      <c r="D86" s="40">
        <v>150.0</v>
      </c>
      <c r="E86" s="40">
        <v>65000.0</v>
      </c>
      <c r="F86" s="40">
        <v>65000.0</v>
      </c>
      <c r="G86" s="40" t="s">
        <v>522</v>
      </c>
      <c r="H86" s="88">
        <v>45931.0</v>
      </c>
      <c r="I86" s="269"/>
      <c r="J86" s="267" t="s">
        <v>520</v>
      </c>
      <c r="K86" s="268" t="s">
        <v>489</v>
      </c>
      <c r="L86" s="40">
        <v>9.0</v>
      </c>
      <c r="M86" s="40">
        <v>4.0</v>
      </c>
      <c r="N86" s="40" t="s">
        <v>499</v>
      </c>
      <c r="O86" s="40">
        <v>68250.0</v>
      </c>
      <c r="P86" s="266" t="s">
        <v>493</v>
      </c>
      <c r="Q86" s="260"/>
      <c r="R86" s="260"/>
      <c r="S86" s="260"/>
      <c r="T86" s="260"/>
      <c r="U86" s="260"/>
      <c r="V86" s="260"/>
      <c r="W86" s="260"/>
      <c r="X86" s="260"/>
      <c r="Y86" s="260"/>
    </row>
    <row r="87">
      <c r="A87" s="87" t="s">
        <v>629</v>
      </c>
      <c r="B87" s="40" t="s">
        <v>624</v>
      </c>
      <c r="C87" s="40" t="s">
        <v>486</v>
      </c>
      <c r="D87" s="40">
        <v>120.0</v>
      </c>
      <c r="E87" s="40">
        <v>50000.0</v>
      </c>
      <c r="F87" s="40">
        <v>50000.0</v>
      </c>
      <c r="G87" s="40" t="s">
        <v>522</v>
      </c>
      <c r="H87" s="88">
        <v>45931.0</v>
      </c>
      <c r="I87" s="269"/>
      <c r="J87" s="267" t="s">
        <v>520</v>
      </c>
      <c r="K87" s="268" t="s">
        <v>489</v>
      </c>
      <c r="L87" s="40">
        <v>0.0</v>
      </c>
      <c r="M87" s="40">
        <v>0.0</v>
      </c>
      <c r="N87" s="40" t="s">
        <v>491</v>
      </c>
      <c r="O87" s="40">
        <v>52500.0</v>
      </c>
      <c r="P87" s="266" t="s">
        <v>493</v>
      </c>
      <c r="Q87" s="260"/>
      <c r="R87" s="260"/>
      <c r="S87" s="260"/>
      <c r="T87" s="260"/>
      <c r="U87" s="260"/>
      <c r="V87" s="260"/>
      <c r="W87" s="260"/>
      <c r="X87" s="260"/>
      <c r="Y87" s="260"/>
    </row>
    <row r="88">
      <c r="A88" s="87" t="s">
        <v>630</v>
      </c>
      <c r="B88" s="40" t="s">
        <v>624</v>
      </c>
      <c r="C88" s="40" t="s">
        <v>486</v>
      </c>
      <c r="D88" s="40">
        <v>130.0</v>
      </c>
      <c r="E88" s="40">
        <v>52500.0</v>
      </c>
      <c r="F88" s="40">
        <v>52500.0</v>
      </c>
      <c r="G88" s="40" t="s">
        <v>522</v>
      </c>
      <c r="H88" s="88">
        <v>45931.0</v>
      </c>
      <c r="I88" s="269"/>
      <c r="J88" s="267" t="s">
        <v>520</v>
      </c>
      <c r="K88" s="268" t="s">
        <v>489</v>
      </c>
      <c r="L88" s="40">
        <v>3.0</v>
      </c>
      <c r="M88" s="40">
        <v>2.0</v>
      </c>
      <c r="N88" s="40" t="s">
        <v>491</v>
      </c>
      <c r="O88" s="40">
        <v>55125.0</v>
      </c>
      <c r="P88" s="266" t="s">
        <v>493</v>
      </c>
      <c r="Q88" s="260"/>
      <c r="R88" s="260"/>
      <c r="S88" s="260"/>
      <c r="T88" s="260"/>
      <c r="U88" s="260"/>
      <c r="V88" s="260"/>
      <c r="W88" s="260"/>
      <c r="X88" s="260"/>
      <c r="Y88" s="260"/>
    </row>
    <row r="89">
      <c r="A89" s="87" t="s">
        <v>631</v>
      </c>
      <c r="B89" s="40" t="s">
        <v>624</v>
      </c>
      <c r="C89" s="40" t="s">
        <v>486</v>
      </c>
      <c r="D89" s="40">
        <v>140.0</v>
      </c>
      <c r="E89" s="40">
        <v>55000.0</v>
      </c>
      <c r="F89" s="40">
        <v>55000.0</v>
      </c>
      <c r="G89" s="40" t="s">
        <v>522</v>
      </c>
      <c r="H89" s="88">
        <v>45931.0</v>
      </c>
      <c r="I89" s="269"/>
      <c r="J89" s="267" t="s">
        <v>520</v>
      </c>
      <c r="K89" s="268" t="s">
        <v>489</v>
      </c>
      <c r="L89" s="40">
        <v>6.0</v>
      </c>
      <c r="M89" s="40">
        <v>4.0</v>
      </c>
      <c r="N89" s="40" t="s">
        <v>496</v>
      </c>
      <c r="O89" s="40">
        <v>57750.0</v>
      </c>
      <c r="P89" s="266" t="s">
        <v>493</v>
      </c>
      <c r="Q89" s="260"/>
      <c r="R89" s="260"/>
      <c r="S89" s="260"/>
      <c r="T89" s="260"/>
      <c r="U89" s="260"/>
      <c r="V89" s="260"/>
      <c r="W89" s="260"/>
      <c r="X89" s="260"/>
      <c r="Y89" s="260"/>
    </row>
    <row r="90">
      <c r="A90" s="87" t="s">
        <v>632</v>
      </c>
      <c r="B90" s="40" t="s">
        <v>624</v>
      </c>
      <c r="C90" s="40" t="s">
        <v>486</v>
      </c>
      <c r="D90" s="40">
        <v>150.0</v>
      </c>
      <c r="E90" s="40">
        <v>57500.0</v>
      </c>
      <c r="F90" s="40">
        <v>57500.0</v>
      </c>
      <c r="G90" s="40" t="s">
        <v>522</v>
      </c>
      <c r="H90" s="88">
        <v>45931.0</v>
      </c>
      <c r="I90" s="269"/>
      <c r="J90" s="267" t="s">
        <v>520</v>
      </c>
      <c r="K90" s="268" t="s">
        <v>489</v>
      </c>
      <c r="L90" s="40">
        <v>9.0</v>
      </c>
      <c r="M90" s="40">
        <v>0.0</v>
      </c>
      <c r="N90" s="40" t="s">
        <v>499</v>
      </c>
      <c r="O90" s="40">
        <v>60375.0</v>
      </c>
      <c r="P90" s="266" t="s">
        <v>493</v>
      </c>
      <c r="Q90" s="260"/>
      <c r="R90" s="260"/>
      <c r="S90" s="260"/>
      <c r="T90" s="260"/>
      <c r="U90" s="260"/>
      <c r="V90" s="260"/>
      <c r="W90" s="260"/>
      <c r="X90" s="260"/>
      <c r="Y90" s="260"/>
    </row>
    <row r="91">
      <c r="A91" s="87" t="s">
        <v>633</v>
      </c>
      <c r="B91" s="40" t="s">
        <v>624</v>
      </c>
      <c r="C91" s="40" t="s">
        <v>486</v>
      </c>
      <c r="D91" s="40">
        <v>120.0</v>
      </c>
      <c r="E91" s="40">
        <v>60000.0</v>
      </c>
      <c r="F91" s="40">
        <v>60000.0</v>
      </c>
      <c r="G91" s="40" t="s">
        <v>522</v>
      </c>
      <c r="H91" s="88">
        <v>45931.0</v>
      </c>
      <c r="I91" s="269"/>
      <c r="J91" s="267" t="s">
        <v>520</v>
      </c>
      <c r="K91" s="268" t="s">
        <v>489</v>
      </c>
      <c r="L91" s="40">
        <v>0.0</v>
      </c>
      <c r="M91" s="40">
        <v>2.0</v>
      </c>
      <c r="N91" s="40" t="s">
        <v>491</v>
      </c>
      <c r="O91" s="40">
        <v>63000.0</v>
      </c>
      <c r="P91" s="266" t="s">
        <v>493</v>
      </c>
      <c r="Q91" s="260"/>
      <c r="R91" s="260"/>
      <c r="S91" s="260"/>
      <c r="T91" s="260"/>
      <c r="U91" s="260"/>
      <c r="V91" s="260"/>
      <c r="W91" s="260"/>
      <c r="X91" s="260"/>
      <c r="Y91" s="260"/>
    </row>
    <row r="92">
      <c r="A92" s="87" t="s">
        <v>635</v>
      </c>
      <c r="B92" s="40" t="s">
        <v>624</v>
      </c>
      <c r="C92" s="40" t="s">
        <v>486</v>
      </c>
      <c r="D92" s="40">
        <v>130.0</v>
      </c>
      <c r="E92" s="40">
        <v>62500.0</v>
      </c>
      <c r="F92" s="40">
        <v>62500.0</v>
      </c>
      <c r="G92" s="40" t="s">
        <v>522</v>
      </c>
      <c r="H92" s="88">
        <v>45931.0</v>
      </c>
      <c r="I92" s="269"/>
      <c r="J92" s="267" t="s">
        <v>520</v>
      </c>
      <c r="K92" s="268" t="s">
        <v>489</v>
      </c>
      <c r="L92" s="40">
        <v>3.0</v>
      </c>
      <c r="M92" s="40">
        <v>4.0</v>
      </c>
      <c r="N92" s="40" t="s">
        <v>491</v>
      </c>
      <c r="O92" s="40">
        <v>65625.0</v>
      </c>
      <c r="P92" s="266" t="s">
        <v>493</v>
      </c>
      <c r="Q92" s="260"/>
      <c r="R92" s="260"/>
      <c r="S92" s="260"/>
      <c r="T92" s="260"/>
      <c r="U92" s="260"/>
      <c r="V92" s="260"/>
      <c r="W92" s="260"/>
      <c r="X92" s="260"/>
      <c r="Y92" s="260"/>
    </row>
    <row r="93">
      <c r="A93" s="87" t="s">
        <v>637</v>
      </c>
      <c r="B93" s="40" t="s">
        <v>624</v>
      </c>
      <c r="C93" s="40" t="s">
        <v>486</v>
      </c>
      <c r="D93" s="40">
        <v>140.0</v>
      </c>
      <c r="E93" s="40">
        <v>65000.0</v>
      </c>
      <c r="F93" s="40">
        <v>65000.0</v>
      </c>
      <c r="G93" s="40" t="s">
        <v>522</v>
      </c>
      <c r="H93" s="88">
        <v>45931.0</v>
      </c>
      <c r="I93" s="269"/>
      <c r="J93" s="267" t="s">
        <v>520</v>
      </c>
      <c r="K93" s="268" t="s">
        <v>489</v>
      </c>
      <c r="L93" s="40">
        <v>6.0</v>
      </c>
      <c r="M93" s="40">
        <v>0.0</v>
      </c>
      <c r="N93" s="40" t="s">
        <v>496</v>
      </c>
      <c r="O93" s="40">
        <v>68250.0</v>
      </c>
      <c r="P93" s="266" t="s">
        <v>493</v>
      </c>
      <c r="Q93" s="260"/>
      <c r="R93" s="260"/>
      <c r="S93" s="260"/>
      <c r="T93" s="260"/>
      <c r="U93" s="260"/>
      <c r="V93" s="260"/>
      <c r="W93" s="260"/>
      <c r="X93" s="260"/>
      <c r="Y93" s="260"/>
    </row>
    <row r="94">
      <c r="A94" s="87" t="s">
        <v>638</v>
      </c>
      <c r="B94" s="40" t="s">
        <v>639</v>
      </c>
      <c r="C94" s="40" t="s">
        <v>486</v>
      </c>
      <c r="D94" s="40">
        <v>150.0</v>
      </c>
      <c r="E94" s="40">
        <v>50000.0</v>
      </c>
      <c r="F94" s="40">
        <v>50000.0</v>
      </c>
      <c r="G94" s="40" t="s">
        <v>522</v>
      </c>
      <c r="H94" s="88">
        <v>45931.0</v>
      </c>
      <c r="I94" s="269"/>
      <c r="J94" s="267" t="s">
        <v>520</v>
      </c>
      <c r="K94" s="268" t="s">
        <v>489</v>
      </c>
      <c r="L94" s="40">
        <v>9.0</v>
      </c>
      <c r="M94" s="40">
        <v>2.0</v>
      </c>
      <c r="N94" s="40" t="s">
        <v>499</v>
      </c>
      <c r="O94" s="40">
        <v>52500.0</v>
      </c>
      <c r="P94" s="266" t="s">
        <v>493</v>
      </c>
      <c r="Q94" s="260"/>
      <c r="R94" s="260"/>
      <c r="S94" s="260"/>
      <c r="T94" s="260"/>
      <c r="U94" s="260"/>
      <c r="V94" s="260"/>
      <c r="W94" s="260"/>
      <c r="X94" s="260"/>
      <c r="Y94" s="260"/>
    </row>
    <row r="95">
      <c r="A95" s="87" t="s">
        <v>640</v>
      </c>
      <c r="B95" s="40" t="s">
        <v>639</v>
      </c>
      <c r="C95" s="40" t="s">
        <v>486</v>
      </c>
      <c r="D95" s="40">
        <v>120.0</v>
      </c>
      <c r="E95" s="40">
        <v>52500.0</v>
      </c>
      <c r="F95" s="40">
        <v>52500.0</v>
      </c>
      <c r="G95" s="40" t="s">
        <v>522</v>
      </c>
      <c r="H95" s="88">
        <v>45931.0</v>
      </c>
      <c r="I95" s="269"/>
      <c r="J95" s="267" t="s">
        <v>520</v>
      </c>
      <c r="K95" s="268" t="s">
        <v>489</v>
      </c>
      <c r="L95" s="40">
        <v>0.0</v>
      </c>
      <c r="M95" s="40">
        <v>4.0</v>
      </c>
      <c r="N95" s="40" t="s">
        <v>491</v>
      </c>
      <c r="O95" s="40">
        <v>55125.0</v>
      </c>
      <c r="P95" s="266" t="s">
        <v>493</v>
      </c>
      <c r="Q95" s="260"/>
      <c r="R95" s="260"/>
      <c r="S95" s="260"/>
      <c r="T95" s="260"/>
      <c r="U95" s="260"/>
      <c r="V95" s="260"/>
      <c r="W95" s="260"/>
      <c r="X95" s="260"/>
      <c r="Y95" s="260"/>
    </row>
    <row r="96">
      <c r="A96" s="87" t="s">
        <v>641</v>
      </c>
      <c r="B96" s="40" t="s">
        <v>639</v>
      </c>
      <c r="C96" s="40" t="s">
        <v>486</v>
      </c>
      <c r="D96" s="40">
        <v>130.0</v>
      </c>
      <c r="E96" s="40">
        <v>55000.0</v>
      </c>
      <c r="F96" s="40">
        <v>55000.0</v>
      </c>
      <c r="G96" s="40" t="s">
        <v>522</v>
      </c>
      <c r="H96" s="88">
        <v>45931.0</v>
      </c>
      <c r="I96" s="269"/>
      <c r="J96" s="267" t="s">
        <v>520</v>
      </c>
      <c r="K96" s="268" t="s">
        <v>489</v>
      </c>
      <c r="L96" s="40">
        <v>3.0</v>
      </c>
      <c r="M96" s="40">
        <v>0.0</v>
      </c>
      <c r="N96" s="40" t="s">
        <v>491</v>
      </c>
      <c r="O96" s="40">
        <v>57750.0</v>
      </c>
      <c r="P96" s="266" t="s">
        <v>493</v>
      </c>
      <c r="Q96" s="260"/>
      <c r="R96" s="260"/>
      <c r="S96" s="260"/>
      <c r="T96" s="260"/>
      <c r="U96" s="260"/>
      <c r="V96" s="260"/>
      <c r="W96" s="260"/>
      <c r="X96" s="260"/>
      <c r="Y96" s="260"/>
    </row>
    <row r="97">
      <c r="A97" s="87" t="s">
        <v>643</v>
      </c>
      <c r="B97" s="40" t="s">
        <v>639</v>
      </c>
      <c r="C97" s="40" t="s">
        <v>486</v>
      </c>
      <c r="D97" s="40">
        <v>140.0</v>
      </c>
      <c r="E97" s="40">
        <v>57500.0</v>
      </c>
      <c r="F97" s="40">
        <v>57500.0</v>
      </c>
      <c r="G97" s="40" t="s">
        <v>522</v>
      </c>
      <c r="H97" s="88">
        <v>45931.0</v>
      </c>
      <c r="I97" s="269"/>
      <c r="J97" s="267" t="s">
        <v>520</v>
      </c>
      <c r="K97" s="268" t="s">
        <v>489</v>
      </c>
      <c r="L97" s="40">
        <v>6.0</v>
      </c>
      <c r="M97" s="40">
        <v>2.0</v>
      </c>
      <c r="N97" s="40" t="s">
        <v>496</v>
      </c>
      <c r="O97" s="40">
        <v>60375.0</v>
      </c>
      <c r="P97" s="266" t="s">
        <v>493</v>
      </c>
      <c r="Q97" s="260"/>
      <c r="R97" s="260"/>
      <c r="S97" s="260"/>
      <c r="T97" s="260"/>
      <c r="U97" s="260"/>
      <c r="V97" s="260"/>
      <c r="W97" s="260"/>
      <c r="X97" s="260"/>
      <c r="Y97" s="260"/>
    </row>
    <row r="98">
      <c r="A98" s="87" t="s">
        <v>645</v>
      </c>
      <c r="B98" s="40" t="s">
        <v>639</v>
      </c>
      <c r="C98" s="40" t="s">
        <v>486</v>
      </c>
      <c r="D98" s="40">
        <v>150.0</v>
      </c>
      <c r="E98" s="40">
        <v>60000.0</v>
      </c>
      <c r="F98" s="40">
        <v>60000.0</v>
      </c>
      <c r="G98" s="40" t="s">
        <v>522</v>
      </c>
      <c r="H98" s="88">
        <v>45931.0</v>
      </c>
      <c r="I98" s="269"/>
      <c r="J98" s="267" t="s">
        <v>520</v>
      </c>
      <c r="K98" s="268" t="s">
        <v>489</v>
      </c>
      <c r="L98" s="40">
        <v>9.0</v>
      </c>
      <c r="M98" s="40">
        <v>4.0</v>
      </c>
      <c r="N98" s="40" t="s">
        <v>499</v>
      </c>
      <c r="O98" s="40">
        <v>63000.0</v>
      </c>
      <c r="P98" s="266" t="s">
        <v>493</v>
      </c>
      <c r="Q98" s="260"/>
      <c r="R98" s="260"/>
      <c r="S98" s="260"/>
      <c r="T98" s="260"/>
      <c r="U98" s="260"/>
      <c r="V98" s="260"/>
      <c r="W98" s="260"/>
      <c r="X98" s="260"/>
      <c r="Y98" s="260"/>
    </row>
    <row r="99">
      <c r="A99" s="87" t="s">
        <v>646</v>
      </c>
      <c r="B99" s="40" t="s">
        <v>639</v>
      </c>
      <c r="C99" s="40" t="s">
        <v>486</v>
      </c>
      <c r="D99" s="40">
        <v>120.0</v>
      </c>
      <c r="E99" s="40">
        <v>62500.0</v>
      </c>
      <c r="F99" s="40">
        <v>62500.0</v>
      </c>
      <c r="G99" s="40" t="s">
        <v>522</v>
      </c>
      <c r="H99" s="88">
        <v>45931.0</v>
      </c>
      <c r="I99" s="269"/>
      <c r="J99" s="267" t="s">
        <v>520</v>
      </c>
      <c r="K99" s="268" t="s">
        <v>489</v>
      </c>
      <c r="L99" s="40">
        <v>0.0</v>
      </c>
      <c r="M99" s="40">
        <v>0.0</v>
      </c>
      <c r="N99" s="40" t="s">
        <v>491</v>
      </c>
      <c r="O99" s="40">
        <v>65625.0</v>
      </c>
      <c r="P99" s="266" t="s">
        <v>493</v>
      </c>
      <c r="Q99" s="260"/>
      <c r="R99" s="260"/>
      <c r="S99" s="260"/>
      <c r="T99" s="260"/>
      <c r="U99" s="260"/>
      <c r="V99" s="260"/>
      <c r="W99" s="260"/>
      <c r="X99" s="260"/>
      <c r="Y99" s="260"/>
    </row>
    <row r="100">
      <c r="A100" s="87" t="s">
        <v>647</v>
      </c>
      <c r="B100" s="40" t="s">
        <v>639</v>
      </c>
      <c r="C100" s="40" t="s">
        <v>486</v>
      </c>
      <c r="D100" s="40">
        <v>130.0</v>
      </c>
      <c r="E100" s="40">
        <v>65000.0</v>
      </c>
      <c r="F100" s="40">
        <v>65000.0</v>
      </c>
      <c r="G100" s="40" t="s">
        <v>522</v>
      </c>
      <c r="H100" s="88">
        <v>45931.0</v>
      </c>
      <c r="I100" s="269"/>
      <c r="J100" s="267" t="s">
        <v>520</v>
      </c>
      <c r="K100" s="268" t="s">
        <v>489</v>
      </c>
      <c r="L100" s="40">
        <v>3.0</v>
      </c>
      <c r="M100" s="40">
        <v>2.0</v>
      </c>
      <c r="N100" s="40" t="s">
        <v>491</v>
      </c>
      <c r="O100" s="40">
        <v>68250.0</v>
      </c>
      <c r="P100" s="266" t="s">
        <v>493</v>
      </c>
      <c r="Q100" s="260"/>
      <c r="R100" s="260"/>
      <c r="S100" s="260"/>
      <c r="T100" s="260"/>
      <c r="U100" s="260"/>
      <c r="V100" s="260"/>
      <c r="W100" s="260"/>
      <c r="X100" s="260"/>
      <c r="Y100" s="260"/>
    </row>
    <row r="101">
      <c r="A101" s="87" t="s">
        <v>648</v>
      </c>
      <c r="B101" s="40" t="s">
        <v>639</v>
      </c>
      <c r="C101" s="40" t="s">
        <v>486</v>
      </c>
      <c r="D101" s="40">
        <v>140.0</v>
      </c>
      <c r="E101" s="40">
        <v>50000.0</v>
      </c>
      <c r="F101" s="40">
        <v>50000.0</v>
      </c>
      <c r="G101" s="40" t="s">
        <v>522</v>
      </c>
      <c r="H101" s="88">
        <v>45931.0</v>
      </c>
      <c r="I101" s="269"/>
      <c r="J101" s="267" t="s">
        <v>520</v>
      </c>
      <c r="K101" s="268" t="s">
        <v>489</v>
      </c>
      <c r="L101" s="40">
        <v>6.0</v>
      </c>
      <c r="M101" s="40">
        <v>4.0</v>
      </c>
      <c r="N101" s="40" t="s">
        <v>496</v>
      </c>
      <c r="O101" s="40">
        <v>52500.0</v>
      </c>
      <c r="P101" s="266" t="s">
        <v>493</v>
      </c>
      <c r="Q101" s="260"/>
      <c r="R101" s="260"/>
      <c r="S101" s="260"/>
      <c r="T101" s="260"/>
      <c r="U101" s="260"/>
      <c r="V101" s="260"/>
      <c r="W101" s="260"/>
      <c r="X101" s="260"/>
      <c r="Y101" s="260"/>
    </row>
    <row r="102">
      <c r="A102" s="87" t="s">
        <v>649</v>
      </c>
      <c r="B102" s="40" t="s">
        <v>639</v>
      </c>
      <c r="C102" s="40" t="s">
        <v>486</v>
      </c>
      <c r="D102" s="40">
        <v>150.0</v>
      </c>
      <c r="E102" s="40">
        <v>52500.0</v>
      </c>
      <c r="F102" s="40">
        <v>52500.0</v>
      </c>
      <c r="G102" s="40" t="s">
        <v>522</v>
      </c>
      <c r="H102" s="88">
        <v>45931.0</v>
      </c>
      <c r="I102" s="269"/>
      <c r="J102" s="267" t="s">
        <v>520</v>
      </c>
      <c r="K102" s="268" t="s">
        <v>489</v>
      </c>
      <c r="L102" s="40">
        <v>9.0</v>
      </c>
      <c r="M102" s="40">
        <v>0.0</v>
      </c>
      <c r="N102" s="40" t="s">
        <v>499</v>
      </c>
      <c r="O102" s="40">
        <v>55125.0</v>
      </c>
      <c r="P102" s="266" t="s">
        <v>493</v>
      </c>
      <c r="Q102" s="260"/>
      <c r="R102" s="260"/>
      <c r="S102" s="260"/>
      <c r="T102" s="260"/>
      <c r="U102" s="260"/>
      <c r="V102" s="260"/>
      <c r="W102" s="260"/>
      <c r="X102" s="260"/>
      <c r="Y102" s="260"/>
    </row>
    <row r="103">
      <c r="A103" s="87" t="s">
        <v>650</v>
      </c>
      <c r="B103" s="40" t="s">
        <v>639</v>
      </c>
      <c r="C103" s="40" t="s">
        <v>486</v>
      </c>
      <c r="D103" s="40">
        <v>120.0</v>
      </c>
      <c r="E103" s="40">
        <v>55000.0</v>
      </c>
      <c r="F103" s="40">
        <v>55000.0</v>
      </c>
      <c r="G103" s="40" t="s">
        <v>522</v>
      </c>
      <c r="H103" s="88">
        <v>45931.0</v>
      </c>
      <c r="I103" s="269"/>
      <c r="J103" s="267" t="s">
        <v>520</v>
      </c>
      <c r="K103" s="268" t="s">
        <v>489</v>
      </c>
      <c r="L103" s="40">
        <v>0.0</v>
      </c>
      <c r="M103" s="40">
        <v>2.0</v>
      </c>
      <c r="N103" s="40" t="s">
        <v>491</v>
      </c>
      <c r="O103" s="40">
        <v>57750.0</v>
      </c>
      <c r="P103" s="266" t="s">
        <v>493</v>
      </c>
      <c r="Q103" s="260"/>
      <c r="R103" s="260"/>
      <c r="S103" s="260"/>
      <c r="T103" s="260"/>
      <c r="U103" s="260"/>
      <c r="V103" s="260"/>
      <c r="W103" s="260"/>
      <c r="X103" s="260"/>
      <c r="Y103" s="260"/>
    </row>
    <row r="104">
      <c r="A104" s="87" t="s">
        <v>651</v>
      </c>
      <c r="B104" s="40" t="s">
        <v>652</v>
      </c>
      <c r="C104" s="40" t="s">
        <v>653</v>
      </c>
      <c r="D104" s="40">
        <v>130.0</v>
      </c>
      <c r="E104" s="40">
        <v>57500.0</v>
      </c>
      <c r="F104" s="40">
        <v>57500.0</v>
      </c>
      <c r="G104" s="40" t="s">
        <v>522</v>
      </c>
      <c r="H104" s="88">
        <v>46023.0</v>
      </c>
      <c r="I104" s="269"/>
      <c r="J104" s="267" t="s">
        <v>654</v>
      </c>
      <c r="K104" s="268" t="s">
        <v>489</v>
      </c>
      <c r="L104" s="40">
        <v>3.0</v>
      </c>
      <c r="M104" s="40">
        <v>4.0</v>
      </c>
      <c r="N104" s="40" t="s">
        <v>491</v>
      </c>
      <c r="O104" s="40">
        <v>60375.0</v>
      </c>
      <c r="P104" s="266" t="s">
        <v>493</v>
      </c>
      <c r="Q104" s="260"/>
      <c r="R104" s="260"/>
      <c r="S104" s="260"/>
      <c r="T104" s="260"/>
      <c r="U104" s="260"/>
      <c r="V104" s="260"/>
      <c r="W104" s="260"/>
      <c r="X104" s="260"/>
      <c r="Y104" s="260"/>
    </row>
    <row r="105">
      <c r="A105" s="87" t="s">
        <v>655</v>
      </c>
      <c r="B105" s="40" t="s">
        <v>652</v>
      </c>
      <c r="C105" s="40" t="s">
        <v>653</v>
      </c>
      <c r="D105" s="40">
        <v>140.0</v>
      </c>
      <c r="E105" s="40">
        <v>60000.0</v>
      </c>
      <c r="F105" s="40">
        <v>60000.0</v>
      </c>
      <c r="G105" s="40" t="s">
        <v>522</v>
      </c>
      <c r="H105" s="88">
        <v>46023.0</v>
      </c>
      <c r="I105" s="269"/>
      <c r="J105" s="267" t="s">
        <v>654</v>
      </c>
      <c r="K105" s="268" t="s">
        <v>489</v>
      </c>
      <c r="L105" s="40">
        <v>6.0</v>
      </c>
      <c r="M105" s="40">
        <v>0.0</v>
      </c>
      <c r="N105" s="40" t="s">
        <v>496</v>
      </c>
      <c r="O105" s="40">
        <v>63000.0</v>
      </c>
      <c r="P105" s="266" t="s">
        <v>493</v>
      </c>
      <c r="Q105" s="260"/>
      <c r="R105" s="260"/>
      <c r="S105" s="260"/>
      <c r="T105" s="260"/>
      <c r="U105" s="260"/>
      <c r="V105" s="260"/>
      <c r="W105" s="260"/>
      <c r="X105" s="260"/>
      <c r="Y105" s="260"/>
    </row>
    <row r="106">
      <c r="A106" s="87" t="s">
        <v>657</v>
      </c>
      <c r="B106" s="40" t="s">
        <v>652</v>
      </c>
      <c r="C106" s="40" t="s">
        <v>653</v>
      </c>
      <c r="D106" s="40">
        <v>150.0</v>
      </c>
      <c r="E106" s="40">
        <v>62500.0</v>
      </c>
      <c r="F106" s="40">
        <v>62500.0</v>
      </c>
      <c r="G106" s="40" t="s">
        <v>522</v>
      </c>
      <c r="H106" s="88">
        <v>46023.0</v>
      </c>
      <c r="I106" s="269"/>
      <c r="J106" s="267" t="s">
        <v>654</v>
      </c>
      <c r="K106" s="268" t="s">
        <v>489</v>
      </c>
      <c r="L106" s="40">
        <v>9.0</v>
      </c>
      <c r="M106" s="40">
        <v>2.0</v>
      </c>
      <c r="N106" s="40" t="s">
        <v>499</v>
      </c>
      <c r="O106" s="40">
        <v>65625.0</v>
      </c>
      <c r="P106" s="266" t="s">
        <v>493</v>
      </c>
      <c r="Q106" s="260"/>
      <c r="R106" s="260"/>
      <c r="S106" s="260"/>
      <c r="T106" s="260"/>
      <c r="U106" s="260"/>
      <c r="V106" s="260"/>
      <c r="W106" s="260"/>
      <c r="X106" s="260"/>
      <c r="Y106" s="260"/>
    </row>
    <row r="107">
      <c r="A107" s="87" t="s">
        <v>658</v>
      </c>
      <c r="B107" s="40" t="s">
        <v>652</v>
      </c>
      <c r="C107" s="40" t="s">
        <v>653</v>
      </c>
      <c r="D107" s="40">
        <v>120.0</v>
      </c>
      <c r="E107" s="40">
        <v>65000.0</v>
      </c>
      <c r="F107" s="40">
        <v>65000.0</v>
      </c>
      <c r="G107" s="40" t="s">
        <v>522</v>
      </c>
      <c r="H107" s="88">
        <v>46023.0</v>
      </c>
      <c r="I107" s="269"/>
      <c r="J107" s="267" t="s">
        <v>654</v>
      </c>
      <c r="K107" s="268" t="s">
        <v>489</v>
      </c>
      <c r="L107" s="40">
        <v>0.0</v>
      </c>
      <c r="M107" s="40">
        <v>4.0</v>
      </c>
      <c r="N107" s="40" t="s">
        <v>491</v>
      </c>
      <c r="O107" s="40">
        <v>68250.0</v>
      </c>
      <c r="P107" s="266" t="s">
        <v>493</v>
      </c>
      <c r="Q107" s="260"/>
      <c r="R107" s="260"/>
      <c r="S107" s="260"/>
      <c r="T107" s="260"/>
      <c r="U107" s="260"/>
      <c r="V107" s="260"/>
      <c r="W107" s="260"/>
      <c r="X107" s="260"/>
      <c r="Y107" s="260"/>
    </row>
    <row r="108">
      <c r="A108" s="87" t="s">
        <v>659</v>
      </c>
      <c r="B108" s="40" t="s">
        <v>652</v>
      </c>
      <c r="C108" s="40" t="s">
        <v>653</v>
      </c>
      <c r="D108" s="40">
        <v>130.0</v>
      </c>
      <c r="E108" s="40">
        <v>50000.0</v>
      </c>
      <c r="F108" s="40">
        <v>50000.0</v>
      </c>
      <c r="G108" s="40" t="s">
        <v>522</v>
      </c>
      <c r="H108" s="88">
        <v>46023.0</v>
      </c>
      <c r="I108" s="269"/>
      <c r="J108" s="267" t="s">
        <v>654</v>
      </c>
      <c r="K108" s="268" t="s">
        <v>489</v>
      </c>
      <c r="L108" s="40">
        <v>3.0</v>
      </c>
      <c r="M108" s="40">
        <v>0.0</v>
      </c>
      <c r="N108" s="40" t="s">
        <v>491</v>
      </c>
      <c r="O108" s="40">
        <v>52500.0</v>
      </c>
      <c r="P108" s="266" t="s">
        <v>493</v>
      </c>
      <c r="Q108" s="260"/>
      <c r="R108" s="260"/>
      <c r="S108" s="260"/>
      <c r="T108" s="260"/>
      <c r="U108" s="260"/>
      <c r="V108" s="260"/>
      <c r="W108" s="260"/>
      <c r="X108" s="260"/>
      <c r="Y108" s="260"/>
    </row>
    <row r="109">
      <c r="A109" s="87" t="s">
        <v>660</v>
      </c>
      <c r="B109" s="40" t="s">
        <v>652</v>
      </c>
      <c r="C109" s="40" t="s">
        <v>653</v>
      </c>
      <c r="D109" s="40">
        <v>140.0</v>
      </c>
      <c r="E109" s="40">
        <v>52500.0</v>
      </c>
      <c r="F109" s="40">
        <v>52500.0</v>
      </c>
      <c r="G109" s="40" t="s">
        <v>522</v>
      </c>
      <c r="H109" s="88">
        <v>46023.0</v>
      </c>
      <c r="I109" s="269"/>
      <c r="J109" s="267" t="s">
        <v>654</v>
      </c>
      <c r="K109" s="268" t="s">
        <v>489</v>
      </c>
      <c r="L109" s="40">
        <v>6.0</v>
      </c>
      <c r="M109" s="40">
        <v>2.0</v>
      </c>
      <c r="N109" s="40" t="s">
        <v>496</v>
      </c>
      <c r="O109" s="40">
        <v>55125.0</v>
      </c>
      <c r="P109" s="266" t="s">
        <v>493</v>
      </c>
      <c r="Q109" s="260"/>
      <c r="R109" s="260"/>
      <c r="S109" s="260"/>
      <c r="T109" s="260"/>
      <c r="U109" s="260"/>
      <c r="V109" s="260"/>
      <c r="W109" s="260"/>
      <c r="X109" s="260"/>
      <c r="Y109" s="260"/>
    </row>
    <row r="110">
      <c r="A110" s="87" t="s">
        <v>661</v>
      </c>
      <c r="B110" s="40" t="s">
        <v>652</v>
      </c>
      <c r="C110" s="40" t="s">
        <v>653</v>
      </c>
      <c r="D110" s="40">
        <v>150.0</v>
      </c>
      <c r="E110" s="40">
        <v>55000.0</v>
      </c>
      <c r="F110" s="40">
        <v>55000.0</v>
      </c>
      <c r="G110" s="40" t="s">
        <v>522</v>
      </c>
      <c r="H110" s="88">
        <v>46023.0</v>
      </c>
      <c r="I110" s="269"/>
      <c r="J110" s="267" t="s">
        <v>654</v>
      </c>
      <c r="K110" s="268" t="s">
        <v>489</v>
      </c>
      <c r="L110" s="40">
        <v>9.0</v>
      </c>
      <c r="M110" s="40">
        <v>4.0</v>
      </c>
      <c r="N110" s="40" t="s">
        <v>499</v>
      </c>
      <c r="O110" s="40">
        <v>57750.0</v>
      </c>
      <c r="P110" s="266" t="s">
        <v>493</v>
      </c>
      <c r="Q110" s="260"/>
      <c r="R110" s="260"/>
      <c r="S110" s="260"/>
      <c r="T110" s="260"/>
      <c r="U110" s="260"/>
      <c r="V110" s="260"/>
      <c r="W110" s="260"/>
      <c r="X110" s="260"/>
      <c r="Y110" s="260"/>
    </row>
    <row r="111">
      <c r="A111" s="87" t="s">
        <v>662</v>
      </c>
      <c r="B111" s="40" t="s">
        <v>652</v>
      </c>
      <c r="C111" s="40" t="s">
        <v>653</v>
      </c>
      <c r="D111" s="40">
        <v>120.0</v>
      </c>
      <c r="E111" s="40">
        <v>57500.0</v>
      </c>
      <c r="F111" s="40">
        <v>57500.0</v>
      </c>
      <c r="G111" s="40" t="s">
        <v>522</v>
      </c>
      <c r="H111" s="88">
        <v>46023.0</v>
      </c>
      <c r="I111" s="269"/>
      <c r="J111" s="267" t="s">
        <v>654</v>
      </c>
      <c r="K111" s="268" t="s">
        <v>489</v>
      </c>
      <c r="L111" s="40">
        <v>0.0</v>
      </c>
      <c r="M111" s="40">
        <v>0.0</v>
      </c>
      <c r="N111" s="40" t="s">
        <v>491</v>
      </c>
      <c r="O111" s="40">
        <v>60375.0</v>
      </c>
      <c r="P111" s="266" t="s">
        <v>493</v>
      </c>
      <c r="Q111" s="260"/>
      <c r="R111" s="260"/>
      <c r="S111" s="260"/>
      <c r="T111" s="260"/>
      <c r="U111" s="260"/>
      <c r="V111" s="260"/>
      <c r="W111" s="260"/>
      <c r="X111" s="260"/>
      <c r="Y111" s="260"/>
    </row>
    <row r="112">
      <c r="A112" s="87" t="s">
        <v>665</v>
      </c>
      <c r="B112" s="40" t="s">
        <v>652</v>
      </c>
      <c r="C112" s="40" t="s">
        <v>653</v>
      </c>
      <c r="D112" s="40">
        <v>130.0</v>
      </c>
      <c r="E112" s="40">
        <v>60000.0</v>
      </c>
      <c r="F112" s="40">
        <v>60000.0</v>
      </c>
      <c r="G112" s="40" t="s">
        <v>522</v>
      </c>
      <c r="H112" s="88">
        <v>46023.0</v>
      </c>
      <c r="I112" s="269"/>
      <c r="J112" s="267" t="s">
        <v>654</v>
      </c>
      <c r="K112" s="268" t="s">
        <v>489</v>
      </c>
      <c r="L112" s="40">
        <v>3.0</v>
      </c>
      <c r="M112" s="40">
        <v>2.0</v>
      </c>
      <c r="N112" s="40" t="s">
        <v>491</v>
      </c>
      <c r="O112" s="40">
        <v>63000.0</v>
      </c>
      <c r="P112" s="266" t="s">
        <v>493</v>
      </c>
      <c r="Q112" s="260"/>
      <c r="R112" s="260"/>
      <c r="S112" s="260"/>
      <c r="T112" s="260"/>
      <c r="U112" s="260"/>
      <c r="V112" s="260"/>
      <c r="W112" s="260"/>
      <c r="X112" s="260"/>
      <c r="Y112" s="260"/>
    </row>
    <row r="113">
      <c r="A113" s="87" t="s">
        <v>666</v>
      </c>
      <c r="B113" s="40" t="s">
        <v>652</v>
      </c>
      <c r="C113" s="40" t="s">
        <v>653</v>
      </c>
      <c r="D113" s="40">
        <v>140.0</v>
      </c>
      <c r="E113" s="40">
        <v>62500.0</v>
      </c>
      <c r="F113" s="40">
        <v>62500.0</v>
      </c>
      <c r="G113" s="40" t="s">
        <v>522</v>
      </c>
      <c r="H113" s="88">
        <v>46023.0</v>
      </c>
      <c r="I113" s="269"/>
      <c r="J113" s="267" t="s">
        <v>654</v>
      </c>
      <c r="K113" s="268" t="s">
        <v>489</v>
      </c>
      <c r="L113" s="40">
        <v>6.0</v>
      </c>
      <c r="M113" s="40">
        <v>4.0</v>
      </c>
      <c r="N113" s="40" t="s">
        <v>496</v>
      </c>
      <c r="O113" s="40">
        <v>65625.0</v>
      </c>
      <c r="P113" s="266" t="s">
        <v>493</v>
      </c>
      <c r="Q113" s="260"/>
      <c r="R113" s="260"/>
      <c r="S113" s="260"/>
      <c r="T113" s="260"/>
      <c r="U113" s="260"/>
      <c r="V113" s="260"/>
      <c r="W113" s="260"/>
      <c r="X113" s="260"/>
      <c r="Y113" s="260"/>
    </row>
    <row r="114">
      <c r="A114" s="87" t="s">
        <v>667</v>
      </c>
      <c r="B114" s="40" t="s">
        <v>668</v>
      </c>
      <c r="C114" s="40" t="s">
        <v>653</v>
      </c>
      <c r="D114" s="40">
        <v>150.0</v>
      </c>
      <c r="E114" s="40">
        <v>65000.0</v>
      </c>
      <c r="F114" s="40">
        <v>65000.0</v>
      </c>
      <c r="G114" s="40" t="s">
        <v>522</v>
      </c>
      <c r="H114" s="88">
        <v>46023.0</v>
      </c>
      <c r="I114" s="269"/>
      <c r="J114" s="267" t="s">
        <v>654</v>
      </c>
      <c r="K114" s="268" t="s">
        <v>489</v>
      </c>
      <c r="L114" s="40">
        <v>9.0</v>
      </c>
      <c r="M114" s="40">
        <v>0.0</v>
      </c>
      <c r="N114" s="40" t="s">
        <v>499</v>
      </c>
      <c r="O114" s="40">
        <v>68250.0</v>
      </c>
      <c r="P114" s="266" t="s">
        <v>493</v>
      </c>
      <c r="Q114" s="260"/>
      <c r="R114" s="260"/>
      <c r="S114" s="260"/>
      <c r="T114" s="260"/>
      <c r="U114" s="260"/>
      <c r="V114" s="260"/>
      <c r="W114" s="260"/>
      <c r="X114" s="260"/>
      <c r="Y114" s="260"/>
    </row>
    <row r="115">
      <c r="A115" s="87" t="s">
        <v>669</v>
      </c>
      <c r="B115" s="40" t="s">
        <v>668</v>
      </c>
      <c r="C115" s="40" t="s">
        <v>653</v>
      </c>
      <c r="D115" s="40">
        <v>120.0</v>
      </c>
      <c r="E115" s="40">
        <v>50000.0</v>
      </c>
      <c r="F115" s="40">
        <v>50000.0</v>
      </c>
      <c r="G115" s="40" t="s">
        <v>522</v>
      </c>
      <c r="H115" s="88">
        <v>46023.0</v>
      </c>
      <c r="I115" s="269"/>
      <c r="J115" s="267" t="s">
        <v>654</v>
      </c>
      <c r="K115" s="268" t="s">
        <v>489</v>
      </c>
      <c r="L115" s="40">
        <v>0.0</v>
      </c>
      <c r="M115" s="40">
        <v>2.0</v>
      </c>
      <c r="N115" s="40" t="s">
        <v>491</v>
      </c>
      <c r="O115" s="40">
        <v>52500.0</v>
      </c>
      <c r="P115" s="266" t="s">
        <v>493</v>
      </c>
      <c r="Q115" s="260"/>
      <c r="R115" s="260"/>
      <c r="S115" s="260"/>
      <c r="T115" s="260"/>
      <c r="U115" s="260"/>
      <c r="V115" s="260"/>
      <c r="W115" s="260"/>
      <c r="X115" s="260"/>
      <c r="Y115" s="260"/>
    </row>
    <row r="116">
      <c r="A116" s="87" t="s">
        <v>670</v>
      </c>
      <c r="B116" s="40" t="s">
        <v>668</v>
      </c>
      <c r="C116" s="40" t="s">
        <v>653</v>
      </c>
      <c r="D116" s="40">
        <v>130.0</v>
      </c>
      <c r="E116" s="40">
        <v>52500.0</v>
      </c>
      <c r="F116" s="40">
        <v>52500.0</v>
      </c>
      <c r="G116" s="40" t="s">
        <v>522</v>
      </c>
      <c r="H116" s="88">
        <v>46023.0</v>
      </c>
      <c r="I116" s="269"/>
      <c r="J116" s="267" t="s">
        <v>654</v>
      </c>
      <c r="K116" s="268" t="s">
        <v>489</v>
      </c>
      <c r="L116" s="40">
        <v>3.0</v>
      </c>
      <c r="M116" s="40">
        <v>4.0</v>
      </c>
      <c r="N116" s="40" t="s">
        <v>491</v>
      </c>
      <c r="O116" s="40">
        <v>55125.0</v>
      </c>
      <c r="P116" s="266" t="s">
        <v>493</v>
      </c>
      <c r="Q116" s="260"/>
      <c r="R116" s="260"/>
      <c r="S116" s="260"/>
      <c r="T116" s="260"/>
      <c r="U116" s="260"/>
      <c r="V116" s="260"/>
      <c r="W116" s="260"/>
      <c r="X116" s="260"/>
      <c r="Y116" s="260"/>
    </row>
    <row r="117">
      <c r="A117" s="87" t="s">
        <v>672</v>
      </c>
      <c r="B117" s="40" t="s">
        <v>668</v>
      </c>
      <c r="C117" s="40" t="s">
        <v>653</v>
      </c>
      <c r="D117" s="40">
        <v>140.0</v>
      </c>
      <c r="E117" s="40">
        <v>55000.0</v>
      </c>
      <c r="F117" s="40">
        <v>55000.0</v>
      </c>
      <c r="G117" s="40" t="s">
        <v>522</v>
      </c>
      <c r="H117" s="88">
        <v>46023.0</v>
      </c>
      <c r="I117" s="269"/>
      <c r="J117" s="267" t="s">
        <v>654</v>
      </c>
      <c r="K117" s="268" t="s">
        <v>489</v>
      </c>
      <c r="L117" s="40">
        <v>6.0</v>
      </c>
      <c r="M117" s="40">
        <v>0.0</v>
      </c>
      <c r="N117" s="40" t="s">
        <v>496</v>
      </c>
      <c r="O117" s="40">
        <v>57750.0</v>
      </c>
      <c r="P117" s="266" t="s">
        <v>493</v>
      </c>
      <c r="Q117" s="260"/>
      <c r="R117" s="260"/>
      <c r="S117" s="260"/>
      <c r="T117" s="260"/>
      <c r="U117" s="260"/>
      <c r="V117" s="260"/>
      <c r="W117" s="260"/>
      <c r="X117" s="260"/>
      <c r="Y117" s="260"/>
    </row>
    <row r="118">
      <c r="A118" s="87" t="s">
        <v>674</v>
      </c>
      <c r="B118" s="40" t="s">
        <v>668</v>
      </c>
      <c r="C118" s="40" t="s">
        <v>653</v>
      </c>
      <c r="D118" s="40">
        <v>150.0</v>
      </c>
      <c r="E118" s="40">
        <v>57500.0</v>
      </c>
      <c r="F118" s="40">
        <v>57500.0</v>
      </c>
      <c r="G118" s="40" t="s">
        <v>522</v>
      </c>
      <c r="H118" s="88">
        <v>46023.0</v>
      </c>
      <c r="I118" s="269"/>
      <c r="J118" s="267" t="s">
        <v>654</v>
      </c>
      <c r="K118" s="268" t="s">
        <v>489</v>
      </c>
      <c r="L118" s="40">
        <v>9.0</v>
      </c>
      <c r="M118" s="40">
        <v>2.0</v>
      </c>
      <c r="N118" s="40" t="s">
        <v>499</v>
      </c>
      <c r="O118" s="40">
        <v>60375.0</v>
      </c>
      <c r="P118" s="266" t="s">
        <v>493</v>
      </c>
      <c r="Q118" s="260"/>
      <c r="R118" s="260"/>
      <c r="S118" s="260"/>
      <c r="T118" s="260"/>
      <c r="U118" s="260"/>
      <c r="V118" s="260"/>
      <c r="W118" s="260"/>
      <c r="X118" s="260"/>
      <c r="Y118" s="260"/>
    </row>
    <row r="119">
      <c r="A119" s="87" t="s">
        <v>675</v>
      </c>
      <c r="B119" s="40" t="s">
        <v>668</v>
      </c>
      <c r="C119" s="40" t="s">
        <v>653</v>
      </c>
      <c r="D119" s="40">
        <v>120.0</v>
      </c>
      <c r="E119" s="40">
        <v>60000.0</v>
      </c>
      <c r="F119" s="40">
        <v>60000.0</v>
      </c>
      <c r="G119" s="40" t="s">
        <v>522</v>
      </c>
      <c r="H119" s="88">
        <v>46023.0</v>
      </c>
      <c r="I119" s="269"/>
      <c r="J119" s="267" t="s">
        <v>654</v>
      </c>
      <c r="K119" s="268" t="s">
        <v>489</v>
      </c>
      <c r="L119" s="40">
        <v>0.0</v>
      </c>
      <c r="M119" s="40">
        <v>4.0</v>
      </c>
      <c r="N119" s="40" t="s">
        <v>491</v>
      </c>
      <c r="O119" s="40">
        <v>63000.0</v>
      </c>
      <c r="P119" s="266" t="s">
        <v>493</v>
      </c>
      <c r="Q119" s="260"/>
      <c r="R119" s="260"/>
      <c r="S119" s="260"/>
      <c r="T119" s="260"/>
      <c r="U119" s="260"/>
      <c r="V119" s="260"/>
      <c r="W119" s="260"/>
      <c r="X119" s="260"/>
      <c r="Y119" s="260"/>
    </row>
    <row r="120">
      <c r="A120" s="87" t="s">
        <v>676</v>
      </c>
      <c r="B120" s="40" t="s">
        <v>668</v>
      </c>
      <c r="C120" s="40" t="s">
        <v>653</v>
      </c>
      <c r="D120" s="40">
        <v>130.0</v>
      </c>
      <c r="E120" s="40">
        <v>62500.0</v>
      </c>
      <c r="F120" s="40">
        <v>62500.0</v>
      </c>
      <c r="G120" s="40" t="s">
        <v>522</v>
      </c>
      <c r="H120" s="88">
        <v>46023.0</v>
      </c>
      <c r="I120" s="269"/>
      <c r="J120" s="267" t="s">
        <v>654</v>
      </c>
      <c r="K120" s="268" t="s">
        <v>489</v>
      </c>
      <c r="L120" s="40">
        <v>3.0</v>
      </c>
      <c r="M120" s="40">
        <v>0.0</v>
      </c>
      <c r="N120" s="40" t="s">
        <v>491</v>
      </c>
      <c r="O120" s="40">
        <v>65625.0</v>
      </c>
      <c r="P120" s="266" t="s">
        <v>493</v>
      </c>
      <c r="Q120" s="260"/>
      <c r="R120" s="260"/>
      <c r="S120" s="260"/>
      <c r="T120" s="260"/>
      <c r="U120" s="260"/>
      <c r="V120" s="260"/>
      <c r="W120" s="260"/>
      <c r="X120" s="260"/>
      <c r="Y120" s="260"/>
    </row>
    <row r="121">
      <c r="A121" s="87" t="s">
        <v>677</v>
      </c>
      <c r="B121" s="40" t="s">
        <v>668</v>
      </c>
      <c r="C121" s="40" t="s">
        <v>653</v>
      </c>
      <c r="D121" s="40">
        <v>140.0</v>
      </c>
      <c r="E121" s="40">
        <v>65000.0</v>
      </c>
      <c r="F121" s="40">
        <v>65000.0</v>
      </c>
      <c r="G121" s="40" t="s">
        <v>522</v>
      </c>
      <c r="H121" s="88">
        <v>46023.0</v>
      </c>
      <c r="I121" s="269"/>
      <c r="J121" s="267" t="s">
        <v>654</v>
      </c>
      <c r="K121" s="268" t="s">
        <v>489</v>
      </c>
      <c r="L121" s="40">
        <v>6.0</v>
      </c>
      <c r="M121" s="40">
        <v>2.0</v>
      </c>
      <c r="N121" s="40" t="s">
        <v>496</v>
      </c>
      <c r="O121" s="40">
        <v>68250.0</v>
      </c>
      <c r="P121" s="266" t="s">
        <v>493</v>
      </c>
      <c r="Q121" s="260"/>
      <c r="R121" s="260"/>
      <c r="S121" s="260"/>
      <c r="T121" s="260"/>
      <c r="U121" s="260"/>
      <c r="V121" s="260"/>
      <c r="W121" s="260"/>
      <c r="X121" s="260"/>
      <c r="Y121" s="260"/>
    </row>
    <row r="122">
      <c r="A122" s="87" t="s">
        <v>678</v>
      </c>
      <c r="B122" s="40" t="s">
        <v>668</v>
      </c>
      <c r="C122" s="40" t="s">
        <v>653</v>
      </c>
      <c r="D122" s="40">
        <v>150.0</v>
      </c>
      <c r="E122" s="40">
        <v>50000.0</v>
      </c>
      <c r="F122" s="40">
        <v>50000.0</v>
      </c>
      <c r="G122" s="40" t="s">
        <v>522</v>
      </c>
      <c r="H122" s="88">
        <v>46023.0</v>
      </c>
      <c r="I122" s="269"/>
      <c r="J122" s="267" t="s">
        <v>654</v>
      </c>
      <c r="K122" s="268" t="s">
        <v>489</v>
      </c>
      <c r="L122" s="40">
        <v>9.0</v>
      </c>
      <c r="M122" s="40">
        <v>4.0</v>
      </c>
      <c r="N122" s="40" t="s">
        <v>499</v>
      </c>
      <c r="O122" s="40">
        <v>52500.0</v>
      </c>
      <c r="P122" s="266" t="s">
        <v>493</v>
      </c>
      <c r="Q122" s="260"/>
      <c r="R122" s="260"/>
      <c r="S122" s="260"/>
      <c r="T122" s="260"/>
      <c r="U122" s="260"/>
      <c r="V122" s="260"/>
      <c r="W122" s="260"/>
      <c r="X122" s="260"/>
      <c r="Y122" s="260"/>
    </row>
    <row r="123">
      <c r="A123" s="87" t="s">
        <v>681</v>
      </c>
      <c r="B123" s="40" t="s">
        <v>668</v>
      </c>
      <c r="C123" s="40" t="s">
        <v>653</v>
      </c>
      <c r="D123" s="40">
        <v>120.0</v>
      </c>
      <c r="E123" s="40">
        <v>52500.0</v>
      </c>
      <c r="F123" s="40">
        <v>52500.0</v>
      </c>
      <c r="G123" s="40" t="s">
        <v>522</v>
      </c>
      <c r="H123" s="88">
        <v>46023.0</v>
      </c>
      <c r="I123" s="269"/>
      <c r="J123" s="267" t="s">
        <v>654</v>
      </c>
      <c r="K123" s="268" t="s">
        <v>489</v>
      </c>
      <c r="L123" s="40">
        <v>0.0</v>
      </c>
      <c r="M123" s="40">
        <v>0.0</v>
      </c>
      <c r="N123" s="40" t="s">
        <v>491</v>
      </c>
      <c r="O123" s="40">
        <v>55125.0</v>
      </c>
      <c r="P123" s="266" t="s">
        <v>493</v>
      </c>
      <c r="Q123" s="260"/>
      <c r="R123" s="260"/>
      <c r="S123" s="260"/>
      <c r="T123" s="260"/>
      <c r="U123" s="260"/>
      <c r="V123" s="260"/>
      <c r="W123" s="260"/>
      <c r="X123" s="260"/>
      <c r="Y123" s="260"/>
    </row>
    <row r="124">
      <c r="A124" s="87" t="s">
        <v>682</v>
      </c>
      <c r="B124" s="40" t="s">
        <v>683</v>
      </c>
      <c r="C124" s="40" t="s">
        <v>653</v>
      </c>
      <c r="D124" s="40">
        <v>130.0</v>
      </c>
      <c r="E124" s="40">
        <v>55000.0</v>
      </c>
      <c r="F124" s="40">
        <v>55000.0</v>
      </c>
      <c r="G124" s="40" t="s">
        <v>522</v>
      </c>
      <c r="H124" s="88">
        <v>46023.0</v>
      </c>
      <c r="I124" s="269"/>
      <c r="J124" s="267" t="s">
        <v>654</v>
      </c>
      <c r="K124" s="268" t="s">
        <v>489</v>
      </c>
      <c r="L124" s="40">
        <v>3.0</v>
      </c>
      <c r="M124" s="40">
        <v>2.0</v>
      </c>
      <c r="N124" s="40" t="s">
        <v>491</v>
      </c>
      <c r="O124" s="40">
        <v>57750.0</v>
      </c>
      <c r="P124" s="266" t="s">
        <v>493</v>
      </c>
      <c r="Q124" s="260"/>
      <c r="R124" s="260"/>
      <c r="S124" s="260"/>
      <c r="T124" s="260"/>
      <c r="U124" s="260"/>
      <c r="V124" s="260"/>
      <c r="W124" s="260"/>
      <c r="X124" s="260"/>
      <c r="Y124" s="260"/>
    </row>
    <row r="125">
      <c r="A125" s="87" t="s">
        <v>684</v>
      </c>
      <c r="B125" s="40" t="s">
        <v>683</v>
      </c>
      <c r="C125" s="40" t="s">
        <v>653</v>
      </c>
      <c r="D125" s="40">
        <v>140.0</v>
      </c>
      <c r="E125" s="40">
        <v>57500.0</v>
      </c>
      <c r="F125" s="40">
        <v>57500.0</v>
      </c>
      <c r="G125" s="40" t="s">
        <v>522</v>
      </c>
      <c r="H125" s="88">
        <v>46023.0</v>
      </c>
      <c r="I125" s="269"/>
      <c r="J125" s="267" t="s">
        <v>654</v>
      </c>
      <c r="K125" s="268" t="s">
        <v>489</v>
      </c>
      <c r="L125" s="40">
        <v>6.0</v>
      </c>
      <c r="M125" s="40">
        <v>4.0</v>
      </c>
      <c r="N125" s="40" t="s">
        <v>496</v>
      </c>
      <c r="O125" s="40">
        <v>60375.0</v>
      </c>
      <c r="P125" s="266" t="s">
        <v>493</v>
      </c>
      <c r="Q125" s="260"/>
      <c r="R125" s="260"/>
      <c r="S125" s="260"/>
      <c r="T125" s="260"/>
      <c r="U125" s="260"/>
      <c r="V125" s="260"/>
      <c r="W125" s="260"/>
      <c r="X125" s="260"/>
      <c r="Y125" s="260"/>
    </row>
    <row r="126">
      <c r="A126" s="87" t="s">
        <v>685</v>
      </c>
      <c r="B126" s="40" t="s">
        <v>683</v>
      </c>
      <c r="C126" s="40" t="s">
        <v>653</v>
      </c>
      <c r="D126" s="40">
        <v>150.0</v>
      </c>
      <c r="E126" s="40">
        <v>60000.0</v>
      </c>
      <c r="F126" s="40">
        <v>60000.0</v>
      </c>
      <c r="G126" s="40" t="s">
        <v>522</v>
      </c>
      <c r="H126" s="88">
        <v>46023.0</v>
      </c>
      <c r="I126" s="269"/>
      <c r="J126" s="267" t="s">
        <v>654</v>
      </c>
      <c r="K126" s="268" t="s">
        <v>489</v>
      </c>
      <c r="L126" s="40">
        <v>9.0</v>
      </c>
      <c r="M126" s="40">
        <v>0.0</v>
      </c>
      <c r="N126" s="40" t="s">
        <v>499</v>
      </c>
      <c r="O126" s="40">
        <v>63000.0</v>
      </c>
      <c r="P126" s="266" t="s">
        <v>493</v>
      </c>
      <c r="Q126" s="260"/>
      <c r="R126" s="260"/>
      <c r="S126" s="260"/>
      <c r="T126" s="260"/>
      <c r="U126" s="260"/>
      <c r="V126" s="260"/>
      <c r="W126" s="260"/>
      <c r="X126" s="260"/>
      <c r="Y126" s="260"/>
    </row>
    <row r="127">
      <c r="A127" s="87" t="s">
        <v>686</v>
      </c>
      <c r="B127" s="40" t="s">
        <v>683</v>
      </c>
      <c r="C127" s="40" t="s">
        <v>653</v>
      </c>
      <c r="D127" s="40">
        <v>120.0</v>
      </c>
      <c r="E127" s="40">
        <v>62500.0</v>
      </c>
      <c r="F127" s="40">
        <v>62500.0</v>
      </c>
      <c r="G127" s="40" t="s">
        <v>522</v>
      </c>
      <c r="H127" s="88">
        <v>46023.0</v>
      </c>
      <c r="I127" s="269"/>
      <c r="J127" s="267" t="s">
        <v>654</v>
      </c>
      <c r="K127" s="268" t="s">
        <v>489</v>
      </c>
      <c r="L127" s="40">
        <v>0.0</v>
      </c>
      <c r="M127" s="40">
        <v>2.0</v>
      </c>
      <c r="N127" s="40" t="s">
        <v>491</v>
      </c>
      <c r="O127" s="40">
        <v>65625.0</v>
      </c>
      <c r="P127" s="266" t="s">
        <v>493</v>
      </c>
      <c r="Q127" s="260"/>
      <c r="R127" s="260"/>
      <c r="S127" s="260"/>
      <c r="T127" s="260"/>
      <c r="U127" s="260"/>
      <c r="V127" s="260"/>
      <c r="W127" s="260"/>
      <c r="X127" s="260"/>
      <c r="Y127" s="260"/>
    </row>
    <row r="128">
      <c r="A128" s="87" t="s">
        <v>689</v>
      </c>
      <c r="B128" s="40" t="s">
        <v>683</v>
      </c>
      <c r="C128" s="40" t="s">
        <v>653</v>
      </c>
      <c r="D128" s="40">
        <v>130.0</v>
      </c>
      <c r="E128" s="40">
        <v>65000.0</v>
      </c>
      <c r="F128" s="40">
        <v>65000.0</v>
      </c>
      <c r="G128" s="40" t="s">
        <v>522</v>
      </c>
      <c r="H128" s="88">
        <v>46023.0</v>
      </c>
      <c r="I128" s="269"/>
      <c r="J128" s="267" t="s">
        <v>654</v>
      </c>
      <c r="K128" s="268" t="s">
        <v>489</v>
      </c>
      <c r="L128" s="40">
        <v>3.0</v>
      </c>
      <c r="M128" s="40">
        <v>4.0</v>
      </c>
      <c r="N128" s="40" t="s">
        <v>491</v>
      </c>
      <c r="O128" s="40">
        <v>68250.0</v>
      </c>
      <c r="P128" s="266" t="s">
        <v>493</v>
      </c>
      <c r="Q128" s="260"/>
      <c r="R128" s="260"/>
      <c r="S128" s="260"/>
      <c r="T128" s="260"/>
      <c r="U128" s="260"/>
      <c r="V128" s="260"/>
      <c r="W128" s="260"/>
      <c r="X128" s="260"/>
      <c r="Y128" s="260"/>
    </row>
    <row r="129">
      <c r="A129" s="87" t="s">
        <v>690</v>
      </c>
      <c r="B129" s="40" t="s">
        <v>683</v>
      </c>
      <c r="C129" s="40" t="s">
        <v>653</v>
      </c>
      <c r="D129" s="40">
        <v>140.0</v>
      </c>
      <c r="E129" s="40">
        <v>50000.0</v>
      </c>
      <c r="F129" s="40">
        <v>50000.0</v>
      </c>
      <c r="G129" s="40" t="s">
        <v>522</v>
      </c>
      <c r="H129" s="88">
        <v>46023.0</v>
      </c>
      <c r="I129" s="269"/>
      <c r="J129" s="267" t="s">
        <v>654</v>
      </c>
      <c r="K129" s="268" t="s">
        <v>489</v>
      </c>
      <c r="L129" s="40">
        <v>6.0</v>
      </c>
      <c r="M129" s="40">
        <v>0.0</v>
      </c>
      <c r="N129" s="40" t="s">
        <v>496</v>
      </c>
      <c r="O129" s="40">
        <v>52500.0</v>
      </c>
      <c r="P129" s="266" t="s">
        <v>493</v>
      </c>
      <c r="Q129" s="260"/>
      <c r="R129" s="260"/>
      <c r="S129" s="260"/>
      <c r="T129" s="260"/>
      <c r="U129" s="260"/>
      <c r="V129" s="260"/>
      <c r="W129" s="260"/>
      <c r="X129" s="260"/>
      <c r="Y129" s="260"/>
    </row>
    <row r="130">
      <c r="A130" s="87" t="s">
        <v>691</v>
      </c>
      <c r="B130" s="40" t="s">
        <v>683</v>
      </c>
      <c r="C130" s="40" t="s">
        <v>653</v>
      </c>
      <c r="D130" s="40">
        <v>150.0</v>
      </c>
      <c r="E130" s="40">
        <v>52500.0</v>
      </c>
      <c r="F130" s="40">
        <v>52500.0</v>
      </c>
      <c r="G130" s="40" t="s">
        <v>522</v>
      </c>
      <c r="H130" s="88">
        <v>46023.0</v>
      </c>
      <c r="I130" s="269"/>
      <c r="J130" s="267" t="s">
        <v>654</v>
      </c>
      <c r="K130" s="268" t="s">
        <v>489</v>
      </c>
      <c r="L130" s="40">
        <v>9.0</v>
      </c>
      <c r="M130" s="40">
        <v>2.0</v>
      </c>
      <c r="N130" s="40" t="s">
        <v>499</v>
      </c>
      <c r="O130" s="40">
        <v>55125.0</v>
      </c>
      <c r="P130" s="266" t="s">
        <v>493</v>
      </c>
      <c r="Q130" s="260"/>
      <c r="R130" s="260"/>
      <c r="S130" s="260"/>
      <c r="T130" s="260"/>
      <c r="U130" s="260"/>
      <c r="V130" s="260"/>
      <c r="W130" s="260"/>
      <c r="X130" s="260"/>
      <c r="Y130" s="260"/>
    </row>
    <row r="131">
      <c r="A131" s="87" t="s">
        <v>692</v>
      </c>
      <c r="B131" s="40" t="s">
        <v>683</v>
      </c>
      <c r="C131" s="40" t="s">
        <v>653</v>
      </c>
      <c r="D131" s="40">
        <v>120.0</v>
      </c>
      <c r="E131" s="40">
        <v>55000.0</v>
      </c>
      <c r="F131" s="40">
        <v>55000.0</v>
      </c>
      <c r="G131" s="40" t="s">
        <v>522</v>
      </c>
      <c r="H131" s="88">
        <v>46023.0</v>
      </c>
      <c r="I131" s="269"/>
      <c r="J131" s="267" t="s">
        <v>654</v>
      </c>
      <c r="K131" s="268" t="s">
        <v>489</v>
      </c>
      <c r="L131" s="40">
        <v>0.0</v>
      </c>
      <c r="M131" s="40">
        <v>4.0</v>
      </c>
      <c r="N131" s="40" t="s">
        <v>491</v>
      </c>
      <c r="O131" s="40">
        <v>57750.0</v>
      </c>
      <c r="P131" s="266" t="s">
        <v>493</v>
      </c>
      <c r="Q131" s="260"/>
      <c r="R131" s="260"/>
      <c r="S131" s="260"/>
      <c r="T131" s="260"/>
      <c r="U131" s="260"/>
      <c r="V131" s="260"/>
      <c r="W131" s="260"/>
      <c r="X131" s="260"/>
      <c r="Y131" s="260"/>
    </row>
    <row r="132">
      <c r="A132" s="87" t="s">
        <v>719</v>
      </c>
      <c r="B132" s="40" t="s">
        <v>683</v>
      </c>
      <c r="C132" s="40" t="s">
        <v>653</v>
      </c>
      <c r="D132" s="40">
        <v>130.0</v>
      </c>
      <c r="E132" s="40">
        <v>57500.0</v>
      </c>
      <c r="F132" s="40">
        <v>57500.0</v>
      </c>
      <c r="G132" s="40" t="s">
        <v>522</v>
      </c>
      <c r="H132" s="88">
        <v>46023.0</v>
      </c>
      <c r="I132" s="269"/>
      <c r="J132" s="267" t="s">
        <v>654</v>
      </c>
      <c r="K132" s="268" t="s">
        <v>489</v>
      </c>
      <c r="L132" s="40">
        <v>3.0</v>
      </c>
      <c r="M132" s="40">
        <v>0.0</v>
      </c>
      <c r="N132" s="40" t="s">
        <v>491</v>
      </c>
      <c r="O132" s="40">
        <v>60375.0</v>
      </c>
      <c r="P132" s="266" t="s">
        <v>493</v>
      </c>
      <c r="Q132" s="260"/>
      <c r="R132" s="260"/>
      <c r="S132" s="260"/>
      <c r="T132" s="260"/>
      <c r="U132" s="260"/>
      <c r="V132" s="260"/>
      <c r="W132" s="260"/>
      <c r="X132" s="260"/>
      <c r="Y132" s="260"/>
    </row>
    <row r="133">
      <c r="A133" s="87" t="s">
        <v>720</v>
      </c>
      <c r="B133" s="40" t="s">
        <v>683</v>
      </c>
      <c r="C133" s="40" t="s">
        <v>653</v>
      </c>
      <c r="D133" s="40">
        <v>140.0</v>
      </c>
      <c r="E133" s="40">
        <v>60000.0</v>
      </c>
      <c r="F133" s="40">
        <v>60000.0</v>
      </c>
      <c r="G133" s="40" t="s">
        <v>522</v>
      </c>
      <c r="H133" s="88">
        <v>46023.0</v>
      </c>
      <c r="I133" s="269"/>
      <c r="J133" s="267" t="s">
        <v>654</v>
      </c>
      <c r="K133" s="268" t="s">
        <v>489</v>
      </c>
      <c r="L133" s="40">
        <v>6.0</v>
      </c>
      <c r="M133" s="40">
        <v>2.0</v>
      </c>
      <c r="N133" s="40" t="s">
        <v>496</v>
      </c>
      <c r="O133" s="40">
        <v>63000.0</v>
      </c>
      <c r="P133" s="266" t="s">
        <v>493</v>
      </c>
      <c r="Q133" s="260"/>
      <c r="R133" s="260"/>
      <c r="S133" s="260"/>
      <c r="T133" s="260"/>
      <c r="U133" s="260"/>
      <c r="V133" s="260"/>
      <c r="W133" s="260"/>
      <c r="X133" s="260"/>
      <c r="Y133" s="260"/>
    </row>
    <row r="134">
      <c r="A134" s="87" t="s">
        <v>721</v>
      </c>
      <c r="B134" s="40" t="s">
        <v>723</v>
      </c>
      <c r="C134" s="40" t="s">
        <v>653</v>
      </c>
      <c r="D134" s="40">
        <v>150.0</v>
      </c>
      <c r="E134" s="40">
        <v>62500.0</v>
      </c>
      <c r="F134" s="40">
        <v>62500.0</v>
      </c>
      <c r="G134" s="40" t="s">
        <v>522</v>
      </c>
      <c r="H134" s="88">
        <v>46023.0</v>
      </c>
      <c r="I134" s="269"/>
      <c r="J134" s="267" t="s">
        <v>654</v>
      </c>
      <c r="K134" s="268" t="s">
        <v>489</v>
      </c>
      <c r="L134" s="40">
        <v>9.0</v>
      </c>
      <c r="M134" s="40">
        <v>4.0</v>
      </c>
      <c r="N134" s="40" t="s">
        <v>499</v>
      </c>
      <c r="O134" s="40">
        <v>65625.0</v>
      </c>
      <c r="P134" s="266" t="s">
        <v>493</v>
      </c>
      <c r="Q134" s="260"/>
      <c r="R134" s="260"/>
      <c r="S134" s="260"/>
      <c r="T134" s="260"/>
      <c r="U134" s="260"/>
      <c r="V134" s="260"/>
      <c r="W134" s="260"/>
      <c r="X134" s="260"/>
      <c r="Y134" s="260"/>
    </row>
    <row r="135">
      <c r="A135" s="87" t="s">
        <v>725</v>
      </c>
      <c r="B135" s="40" t="s">
        <v>723</v>
      </c>
      <c r="C135" s="40" t="s">
        <v>653</v>
      </c>
      <c r="D135" s="40">
        <v>120.0</v>
      </c>
      <c r="E135" s="40">
        <v>65000.0</v>
      </c>
      <c r="F135" s="40">
        <v>65000.0</v>
      </c>
      <c r="G135" s="40" t="s">
        <v>522</v>
      </c>
      <c r="H135" s="88">
        <v>46023.0</v>
      </c>
      <c r="I135" s="269"/>
      <c r="J135" s="267" t="s">
        <v>654</v>
      </c>
      <c r="K135" s="268" t="s">
        <v>489</v>
      </c>
      <c r="L135" s="40">
        <v>0.0</v>
      </c>
      <c r="M135" s="40">
        <v>0.0</v>
      </c>
      <c r="N135" s="40" t="s">
        <v>491</v>
      </c>
      <c r="O135" s="40">
        <v>68250.0</v>
      </c>
      <c r="P135" s="266" t="s">
        <v>493</v>
      </c>
      <c r="Q135" s="260"/>
      <c r="R135" s="260"/>
      <c r="S135" s="260"/>
      <c r="T135" s="260"/>
      <c r="U135" s="260"/>
      <c r="V135" s="260"/>
      <c r="W135" s="260"/>
      <c r="X135" s="260"/>
      <c r="Y135" s="260"/>
    </row>
    <row r="136">
      <c r="A136" s="87" t="s">
        <v>726</v>
      </c>
      <c r="B136" s="40" t="s">
        <v>723</v>
      </c>
      <c r="C136" s="40" t="s">
        <v>653</v>
      </c>
      <c r="D136" s="40">
        <v>130.0</v>
      </c>
      <c r="E136" s="40">
        <v>50000.0</v>
      </c>
      <c r="F136" s="40">
        <v>50000.0</v>
      </c>
      <c r="G136" s="40" t="s">
        <v>522</v>
      </c>
      <c r="H136" s="88">
        <v>46023.0</v>
      </c>
      <c r="I136" s="269"/>
      <c r="J136" s="267" t="s">
        <v>654</v>
      </c>
      <c r="K136" s="268" t="s">
        <v>489</v>
      </c>
      <c r="L136" s="40">
        <v>3.0</v>
      </c>
      <c r="M136" s="40">
        <v>2.0</v>
      </c>
      <c r="N136" s="40" t="s">
        <v>491</v>
      </c>
      <c r="O136" s="40">
        <v>52500.0</v>
      </c>
      <c r="P136" s="266" t="s">
        <v>493</v>
      </c>
      <c r="Q136" s="260"/>
      <c r="R136" s="260"/>
      <c r="S136" s="260"/>
      <c r="T136" s="260"/>
      <c r="U136" s="260"/>
      <c r="V136" s="260"/>
      <c r="W136" s="260"/>
      <c r="X136" s="260"/>
      <c r="Y136" s="260"/>
    </row>
    <row r="137">
      <c r="A137" s="87" t="s">
        <v>727</v>
      </c>
      <c r="B137" s="40" t="s">
        <v>723</v>
      </c>
      <c r="C137" s="40" t="s">
        <v>653</v>
      </c>
      <c r="D137" s="40">
        <v>140.0</v>
      </c>
      <c r="E137" s="40">
        <v>52500.0</v>
      </c>
      <c r="F137" s="40">
        <v>52500.0</v>
      </c>
      <c r="G137" s="40" t="s">
        <v>522</v>
      </c>
      <c r="H137" s="88">
        <v>46023.0</v>
      </c>
      <c r="I137" s="269"/>
      <c r="J137" s="267" t="s">
        <v>654</v>
      </c>
      <c r="K137" s="268" t="s">
        <v>489</v>
      </c>
      <c r="L137" s="40">
        <v>6.0</v>
      </c>
      <c r="M137" s="40">
        <v>4.0</v>
      </c>
      <c r="N137" s="40" t="s">
        <v>496</v>
      </c>
      <c r="O137" s="40">
        <v>55125.0</v>
      </c>
      <c r="P137" s="266" t="s">
        <v>493</v>
      </c>
      <c r="Q137" s="260"/>
      <c r="R137" s="260"/>
      <c r="S137" s="260"/>
      <c r="T137" s="260"/>
      <c r="U137" s="260"/>
      <c r="V137" s="260"/>
      <c r="W137" s="260"/>
      <c r="X137" s="260"/>
      <c r="Y137" s="260"/>
    </row>
    <row r="138">
      <c r="A138" s="87" t="s">
        <v>728</v>
      </c>
      <c r="B138" s="40" t="s">
        <v>723</v>
      </c>
      <c r="C138" s="40" t="s">
        <v>653</v>
      </c>
      <c r="D138" s="40">
        <v>150.0</v>
      </c>
      <c r="E138" s="40">
        <v>55000.0</v>
      </c>
      <c r="F138" s="40">
        <v>55000.0</v>
      </c>
      <c r="G138" s="40" t="s">
        <v>522</v>
      </c>
      <c r="H138" s="88">
        <v>46023.0</v>
      </c>
      <c r="I138" s="269"/>
      <c r="J138" s="267" t="s">
        <v>654</v>
      </c>
      <c r="K138" s="268" t="s">
        <v>489</v>
      </c>
      <c r="L138" s="40">
        <v>9.0</v>
      </c>
      <c r="M138" s="40">
        <v>0.0</v>
      </c>
      <c r="N138" s="40" t="s">
        <v>499</v>
      </c>
      <c r="O138" s="40">
        <v>57750.0</v>
      </c>
      <c r="P138" s="266" t="s">
        <v>493</v>
      </c>
      <c r="Q138" s="260"/>
      <c r="R138" s="260"/>
      <c r="S138" s="260"/>
      <c r="T138" s="260"/>
      <c r="U138" s="260"/>
      <c r="V138" s="260"/>
      <c r="W138" s="260"/>
      <c r="X138" s="260"/>
      <c r="Y138" s="260"/>
    </row>
    <row r="139">
      <c r="A139" s="87" t="s">
        <v>730</v>
      </c>
      <c r="B139" s="40" t="s">
        <v>723</v>
      </c>
      <c r="C139" s="40" t="s">
        <v>653</v>
      </c>
      <c r="D139" s="40">
        <v>120.0</v>
      </c>
      <c r="E139" s="40">
        <v>57500.0</v>
      </c>
      <c r="F139" s="40">
        <v>57500.0</v>
      </c>
      <c r="G139" s="40" t="s">
        <v>522</v>
      </c>
      <c r="H139" s="88">
        <v>46023.0</v>
      </c>
      <c r="I139" s="269"/>
      <c r="J139" s="267" t="s">
        <v>654</v>
      </c>
      <c r="K139" s="268" t="s">
        <v>489</v>
      </c>
      <c r="L139" s="40">
        <v>0.0</v>
      </c>
      <c r="M139" s="40">
        <v>2.0</v>
      </c>
      <c r="N139" s="40" t="s">
        <v>491</v>
      </c>
      <c r="O139" s="40">
        <v>60375.0</v>
      </c>
      <c r="P139" s="266" t="s">
        <v>493</v>
      </c>
      <c r="Q139" s="260"/>
      <c r="R139" s="260"/>
      <c r="S139" s="260"/>
      <c r="T139" s="260"/>
      <c r="U139" s="260"/>
      <c r="V139" s="260"/>
      <c r="W139" s="260"/>
      <c r="X139" s="260"/>
      <c r="Y139" s="260"/>
    </row>
    <row r="140">
      <c r="A140" s="87" t="s">
        <v>732</v>
      </c>
      <c r="B140" s="40" t="s">
        <v>723</v>
      </c>
      <c r="C140" s="40" t="s">
        <v>653</v>
      </c>
      <c r="D140" s="40">
        <v>130.0</v>
      </c>
      <c r="E140" s="40">
        <v>60000.0</v>
      </c>
      <c r="F140" s="40">
        <v>60000.0</v>
      </c>
      <c r="G140" s="40" t="s">
        <v>522</v>
      </c>
      <c r="H140" s="88">
        <v>46023.0</v>
      </c>
      <c r="I140" s="269"/>
      <c r="J140" s="267" t="s">
        <v>654</v>
      </c>
      <c r="K140" s="268" t="s">
        <v>489</v>
      </c>
      <c r="L140" s="40">
        <v>3.0</v>
      </c>
      <c r="M140" s="40">
        <v>4.0</v>
      </c>
      <c r="N140" s="40" t="s">
        <v>491</v>
      </c>
      <c r="O140" s="40">
        <v>63000.0</v>
      </c>
      <c r="P140" s="266" t="s">
        <v>493</v>
      </c>
      <c r="Q140" s="260"/>
      <c r="R140" s="260"/>
      <c r="S140" s="260"/>
      <c r="T140" s="260"/>
      <c r="U140" s="260"/>
      <c r="V140" s="260"/>
      <c r="W140" s="260"/>
      <c r="X140" s="260"/>
      <c r="Y140" s="260"/>
    </row>
    <row r="141">
      <c r="A141" s="87" t="s">
        <v>733</v>
      </c>
      <c r="B141" s="40" t="s">
        <v>723</v>
      </c>
      <c r="C141" s="40" t="s">
        <v>653</v>
      </c>
      <c r="D141" s="40">
        <v>140.0</v>
      </c>
      <c r="E141" s="40">
        <v>62500.0</v>
      </c>
      <c r="F141" s="40">
        <v>62500.0</v>
      </c>
      <c r="G141" s="40" t="s">
        <v>522</v>
      </c>
      <c r="H141" s="88">
        <v>46023.0</v>
      </c>
      <c r="I141" s="269"/>
      <c r="J141" s="267" t="s">
        <v>654</v>
      </c>
      <c r="K141" s="268" t="s">
        <v>489</v>
      </c>
      <c r="L141" s="40">
        <v>6.0</v>
      </c>
      <c r="M141" s="40">
        <v>0.0</v>
      </c>
      <c r="N141" s="40" t="s">
        <v>496</v>
      </c>
      <c r="O141" s="40">
        <v>65625.0</v>
      </c>
      <c r="P141" s="266" t="s">
        <v>493</v>
      </c>
      <c r="Q141" s="260"/>
      <c r="R141" s="260"/>
      <c r="S141" s="260"/>
      <c r="T141" s="260"/>
      <c r="U141" s="260"/>
      <c r="V141" s="260"/>
      <c r="W141" s="260"/>
      <c r="X141" s="260"/>
      <c r="Y141" s="260"/>
    </row>
    <row r="142">
      <c r="A142" s="87" t="s">
        <v>734</v>
      </c>
      <c r="B142" s="40" t="s">
        <v>723</v>
      </c>
      <c r="C142" s="40" t="s">
        <v>653</v>
      </c>
      <c r="D142" s="40">
        <v>150.0</v>
      </c>
      <c r="E142" s="40">
        <v>65000.0</v>
      </c>
      <c r="F142" s="40">
        <v>65000.0</v>
      </c>
      <c r="G142" s="40" t="s">
        <v>522</v>
      </c>
      <c r="H142" s="88">
        <v>46023.0</v>
      </c>
      <c r="I142" s="269"/>
      <c r="J142" s="267" t="s">
        <v>654</v>
      </c>
      <c r="K142" s="268" t="s">
        <v>489</v>
      </c>
      <c r="L142" s="40">
        <v>9.0</v>
      </c>
      <c r="M142" s="40">
        <v>2.0</v>
      </c>
      <c r="N142" s="40" t="s">
        <v>499</v>
      </c>
      <c r="O142" s="40">
        <v>68250.0</v>
      </c>
      <c r="P142" s="266" t="s">
        <v>493</v>
      </c>
      <c r="Q142" s="260"/>
      <c r="R142" s="260"/>
      <c r="S142" s="260"/>
      <c r="T142" s="260"/>
      <c r="U142" s="260"/>
      <c r="V142" s="260"/>
      <c r="W142" s="260"/>
      <c r="X142" s="260"/>
      <c r="Y142" s="260"/>
    </row>
    <row r="143">
      <c r="A143" s="87" t="s">
        <v>735</v>
      </c>
      <c r="B143" s="40" t="s">
        <v>723</v>
      </c>
      <c r="C143" s="40" t="s">
        <v>653</v>
      </c>
      <c r="D143" s="40">
        <v>120.0</v>
      </c>
      <c r="E143" s="40">
        <v>50000.0</v>
      </c>
      <c r="F143" s="40">
        <v>50000.0</v>
      </c>
      <c r="G143" s="40" t="s">
        <v>522</v>
      </c>
      <c r="H143" s="88">
        <v>46023.0</v>
      </c>
      <c r="I143" s="269"/>
      <c r="J143" s="267" t="s">
        <v>654</v>
      </c>
      <c r="K143" s="268" t="s">
        <v>489</v>
      </c>
      <c r="L143" s="40">
        <v>0.0</v>
      </c>
      <c r="M143" s="40">
        <v>4.0</v>
      </c>
      <c r="N143" s="40" t="s">
        <v>491</v>
      </c>
      <c r="O143" s="40">
        <v>52500.0</v>
      </c>
      <c r="P143" s="266" t="s">
        <v>493</v>
      </c>
      <c r="Q143" s="260"/>
      <c r="R143" s="260"/>
      <c r="S143" s="260"/>
      <c r="T143" s="260"/>
      <c r="U143" s="260"/>
      <c r="V143" s="260"/>
      <c r="W143" s="260"/>
      <c r="X143" s="260"/>
      <c r="Y143" s="260"/>
    </row>
    <row r="144">
      <c r="A144" s="87" t="s">
        <v>736</v>
      </c>
      <c r="B144" s="40" t="s">
        <v>737</v>
      </c>
      <c r="C144" s="40" t="s">
        <v>653</v>
      </c>
      <c r="D144" s="40">
        <v>130.0</v>
      </c>
      <c r="E144" s="40">
        <v>52500.0</v>
      </c>
      <c r="F144" s="40">
        <v>52500.0</v>
      </c>
      <c r="G144" s="40" t="s">
        <v>522</v>
      </c>
      <c r="H144" s="88">
        <v>46023.0</v>
      </c>
      <c r="I144" s="269"/>
      <c r="J144" s="267" t="s">
        <v>654</v>
      </c>
      <c r="K144" s="268" t="s">
        <v>489</v>
      </c>
      <c r="L144" s="40">
        <v>3.0</v>
      </c>
      <c r="M144" s="40">
        <v>0.0</v>
      </c>
      <c r="N144" s="40" t="s">
        <v>491</v>
      </c>
      <c r="O144" s="40">
        <v>55125.0</v>
      </c>
      <c r="P144" s="266" t="s">
        <v>493</v>
      </c>
      <c r="Q144" s="260"/>
      <c r="R144" s="260"/>
      <c r="S144" s="260"/>
      <c r="T144" s="260"/>
      <c r="U144" s="260"/>
      <c r="V144" s="260"/>
      <c r="W144" s="260"/>
      <c r="X144" s="260"/>
      <c r="Y144" s="260"/>
    </row>
    <row r="145">
      <c r="A145" s="87" t="s">
        <v>739</v>
      </c>
      <c r="B145" s="40" t="s">
        <v>737</v>
      </c>
      <c r="C145" s="40" t="s">
        <v>653</v>
      </c>
      <c r="D145" s="40">
        <v>140.0</v>
      </c>
      <c r="E145" s="40">
        <v>55000.0</v>
      </c>
      <c r="F145" s="40">
        <v>55000.0</v>
      </c>
      <c r="G145" s="40" t="s">
        <v>522</v>
      </c>
      <c r="H145" s="88">
        <v>46023.0</v>
      </c>
      <c r="I145" s="269"/>
      <c r="J145" s="267" t="s">
        <v>654</v>
      </c>
      <c r="K145" s="268" t="s">
        <v>489</v>
      </c>
      <c r="L145" s="40">
        <v>6.0</v>
      </c>
      <c r="M145" s="40">
        <v>2.0</v>
      </c>
      <c r="N145" s="40" t="s">
        <v>496</v>
      </c>
      <c r="O145" s="40">
        <v>57750.0</v>
      </c>
      <c r="P145" s="266" t="s">
        <v>493</v>
      </c>
      <c r="Q145" s="260"/>
      <c r="R145" s="260"/>
      <c r="S145" s="260"/>
      <c r="T145" s="260"/>
      <c r="U145" s="260"/>
      <c r="V145" s="260"/>
      <c r="W145" s="260"/>
      <c r="X145" s="260"/>
      <c r="Y145" s="260"/>
    </row>
    <row r="146">
      <c r="A146" s="87" t="s">
        <v>740</v>
      </c>
      <c r="B146" s="40" t="s">
        <v>737</v>
      </c>
      <c r="C146" s="40" t="s">
        <v>653</v>
      </c>
      <c r="D146" s="40">
        <v>150.0</v>
      </c>
      <c r="E146" s="40">
        <v>57500.0</v>
      </c>
      <c r="F146" s="40">
        <v>57500.0</v>
      </c>
      <c r="G146" s="40" t="s">
        <v>522</v>
      </c>
      <c r="H146" s="88">
        <v>46023.0</v>
      </c>
      <c r="I146" s="269"/>
      <c r="J146" s="267" t="s">
        <v>654</v>
      </c>
      <c r="K146" s="268" t="s">
        <v>489</v>
      </c>
      <c r="L146" s="40">
        <v>9.0</v>
      </c>
      <c r="M146" s="40">
        <v>4.0</v>
      </c>
      <c r="N146" s="40" t="s">
        <v>499</v>
      </c>
      <c r="O146" s="40">
        <v>60375.0</v>
      </c>
      <c r="P146" s="266" t="s">
        <v>493</v>
      </c>
      <c r="Q146" s="260"/>
      <c r="R146" s="260"/>
      <c r="S146" s="260"/>
      <c r="T146" s="260"/>
      <c r="U146" s="260"/>
      <c r="V146" s="260"/>
      <c r="W146" s="260"/>
      <c r="X146" s="260"/>
      <c r="Y146" s="260"/>
    </row>
    <row r="147">
      <c r="A147" s="87" t="s">
        <v>741</v>
      </c>
      <c r="B147" s="40" t="s">
        <v>737</v>
      </c>
      <c r="C147" s="40" t="s">
        <v>653</v>
      </c>
      <c r="D147" s="40">
        <v>120.0</v>
      </c>
      <c r="E147" s="40">
        <v>60000.0</v>
      </c>
      <c r="F147" s="40">
        <v>60000.0</v>
      </c>
      <c r="G147" s="40" t="s">
        <v>522</v>
      </c>
      <c r="H147" s="88">
        <v>46023.0</v>
      </c>
      <c r="I147" s="269"/>
      <c r="J147" s="267" t="s">
        <v>654</v>
      </c>
      <c r="K147" s="268" t="s">
        <v>489</v>
      </c>
      <c r="L147" s="40">
        <v>0.0</v>
      </c>
      <c r="M147" s="40">
        <v>0.0</v>
      </c>
      <c r="N147" s="40" t="s">
        <v>491</v>
      </c>
      <c r="O147" s="40">
        <v>63000.0</v>
      </c>
      <c r="P147" s="266" t="s">
        <v>493</v>
      </c>
      <c r="Q147" s="260"/>
      <c r="R147" s="260"/>
      <c r="S147" s="260"/>
      <c r="T147" s="260"/>
      <c r="U147" s="260"/>
      <c r="V147" s="260"/>
      <c r="W147" s="260"/>
      <c r="X147" s="260"/>
      <c r="Y147" s="260"/>
    </row>
    <row r="148">
      <c r="A148" s="87" t="s">
        <v>742</v>
      </c>
      <c r="B148" s="40" t="s">
        <v>737</v>
      </c>
      <c r="C148" s="40" t="s">
        <v>653</v>
      </c>
      <c r="D148" s="40">
        <v>130.0</v>
      </c>
      <c r="E148" s="40">
        <v>62500.0</v>
      </c>
      <c r="F148" s="40">
        <v>62500.0</v>
      </c>
      <c r="G148" s="40" t="s">
        <v>522</v>
      </c>
      <c r="H148" s="88">
        <v>46023.0</v>
      </c>
      <c r="I148" s="269"/>
      <c r="J148" s="267" t="s">
        <v>654</v>
      </c>
      <c r="K148" s="268" t="s">
        <v>489</v>
      </c>
      <c r="L148" s="40">
        <v>3.0</v>
      </c>
      <c r="M148" s="40">
        <v>2.0</v>
      </c>
      <c r="N148" s="40" t="s">
        <v>491</v>
      </c>
      <c r="O148" s="40">
        <v>65625.0</v>
      </c>
      <c r="P148" s="266" t="s">
        <v>493</v>
      </c>
      <c r="Q148" s="260"/>
      <c r="R148" s="260"/>
      <c r="S148" s="260"/>
      <c r="T148" s="260"/>
      <c r="U148" s="260"/>
      <c r="V148" s="260"/>
      <c r="W148" s="260"/>
      <c r="X148" s="260"/>
      <c r="Y148" s="260"/>
    </row>
    <row r="149">
      <c r="A149" s="87" t="s">
        <v>744</v>
      </c>
      <c r="B149" s="40" t="s">
        <v>737</v>
      </c>
      <c r="C149" s="40" t="s">
        <v>653</v>
      </c>
      <c r="D149" s="40">
        <v>140.0</v>
      </c>
      <c r="E149" s="40">
        <v>65000.0</v>
      </c>
      <c r="F149" s="40">
        <v>65000.0</v>
      </c>
      <c r="G149" s="40" t="s">
        <v>522</v>
      </c>
      <c r="H149" s="88">
        <v>46023.0</v>
      </c>
      <c r="I149" s="269"/>
      <c r="J149" s="267" t="s">
        <v>654</v>
      </c>
      <c r="K149" s="268" t="s">
        <v>489</v>
      </c>
      <c r="L149" s="40">
        <v>6.0</v>
      </c>
      <c r="M149" s="40">
        <v>4.0</v>
      </c>
      <c r="N149" s="40" t="s">
        <v>496</v>
      </c>
      <c r="O149" s="40">
        <v>68250.0</v>
      </c>
      <c r="P149" s="266" t="s">
        <v>493</v>
      </c>
      <c r="Q149" s="260"/>
      <c r="R149" s="260"/>
      <c r="S149" s="260"/>
      <c r="T149" s="260"/>
      <c r="U149" s="260"/>
      <c r="V149" s="260"/>
      <c r="W149" s="260"/>
      <c r="X149" s="260"/>
      <c r="Y149" s="260"/>
    </row>
    <row r="150">
      <c r="A150" s="87" t="s">
        <v>745</v>
      </c>
      <c r="B150" s="40" t="s">
        <v>737</v>
      </c>
      <c r="C150" s="40" t="s">
        <v>653</v>
      </c>
      <c r="D150" s="40">
        <v>150.0</v>
      </c>
      <c r="E150" s="40">
        <v>50000.0</v>
      </c>
      <c r="F150" s="40">
        <v>50000.0</v>
      </c>
      <c r="G150" s="40" t="s">
        <v>522</v>
      </c>
      <c r="H150" s="88">
        <v>46023.0</v>
      </c>
      <c r="I150" s="269"/>
      <c r="J150" s="267" t="s">
        <v>654</v>
      </c>
      <c r="K150" s="268" t="s">
        <v>489</v>
      </c>
      <c r="L150" s="40">
        <v>9.0</v>
      </c>
      <c r="M150" s="40">
        <v>0.0</v>
      </c>
      <c r="N150" s="40" t="s">
        <v>499</v>
      </c>
      <c r="O150" s="40">
        <v>52500.0</v>
      </c>
      <c r="P150" s="266" t="s">
        <v>493</v>
      </c>
      <c r="Q150" s="260"/>
      <c r="R150" s="260"/>
      <c r="S150" s="260"/>
      <c r="T150" s="260"/>
      <c r="U150" s="260"/>
      <c r="V150" s="260"/>
      <c r="W150" s="260"/>
      <c r="X150" s="260"/>
      <c r="Y150" s="260"/>
    </row>
    <row r="151">
      <c r="A151" s="87" t="s">
        <v>746</v>
      </c>
      <c r="B151" s="40" t="s">
        <v>737</v>
      </c>
      <c r="C151" s="40" t="s">
        <v>653</v>
      </c>
      <c r="D151" s="40">
        <v>120.0</v>
      </c>
      <c r="E151" s="40">
        <v>52500.0</v>
      </c>
      <c r="F151" s="40">
        <v>52500.0</v>
      </c>
      <c r="G151" s="40" t="s">
        <v>522</v>
      </c>
      <c r="H151" s="88">
        <v>46023.0</v>
      </c>
      <c r="I151" s="269"/>
      <c r="J151" s="267" t="s">
        <v>654</v>
      </c>
      <c r="K151" s="268" t="s">
        <v>489</v>
      </c>
      <c r="L151" s="40">
        <v>0.0</v>
      </c>
      <c r="M151" s="40">
        <v>2.0</v>
      </c>
      <c r="N151" s="40" t="s">
        <v>491</v>
      </c>
      <c r="O151" s="40">
        <v>55125.0</v>
      </c>
      <c r="P151" s="266" t="s">
        <v>493</v>
      </c>
      <c r="Q151" s="260"/>
      <c r="R151" s="260"/>
      <c r="S151" s="260"/>
      <c r="T151" s="260"/>
      <c r="U151" s="260"/>
      <c r="V151" s="260"/>
      <c r="W151" s="260"/>
      <c r="X151" s="260"/>
      <c r="Y151" s="260"/>
    </row>
    <row r="152">
      <c r="A152" s="87" t="s">
        <v>747</v>
      </c>
      <c r="B152" s="40" t="s">
        <v>737</v>
      </c>
      <c r="C152" s="40" t="s">
        <v>653</v>
      </c>
      <c r="D152" s="40">
        <v>130.0</v>
      </c>
      <c r="E152" s="40">
        <v>55000.0</v>
      </c>
      <c r="F152" s="40">
        <v>55000.0</v>
      </c>
      <c r="G152" s="40" t="s">
        <v>522</v>
      </c>
      <c r="H152" s="88">
        <v>46023.0</v>
      </c>
      <c r="I152" s="269"/>
      <c r="J152" s="267" t="s">
        <v>654</v>
      </c>
      <c r="K152" s="268" t="s">
        <v>489</v>
      </c>
      <c r="L152" s="40">
        <v>3.0</v>
      </c>
      <c r="M152" s="40">
        <v>4.0</v>
      </c>
      <c r="N152" s="40" t="s">
        <v>491</v>
      </c>
      <c r="O152" s="40">
        <v>57750.0</v>
      </c>
      <c r="P152" s="266" t="s">
        <v>493</v>
      </c>
      <c r="Q152" s="260"/>
      <c r="R152" s="260"/>
      <c r="S152" s="260"/>
      <c r="T152" s="260"/>
      <c r="U152" s="260"/>
      <c r="V152" s="260"/>
      <c r="W152" s="260"/>
      <c r="X152" s="260"/>
      <c r="Y152" s="260"/>
    </row>
    <row r="153">
      <c r="A153" s="87" t="s">
        <v>748</v>
      </c>
      <c r="B153" s="40" t="s">
        <v>737</v>
      </c>
      <c r="C153" s="40" t="s">
        <v>653</v>
      </c>
      <c r="D153" s="40">
        <v>140.0</v>
      </c>
      <c r="E153" s="40">
        <v>57500.0</v>
      </c>
      <c r="F153" s="40">
        <v>57500.0</v>
      </c>
      <c r="G153" s="40" t="s">
        <v>522</v>
      </c>
      <c r="H153" s="88">
        <v>46023.0</v>
      </c>
      <c r="I153" s="269"/>
      <c r="J153" s="267" t="s">
        <v>654</v>
      </c>
      <c r="K153" s="268" t="s">
        <v>489</v>
      </c>
      <c r="L153" s="40">
        <v>6.0</v>
      </c>
      <c r="M153" s="40">
        <v>0.0</v>
      </c>
      <c r="N153" s="40" t="s">
        <v>496</v>
      </c>
      <c r="O153" s="40">
        <v>60375.0</v>
      </c>
      <c r="P153" s="266" t="s">
        <v>493</v>
      </c>
      <c r="Q153" s="260"/>
      <c r="R153" s="260"/>
      <c r="S153" s="260"/>
      <c r="T153" s="260"/>
      <c r="U153" s="260"/>
      <c r="V153" s="260"/>
      <c r="W153" s="260"/>
      <c r="X153" s="260"/>
      <c r="Y153" s="260"/>
    </row>
    <row r="154">
      <c r="A154" s="87" t="s">
        <v>751</v>
      </c>
      <c r="B154" s="40" t="s">
        <v>752</v>
      </c>
      <c r="C154" s="40" t="s">
        <v>653</v>
      </c>
      <c r="D154" s="40">
        <v>150.0</v>
      </c>
      <c r="E154" s="40">
        <v>60000.0</v>
      </c>
      <c r="F154" s="40">
        <v>60000.0</v>
      </c>
      <c r="G154" s="40" t="s">
        <v>522</v>
      </c>
      <c r="H154" s="88">
        <v>46023.0</v>
      </c>
      <c r="I154" s="269"/>
      <c r="J154" s="267" t="s">
        <v>654</v>
      </c>
      <c r="K154" s="268" t="s">
        <v>489</v>
      </c>
      <c r="L154" s="40">
        <v>9.0</v>
      </c>
      <c r="M154" s="40">
        <v>2.0</v>
      </c>
      <c r="N154" s="40" t="s">
        <v>499</v>
      </c>
      <c r="O154" s="40">
        <v>63000.0</v>
      </c>
      <c r="P154" s="266" t="s">
        <v>493</v>
      </c>
      <c r="Q154" s="260"/>
      <c r="R154" s="260"/>
      <c r="S154" s="260"/>
      <c r="T154" s="260"/>
      <c r="U154" s="260"/>
      <c r="V154" s="260"/>
      <c r="W154" s="260"/>
      <c r="X154" s="260"/>
      <c r="Y154" s="260"/>
    </row>
    <row r="155">
      <c r="A155" s="87" t="s">
        <v>753</v>
      </c>
      <c r="B155" s="40" t="s">
        <v>752</v>
      </c>
      <c r="C155" s="40" t="s">
        <v>653</v>
      </c>
      <c r="D155" s="40">
        <v>120.0</v>
      </c>
      <c r="E155" s="40">
        <v>62500.0</v>
      </c>
      <c r="F155" s="40">
        <v>62500.0</v>
      </c>
      <c r="G155" s="40" t="s">
        <v>522</v>
      </c>
      <c r="H155" s="88">
        <v>46023.0</v>
      </c>
      <c r="I155" s="269"/>
      <c r="J155" s="267" t="s">
        <v>654</v>
      </c>
      <c r="K155" s="268" t="s">
        <v>489</v>
      </c>
      <c r="L155" s="40">
        <v>0.0</v>
      </c>
      <c r="M155" s="40">
        <v>4.0</v>
      </c>
      <c r="N155" s="40" t="s">
        <v>491</v>
      </c>
      <c r="O155" s="40">
        <v>65625.0</v>
      </c>
      <c r="P155" s="266" t="s">
        <v>493</v>
      </c>
      <c r="Q155" s="260"/>
      <c r="R155" s="260"/>
      <c r="S155" s="260"/>
      <c r="T155" s="260"/>
      <c r="U155" s="260"/>
      <c r="V155" s="260"/>
      <c r="W155" s="260"/>
      <c r="X155" s="260"/>
      <c r="Y155" s="260"/>
    </row>
    <row r="156">
      <c r="A156" s="87" t="s">
        <v>754</v>
      </c>
      <c r="B156" s="40" t="s">
        <v>752</v>
      </c>
      <c r="C156" s="40" t="s">
        <v>653</v>
      </c>
      <c r="D156" s="40">
        <v>130.0</v>
      </c>
      <c r="E156" s="40">
        <v>65000.0</v>
      </c>
      <c r="F156" s="40">
        <v>65000.0</v>
      </c>
      <c r="G156" s="40" t="s">
        <v>522</v>
      </c>
      <c r="H156" s="88">
        <v>46023.0</v>
      </c>
      <c r="I156" s="269"/>
      <c r="J156" s="267" t="s">
        <v>654</v>
      </c>
      <c r="K156" s="268" t="s">
        <v>489</v>
      </c>
      <c r="L156" s="40">
        <v>3.0</v>
      </c>
      <c r="M156" s="40">
        <v>0.0</v>
      </c>
      <c r="N156" s="40" t="s">
        <v>491</v>
      </c>
      <c r="O156" s="40">
        <v>68250.0</v>
      </c>
      <c r="P156" s="266" t="s">
        <v>493</v>
      </c>
      <c r="Q156" s="260"/>
      <c r="R156" s="260"/>
      <c r="S156" s="260"/>
      <c r="T156" s="260"/>
      <c r="U156" s="260"/>
      <c r="V156" s="260"/>
      <c r="W156" s="260"/>
      <c r="X156" s="260"/>
      <c r="Y156" s="260"/>
    </row>
    <row r="157">
      <c r="A157" s="87" t="s">
        <v>755</v>
      </c>
      <c r="B157" s="40" t="s">
        <v>752</v>
      </c>
      <c r="C157" s="40" t="s">
        <v>653</v>
      </c>
      <c r="D157" s="40">
        <v>140.0</v>
      </c>
      <c r="E157" s="40">
        <v>50000.0</v>
      </c>
      <c r="F157" s="40">
        <v>50000.0</v>
      </c>
      <c r="G157" s="40" t="s">
        <v>522</v>
      </c>
      <c r="H157" s="88">
        <v>46023.0</v>
      </c>
      <c r="I157" s="269"/>
      <c r="J157" s="267" t="s">
        <v>654</v>
      </c>
      <c r="K157" s="268" t="s">
        <v>489</v>
      </c>
      <c r="L157" s="40">
        <v>6.0</v>
      </c>
      <c r="M157" s="40">
        <v>2.0</v>
      </c>
      <c r="N157" s="40" t="s">
        <v>496</v>
      </c>
      <c r="O157" s="40">
        <v>52500.0</v>
      </c>
      <c r="P157" s="266" t="s">
        <v>493</v>
      </c>
      <c r="Q157" s="260"/>
      <c r="R157" s="260"/>
      <c r="S157" s="260"/>
      <c r="T157" s="260"/>
      <c r="U157" s="260"/>
      <c r="V157" s="260"/>
      <c r="W157" s="260"/>
      <c r="X157" s="260"/>
      <c r="Y157" s="260"/>
    </row>
    <row r="158">
      <c r="A158" s="87" t="s">
        <v>756</v>
      </c>
      <c r="B158" s="40" t="s">
        <v>752</v>
      </c>
      <c r="C158" s="40" t="s">
        <v>653</v>
      </c>
      <c r="D158" s="40">
        <v>150.0</v>
      </c>
      <c r="E158" s="40">
        <v>52500.0</v>
      </c>
      <c r="F158" s="40">
        <v>52500.0</v>
      </c>
      <c r="G158" s="40" t="s">
        <v>522</v>
      </c>
      <c r="H158" s="88">
        <v>46023.0</v>
      </c>
      <c r="I158" s="269"/>
      <c r="J158" s="267" t="s">
        <v>654</v>
      </c>
      <c r="K158" s="268" t="s">
        <v>489</v>
      </c>
      <c r="L158" s="40">
        <v>9.0</v>
      </c>
      <c r="M158" s="40">
        <v>4.0</v>
      </c>
      <c r="N158" s="40" t="s">
        <v>499</v>
      </c>
      <c r="O158" s="40">
        <v>55125.0</v>
      </c>
      <c r="P158" s="266" t="s">
        <v>493</v>
      </c>
      <c r="Q158" s="260"/>
      <c r="R158" s="260"/>
      <c r="S158" s="260"/>
      <c r="T158" s="260"/>
      <c r="U158" s="260"/>
      <c r="V158" s="260"/>
      <c r="W158" s="260"/>
      <c r="X158" s="260"/>
      <c r="Y158" s="260"/>
    </row>
    <row r="159">
      <c r="A159" s="87" t="s">
        <v>759</v>
      </c>
      <c r="B159" s="40" t="s">
        <v>752</v>
      </c>
      <c r="C159" s="40" t="s">
        <v>653</v>
      </c>
      <c r="D159" s="40">
        <v>120.0</v>
      </c>
      <c r="E159" s="40">
        <v>55000.0</v>
      </c>
      <c r="F159" s="40">
        <v>55000.0</v>
      </c>
      <c r="G159" s="40" t="s">
        <v>522</v>
      </c>
      <c r="H159" s="88">
        <v>46023.0</v>
      </c>
      <c r="I159" s="269"/>
      <c r="J159" s="267" t="s">
        <v>654</v>
      </c>
      <c r="K159" s="268" t="s">
        <v>489</v>
      </c>
      <c r="L159" s="40">
        <v>0.0</v>
      </c>
      <c r="M159" s="40">
        <v>0.0</v>
      </c>
      <c r="N159" s="40" t="s">
        <v>491</v>
      </c>
      <c r="O159" s="40">
        <v>57750.0</v>
      </c>
      <c r="P159" s="266" t="s">
        <v>493</v>
      </c>
      <c r="Q159" s="260"/>
      <c r="R159" s="260"/>
      <c r="S159" s="260"/>
      <c r="T159" s="260"/>
      <c r="U159" s="260"/>
      <c r="V159" s="260"/>
      <c r="W159" s="260"/>
      <c r="X159" s="260"/>
      <c r="Y159" s="260"/>
    </row>
    <row r="160">
      <c r="A160" s="87" t="s">
        <v>760</v>
      </c>
      <c r="B160" s="40" t="s">
        <v>752</v>
      </c>
      <c r="C160" s="40" t="s">
        <v>653</v>
      </c>
      <c r="D160" s="40">
        <v>130.0</v>
      </c>
      <c r="E160" s="40">
        <v>57500.0</v>
      </c>
      <c r="F160" s="40">
        <v>57500.0</v>
      </c>
      <c r="G160" s="40" t="s">
        <v>522</v>
      </c>
      <c r="H160" s="88">
        <v>46023.0</v>
      </c>
      <c r="I160" s="269"/>
      <c r="J160" s="267" t="s">
        <v>654</v>
      </c>
      <c r="K160" s="268" t="s">
        <v>489</v>
      </c>
      <c r="L160" s="40">
        <v>3.0</v>
      </c>
      <c r="M160" s="40">
        <v>2.0</v>
      </c>
      <c r="N160" s="40" t="s">
        <v>491</v>
      </c>
      <c r="O160" s="40">
        <v>60375.0</v>
      </c>
      <c r="P160" s="266" t="s">
        <v>493</v>
      </c>
      <c r="Q160" s="260"/>
      <c r="R160" s="260"/>
      <c r="S160" s="260"/>
      <c r="T160" s="260"/>
      <c r="U160" s="260"/>
      <c r="V160" s="260"/>
      <c r="W160" s="260"/>
      <c r="X160" s="260"/>
      <c r="Y160" s="260"/>
    </row>
    <row r="161">
      <c r="A161" s="87" t="s">
        <v>761</v>
      </c>
      <c r="B161" s="40" t="s">
        <v>752</v>
      </c>
      <c r="C161" s="40" t="s">
        <v>653</v>
      </c>
      <c r="D161" s="40">
        <v>140.0</v>
      </c>
      <c r="E161" s="40">
        <v>60000.0</v>
      </c>
      <c r="F161" s="40">
        <v>60000.0</v>
      </c>
      <c r="G161" s="40" t="s">
        <v>522</v>
      </c>
      <c r="H161" s="88">
        <v>46023.0</v>
      </c>
      <c r="I161" s="269"/>
      <c r="J161" s="267" t="s">
        <v>654</v>
      </c>
      <c r="K161" s="268" t="s">
        <v>489</v>
      </c>
      <c r="L161" s="40">
        <v>6.0</v>
      </c>
      <c r="M161" s="40">
        <v>4.0</v>
      </c>
      <c r="N161" s="40" t="s">
        <v>496</v>
      </c>
      <c r="O161" s="40">
        <v>63000.0</v>
      </c>
      <c r="P161" s="266" t="s">
        <v>493</v>
      </c>
      <c r="Q161" s="260"/>
      <c r="R161" s="260"/>
      <c r="S161" s="260"/>
      <c r="T161" s="260"/>
      <c r="U161" s="260"/>
      <c r="V161" s="260"/>
      <c r="W161" s="260"/>
      <c r="X161" s="260"/>
      <c r="Y161" s="260"/>
    </row>
    <row r="162">
      <c r="A162" s="87" t="s">
        <v>762</v>
      </c>
      <c r="B162" s="40" t="s">
        <v>752</v>
      </c>
      <c r="C162" s="40" t="s">
        <v>653</v>
      </c>
      <c r="D162" s="40">
        <v>150.0</v>
      </c>
      <c r="E162" s="40">
        <v>62500.0</v>
      </c>
      <c r="F162" s="40">
        <v>62500.0</v>
      </c>
      <c r="G162" s="40" t="s">
        <v>522</v>
      </c>
      <c r="H162" s="88">
        <v>46023.0</v>
      </c>
      <c r="I162" s="269"/>
      <c r="J162" s="267" t="s">
        <v>654</v>
      </c>
      <c r="K162" s="268" t="s">
        <v>489</v>
      </c>
      <c r="L162" s="40">
        <v>9.0</v>
      </c>
      <c r="M162" s="40">
        <v>0.0</v>
      </c>
      <c r="N162" s="40" t="s">
        <v>499</v>
      </c>
      <c r="O162" s="40">
        <v>65625.0</v>
      </c>
      <c r="P162" s="266" t="s">
        <v>493</v>
      </c>
      <c r="Q162" s="260"/>
      <c r="R162" s="260"/>
      <c r="S162" s="260"/>
      <c r="T162" s="260"/>
      <c r="U162" s="260"/>
      <c r="V162" s="260"/>
      <c r="W162" s="260"/>
      <c r="X162" s="260"/>
      <c r="Y162" s="260"/>
    </row>
    <row r="163">
      <c r="A163" s="87" t="s">
        <v>763</v>
      </c>
      <c r="B163" s="40" t="s">
        <v>752</v>
      </c>
      <c r="C163" s="40" t="s">
        <v>653</v>
      </c>
      <c r="D163" s="40">
        <v>120.0</v>
      </c>
      <c r="E163" s="40">
        <v>65000.0</v>
      </c>
      <c r="F163" s="40">
        <v>65000.0</v>
      </c>
      <c r="G163" s="40" t="s">
        <v>522</v>
      </c>
      <c r="H163" s="88">
        <v>46023.0</v>
      </c>
      <c r="I163" s="269"/>
      <c r="J163" s="267" t="s">
        <v>654</v>
      </c>
      <c r="K163" s="268" t="s">
        <v>489</v>
      </c>
      <c r="L163" s="40">
        <v>0.0</v>
      </c>
      <c r="M163" s="40">
        <v>2.0</v>
      </c>
      <c r="N163" s="40" t="s">
        <v>491</v>
      </c>
      <c r="O163" s="40">
        <v>68250.0</v>
      </c>
      <c r="P163" s="266" t="s">
        <v>493</v>
      </c>
      <c r="Q163" s="260"/>
      <c r="R163" s="260"/>
      <c r="S163" s="260"/>
      <c r="T163" s="260"/>
      <c r="U163" s="260"/>
      <c r="V163" s="260"/>
      <c r="W163" s="260"/>
      <c r="X163" s="260"/>
      <c r="Y163" s="260"/>
    </row>
    <row r="164">
      <c r="A164" s="87" t="s">
        <v>764</v>
      </c>
      <c r="B164" s="40" t="s">
        <v>765</v>
      </c>
      <c r="C164" s="40" t="s">
        <v>653</v>
      </c>
      <c r="D164" s="40">
        <v>130.0</v>
      </c>
      <c r="E164" s="40">
        <v>50000.0</v>
      </c>
      <c r="F164" s="40">
        <v>50000.0</v>
      </c>
      <c r="G164" s="40" t="s">
        <v>522</v>
      </c>
      <c r="H164" s="88">
        <v>46023.0</v>
      </c>
      <c r="I164" s="269"/>
      <c r="J164" s="267" t="s">
        <v>654</v>
      </c>
      <c r="K164" s="268" t="s">
        <v>489</v>
      </c>
      <c r="L164" s="40">
        <v>3.0</v>
      </c>
      <c r="M164" s="40">
        <v>4.0</v>
      </c>
      <c r="N164" s="40" t="s">
        <v>491</v>
      </c>
      <c r="O164" s="40">
        <v>52500.0</v>
      </c>
      <c r="P164" s="266" t="s">
        <v>493</v>
      </c>
      <c r="Q164" s="260"/>
      <c r="R164" s="260"/>
      <c r="S164" s="260"/>
      <c r="T164" s="260"/>
      <c r="U164" s="260"/>
      <c r="V164" s="260"/>
      <c r="W164" s="260"/>
      <c r="X164" s="260"/>
      <c r="Y164" s="260"/>
    </row>
    <row r="165">
      <c r="A165" s="87" t="s">
        <v>767</v>
      </c>
      <c r="B165" s="40" t="s">
        <v>765</v>
      </c>
      <c r="C165" s="40" t="s">
        <v>653</v>
      </c>
      <c r="D165" s="40">
        <v>140.0</v>
      </c>
      <c r="E165" s="40">
        <v>52500.0</v>
      </c>
      <c r="F165" s="40">
        <v>52500.0</v>
      </c>
      <c r="G165" s="40" t="s">
        <v>522</v>
      </c>
      <c r="H165" s="88">
        <v>46023.0</v>
      </c>
      <c r="I165" s="269"/>
      <c r="J165" s="267" t="s">
        <v>654</v>
      </c>
      <c r="K165" s="268" t="s">
        <v>489</v>
      </c>
      <c r="L165" s="40">
        <v>6.0</v>
      </c>
      <c r="M165" s="40">
        <v>0.0</v>
      </c>
      <c r="N165" s="40" t="s">
        <v>496</v>
      </c>
      <c r="O165" s="40">
        <v>55125.0</v>
      </c>
      <c r="P165" s="266" t="s">
        <v>493</v>
      </c>
      <c r="Q165" s="260"/>
      <c r="R165" s="260"/>
      <c r="S165" s="260"/>
      <c r="T165" s="260"/>
      <c r="U165" s="260"/>
      <c r="V165" s="260"/>
      <c r="W165" s="260"/>
      <c r="X165" s="260"/>
      <c r="Y165" s="260"/>
    </row>
    <row r="166">
      <c r="A166" s="87" t="s">
        <v>768</v>
      </c>
      <c r="B166" s="40" t="s">
        <v>765</v>
      </c>
      <c r="C166" s="40" t="s">
        <v>653</v>
      </c>
      <c r="D166" s="40">
        <v>150.0</v>
      </c>
      <c r="E166" s="40">
        <v>55000.0</v>
      </c>
      <c r="F166" s="40">
        <v>55000.0</v>
      </c>
      <c r="G166" s="40" t="s">
        <v>522</v>
      </c>
      <c r="H166" s="88">
        <v>46023.0</v>
      </c>
      <c r="I166" s="269"/>
      <c r="J166" s="267" t="s">
        <v>654</v>
      </c>
      <c r="K166" s="268" t="s">
        <v>489</v>
      </c>
      <c r="L166" s="40">
        <v>9.0</v>
      </c>
      <c r="M166" s="40">
        <v>2.0</v>
      </c>
      <c r="N166" s="40" t="s">
        <v>499</v>
      </c>
      <c r="O166" s="40">
        <v>57750.0</v>
      </c>
      <c r="P166" s="266" t="s">
        <v>493</v>
      </c>
      <c r="Q166" s="260"/>
      <c r="R166" s="260"/>
      <c r="S166" s="260"/>
      <c r="T166" s="260"/>
      <c r="U166" s="260"/>
      <c r="V166" s="260"/>
      <c r="W166" s="260"/>
      <c r="X166" s="260"/>
      <c r="Y166" s="260"/>
    </row>
    <row r="167">
      <c r="A167" s="87" t="s">
        <v>769</v>
      </c>
      <c r="B167" s="40" t="s">
        <v>765</v>
      </c>
      <c r="C167" s="40" t="s">
        <v>653</v>
      </c>
      <c r="D167" s="40">
        <v>120.0</v>
      </c>
      <c r="E167" s="40">
        <v>57500.0</v>
      </c>
      <c r="F167" s="40">
        <v>57500.0</v>
      </c>
      <c r="G167" s="40" t="s">
        <v>522</v>
      </c>
      <c r="H167" s="88">
        <v>46023.0</v>
      </c>
      <c r="I167" s="269"/>
      <c r="J167" s="267" t="s">
        <v>654</v>
      </c>
      <c r="K167" s="268" t="s">
        <v>489</v>
      </c>
      <c r="L167" s="40">
        <v>0.0</v>
      </c>
      <c r="M167" s="40">
        <v>4.0</v>
      </c>
      <c r="N167" s="40" t="s">
        <v>491</v>
      </c>
      <c r="O167" s="40">
        <v>60375.0</v>
      </c>
      <c r="P167" s="266" t="s">
        <v>493</v>
      </c>
      <c r="Q167" s="260"/>
      <c r="R167" s="260"/>
      <c r="S167" s="260"/>
      <c r="T167" s="260"/>
      <c r="U167" s="260"/>
      <c r="V167" s="260"/>
      <c r="W167" s="260"/>
      <c r="X167" s="260"/>
      <c r="Y167" s="260"/>
    </row>
    <row r="168">
      <c r="A168" s="87" t="s">
        <v>770</v>
      </c>
      <c r="B168" s="40" t="s">
        <v>765</v>
      </c>
      <c r="C168" s="40" t="s">
        <v>653</v>
      </c>
      <c r="D168" s="40">
        <v>130.0</v>
      </c>
      <c r="E168" s="40">
        <v>60000.0</v>
      </c>
      <c r="F168" s="40">
        <v>60000.0</v>
      </c>
      <c r="G168" s="40" t="s">
        <v>522</v>
      </c>
      <c r="H168" s="88">
        <v>46023.0</v>
      </c>
      <c r="I168" s="269"/>
      <c r="J168" s="267" t="s">
        <v>654</v>
      </c>
      <c r="K168" s="268" t="s">
        <v>489</v>
      </c>
      <c r="L168" s="40">
        <v>3.0</v>
      </c>
      <c r="M168" s="40">
        <v>0.0</v>
      </c>
      <c r="N168" s="40" t="s">
        <v>491</v>
      </c>
      <c r="O168" s="40">
        <v>63000.0</v>
      </c>
      <c r="P168" s="266" t="s">
        <v>493</v>
      </c>
      <c r="Q168" s="260"/>
      <c r="R168" s="260"/>
      <c r="S168" s="260"/>
      <c r="T168" s="260"/>
      <c r="U168" s="260"/>
      <c r="V168" s="260"/>
      <c r="W168" s="260"/>
      <c r="X168" s="260"/>
      <c r="Y168" s="260"/>
    </row>
    <row r="169">
      <c r="A169" s="87" t="s">
        <v>771</v>
      </c>
      <c r="B169" s="40" t="s">
        <v>765</v>
      </c>
      <c r="C169" s="40" t="s">
        <v>653</v>
      </c>
      <c r="D169" s="40">
        <v>140.0</v>
      </c>
      <c r="E169" s="40">
        <v>62500.0</v>
      </c>
      <c r="F169" s="40">
        <v>62500.0</v>
      </c>
      <c r="G169" s="40" t="s">
        <v>522</v>
      </c>
      <c r="H169" s="88">
        <v>46023.0</v>
      </c>
      <c r="I169" s="269"/>
      <c r="J169" s="267" t="s">
        <v>654</v>
      </c>
      <c r="K169" s="268" t="s">
        <v>489</v>
      </c>
      <c r="L169" s="40">
        <v>6.0</v>
      </c>
      <c r="M169" s="40">
        <v>2.0</v>
      </c>
      <c r="N169" s="40" t="s">
        <v>496</v>
      </c>
      <c r="O169" s="40">
        <v>65625.0</v>
      </c>
      <c r="P169" s="266" t="s">
        <v>493</v>
      </c>
      <c r="Q169" s="260"/>
      <c r="R169" s="260"/>
      <c r="S169" s="260"/>
      <c r="T169" s="260"/>
      <c r="U169" s="260"/>
      <c r="V169" s="260"/>
      <c r="W169" s="260"/>
      <c r="X169" s="260"/>
      <c r="Y169" s="260"/>
    </row>
    <row r="170">
      <c r="A170" s="87" t="s">
        <v>772</v>
      </c>
      <c r="B170" s="40" t="s">
        <v>765</v>
      </c>
      <c r="C170" s="40" t="s">
        <v>653</v>
      </c>
      <c r="D170" s="40">
        <v>150.0</v>
      </c>
      <c r="E170" s="40">
        <v>65000.0</v>
      </c>
      <c r="F170" s="40">
        <v>65000.0</v>
      </c>
      <c r="G170" s="40" t="s">
        <v>522</v>
      </c>
      <c r="H170" s="88">
        <v>46023.0</v>
      </c>
      <c r="I170" s="269"/>
      <c r="J170" s="267" t="s">
        <v>654</v>
      </c>
      <c r="K170" s="268" t="s">
        <v>489</v>
      </c>
      <c r="L170" s="40">
        <v>9.0</v>
      </c>
      <c r="M170" s="40">
        <v>4.0</v>
      </c>
      <c r="N170" s="40" t="s">
        <v>499</v>
      </c>
      <c r="O170" s="40">
        <v>68250.0</v>
      </c>
      <c r="P170" s="266" t="s">
        <v>493</v>
      </c>
      <c r="Q170" s="260"/>
      <c r="R170" s="260"/>
      <c r="S170" s="260"/>
      <c r="T170" s="260"/>
      <c r="U170" s="260"/>
      <c r="V170" s="260"/>
      <c r="W170" s="260"/>
      <c r="X170" s="260"/>
      <c r="Y170" s="260"/>
    </row>
    <row r="171">
      <c r="A171" s="87" t="s">
        <v>773</v>
      </c>
      <c r="B171" s="40" t="s">
        <v>765</v>
      </c>
      <c r="C171" s="40" t="s">
        <v>653</v>
      </c>
      <c r="D171" s="40">
        <v>120.0</v>
      </c>
      <c r="E171" s="40">
        <v>50000.0</v>
      </c>
      <c r="F171" s="40">
        <v>50000.0</v>
      </c>
      <c r="G171" s="40" t="s">
        <v>522</v>
      </c>
      <c r="H171" s="88">
        <v>46023.0</v>
      </c>
      <c r="I171" s="269"/>
      <c r="J171" s="267" t="s">
        <v>654</v>
      </c>
      <c r="K171" s="268" t="s">
        <v>489</v>
      </c>
      <c r="L171" s="40">
        <v>0.0</v>
      </c>
      <c r="M171" s="40">
        <v>0.0</v>
      </c>
      <c r="N171" s="40" t="s">
        <v>491</v>
      </c>
      <c r="O171" s="40">
        <v>52500.0</v>
      </c>
      <c r="P171" s="266" t="s">
        <v>493</v>
      </c>
      <c r="Q171" s="260"/>
      <c r="R171" s="260"/>
      <c r="S171" s="260"/>
      <c r="T171" s="260"/>
      <c r="U171" s="260"/>
      <c r="V171" s="260"/>
      <c r="W171" s="260"/>
      <c r="X171" s="260"/>
      <c r="Y171" s="260"/>
    </row>
    <row r="172">
      <c r="A172" s="87" t="s">
        <v>774</v>
      </c>
      <c r="B172" s="40" t="s">
        <v>765</v>
      </c>
      <c r="C172" s="40" t="s">
        <v>653</v>
      </c>
      <c r="D172" s="40">
        <v>130.0</v>
      </c>
      <c r="E172" s="40">
        <v>52500.0</v>
      </c>
      <c r="F172" s="40">
        <v>52500.0</v>
      </c>
      <c r="G172" s="40" t="s">
        <v>522</v>
      </c>
      <c r="H172" s="88">
        <v>46023.0</v>
      </c>
      <c r="I172" s="269"/>
      <c r="J172" s="267" t="s">
        <v>654</v>
      </c>
      <c r="K172" s="268" t="s">
        <v>489</v>
      </c>
      <c r="L172" s="40">
        <v>3.0</v>
      </c>
      <c r="M172" s="40">
        <v>2.0</v>
      </c>
      <c r="N172" s="40" t="s">
        <v>491</v>
      </c>
      <c r="O172" s="40">
        <v>55125.0</v>
      </c>
      <c r="P172" s="266" t="s">
        <v>493</v>
      </c>
      <c r="Q172" s="260"/>
      <c r="R172" s="260"/>
      <c r="S172" s="260"/>
      <c r="T172" s="260"/>
      <c r="U172" s="260"/>
      <c r="V172" s="260"/>
      <c r="W172" s="260"/>
      <c r="X172" s="260"/>
      <c r="Y172" s="260"/>
    </row>
    <row r="173">
      <c r="A173" s="87" t="s">
        <v>775</v>
      </c>
      <c r="B173" s="40" t="s">
        <v>765</v>
      </c>
      <c r="C173" s="40" t="s">
        <v>653</v>
      </c>
      <c r="D173" s="40">
        <v>140.0</v>
      </c>
      <c r="E173" s="40">
        <v>55000.0</v>
      </c>
      <c r="F173" s="40">
        <v>55000.0</v>
      </c>
      <c r="G173" s="40" t="s">
        <v>522</v>
      </c>
      <c r="H173" s="88">
        <v>46023.0</v>
      </c>
      <c r="I173" s="269"/>
      <c r="J173" s="267" t="s">
        <v>654</v>
      </c>
      <c r="K173" s="268" t="s">
        <v>489</v>
      </c>
      <c r="L173" s="40">
        <v>6.0</v>
      </c>
      <c r="M173" s="40">
        <v>4.0</v>
      </c>
      <c r="N173" s="40" t="s">
        <v>496</v>
      </c>
      <c r="O173" s="40">
        <v>57750.0</v>
      </c>
      <c r="P173" s="266" t="s">
        <v>493</v>
      </c>
      <c r="Q173" s="260"/>
      <c r="R173" s="260"/>
      <c r="S173" s="260"/>
      <c r="T173" s="260"/>
      <c r="U173" s="260"/>
      <c r="V173" s="260"/>
      <c r="W173" s="260"/>
      <c r="X173" s="260"/>
      <c r="Y173" s="260"/>
    </row>
    <row r="174">
      <c r="A174" s="87" t="s">
        <v>776</v>
      </c>
      <c r="B174" s="40" t="s">
        <v>777</v>
      </c>
      <c r="C174" s="40" t="s">
        <v>653</v>
      </c>
      <c r="D174" s="40">
        <v>150.0</v>
      </c>
      <c r="E174" s="40">
        <v>57500.0</v>
      </c>
      <c r="F174" s="40">
        <v>57500.0</v>
      </c>
      <c r="G174" s="40" t="s">
        <v>522</v>
      </c>
      <c r="H174" s="88">
        <v>46023.0</v>
      </c>
      <c r="I174" s="269"/>
      <c r="J174" s="267" t="s">
        <v>654</v>
      </c>
      <c r="K174" s="268" t="s">
        <v>489</v>
      </c>
      <c r="L174" s="40">
        <v>9.0</v>
      </c>
      <c r="M174" s="40">
        <v>0.0</v>
      </c>
      <c r="N174" s="40" t="s">
        <v>499</v>
      </c>
      <c r="O174" s="40">
        <v>60375.0</v>
      </c>
      <c r="P174" s="266" t="s">
        <v>493</v>
      </c>
      <c r="Q174" s="260"/>
      <c r="R174" s="260"/>
      <c r="S174" s="260"/>
      <c r="T174" s="260"/>
      <c r="U174" s="260"/>
      <c r="V174" s="260"/>
      <c r="W174" s="260"/>
      <c r="X174" s="260"/>
      <c r="Y174" s="260"/>
    </row>
    <row r="175">
      <c r="A175" s="87" t="s">
        <v>778</v>
      </c>
      <c r="B175" s="40" t="s">
        <v>777</v>
      </c>
      <c r="C175" s="40" t="s">
        <v>653</v>
      </c>
      <c r="D175" s="40">
        <v>120.0</v>
      </c>
      <c r="E175" s="40">
        <v>60000.0</v>
      </c>
      <c r="F175" s="40">
        <v>60000.0</v>
      </c>
      <c r="G175" s="40" t="s">
        <v>522</v>
      </c>
      <c r="H175" s="88">
        <v>46023.0</v>
      </c>
      <c r="I175" s="269"/>
      <c r="J175" s="267" t="s">
        <v>654</v>
      </c>
      <c r="K175" s="268" t="s">
        <v>489</v>
      </c>
      <c r="L175" s="40">
        <v>0.0</v>
      </c>
      <c r="M175" s="40">
        <v>2.0</v>
      </c>
      <c r="N175" s="40" t="s">
        <v>491</v>
      </c>
      <c r="O175" s="40">
        <v>63000.0</v>
      </c>
      <c r="P175" s="266" t="s">
        <v>493</v>
      </c>
      <c r="Q175" s="260"/>
      <c r="R175" s="260"/>
      <c r="S175" s="260"/>
      <c r="T175" s="260"/>
      <c r="U175" s="260"/>
      <c r="V175" s="260"/>
      <c r="W175" s="260"/>
      <c r="X175" s="260"/>
      <c r="Y175" s="260"/>
    </row>
    <row r="176">
      <c r="A176" s="87" t="s">
        <v>779</v>
      </c>
      <c r="B176" s="40" t="s">
        <v>777</v>
      </c>
      <c r="C176" s="40" t="s">
        <v>653</v>
      </c>
      <c r="D176" s="40">
        <v>130.0</v>
      </c>
      <c r="E176" s="40">
        <v>62500.0</v>
      </c>
      <c r="F176" s="40">
        <v>62500.0</v>
      </c>
      <c r="G176" s="40" t="s">
        <v>522</v>
      </c>
      <c r="H176" s="88">
        <v>46023.0</v>
      </c>
      <c r="I176" s="269"/>
      <c r="J176" s="267" t="s">
        <v>654</v>
      </c>
      <c r="K176" s="268" t="s">
        <v>489</v>
      </c>
      <c r="L176" s="40">
        <v>3.0</v>
      </c>
      <c r="M176" s="40">
        <v>4.0</v>
      </c>
      <c r="N176" s="40" t="s">
        <v>491</v>
      </c>
      <c r="O176" s="40">
        <v>65625.0</v>
      </c>
      <c r="P176" s="266" t="s">
        <v>493</v>
      </c>
      <c r="Q176" s="260"/>
      <c r="R176" s="260"/>
      <c r="S176" s="260"/>
      <c r="T176" s="260"/>
      <c r="U176" s="260"/>
      <c r="V176" s="260"/>
      <c r="W176" s="260"/>
      <c r="X176" s="260"/>
      <c r="Y176" s="260"/>
    </row>
    <row r="177">
      <c r="A177" s="87" t="s">
        <v>780</v>
      </c>
      <c r="B177" s="40" t="s">
        <v>777</v>
      </c>
      <c r="C177" s="40" t="s">
        <v>653</v>
      </c>
      <c r="D177" s="40">
        <v>140.0</v>
      </c>
      <c r="E177" s="40">
        <v>65000.0</v>
      </c>
      <c r="F177" s="40">
        <v>65000.0</v>
      </c>
      <c r="G177" s="40" t="s">
        <v>522</v>
      </c>
      <c r="H177" s="88">
        <v>46023.0</v>
      </c>
      <c r="I177" s="269"/>
      <c r="J177" s="267" t="s">
        <v>654</v>
      </c>
      <c r="K177" s="268" t="s">
        <v>489</v>
      </c>
      <c r="L177" s="40">
        <v>6.0</v>
      </c>
      <c r="M177" s="40">
        <v>0.0</v>
      </c>
      <c r="N177" s="40" t="s">
        <v>496</v>
      </c>
      <c r="O177" s="40">
        <v>68250.0</v>
      </c>
      <c r="P177" s="266" t="s">
        <v>493</v>
      </c>
      <c r="Q177" s="260"/>
      <c r="R177" s="260"/>
      <c r="S177" s="260"/>
      <c r="T177" s="260"/>
      <c r="U177" s="260"/>
      <c r="V177" s="260"/>
      <c r="W177" s="260"/>
      <c r="X177" s="260"/>
      <c r="Y177" s="260"/>
    </row>
    <row r="178">
      <c r="A178" s="87" t="s">
        <v>781</v>
      </c>
      <c r="B178" s="40" t="s">
        <v>777</v>
      </c>
      <c r="C178" s="40" t="s">
        <v>653</v>
      </c>
      <c r="D178" s="40">
        <v>150.0</v>
      </c>
      <c r="E178" s="40">
        <v>50000.0</v>
      </c>
      <c r="F178" s="40">
        <v>50000.0</v>
      </c>
      <c r="G178" s="40" t="s">
        <v>522</v>
      </c>
      <c r="H178" s="88">
        <v>46023.0</v>
      </c>
      <c r="I178" s="269"/>
      <c r="J178" s="267" t="s">
        <v>654</v>
      </c>
      <c r="K178" s="268" t="s">
        <v>489</v>
      </c>
      <c r="L178" s="40">
        <v>9.0</v>
      </c>
      <c r="M178" s="40">
        <v>2.0</v>
      </c>
      <c r="N178" s="40" t="s">
        <v>499</v>
      </c>
      <c r="O178" s="40">
        <v>52500.0</v>
      </c>
      <c r="P178" s="266" t="s">
        <v>493</v>
      </c>
      <c r="Q178" s="260"/>
      <c r="R178" s="260"/>
      <c r="S178" s="260"/>
      <c r="T178" s="260"/>
      <c r="U178" s="260"/>
      <c r="V178" s="260"/>
      <c r="W178" s="260"/>
      <c r="X178" s="260"/>
      <c r="Y178" s="260"/>
    </row>
    <row r="179">
      <c r="A179" s="87" t="s">
        <v>782</v>
      </c>
      <c r="B179" s="40" t="s">
        <v>777</v>
      </c>
      <c r="C179" s="40" t="s">
        <v>653</v>
      </c>
      <c r="D179" s="40">
        <v>120.0</v>
      </c>
      <c r="E179" s="40">
        <v>52500.0</v>
      </c>
      <c r="F179" s="40">
        <v>52500.0</v>
      </c>
      <c r="G179" s="40" t="s">
        <v>522</v>
      </c>
      <c r="H179" s="88">
        <v>46023.0</v>
      </c>
      <c r="I179" s="269"/>
      <c r="J179" s="267" t="s">
        <v>654</v>
      </c>
      <c r="K179" s="268" t="s">
        <v>489</v>
      </c>
      <c r="L179" s="40">
        <v>0.0</v>
      </c>
      <c r="M179" s="40">
        <v>4.0</v>
      </c>
      <c r="N179" s="40" t="s">
        <v>491</v>
      </c>
      <c r="O179" s="40">
        <v>55125.0</v>
      </c>
      <c r="P179" s="266" t="s">
        <v>493</v>
      </c>
      <c r="Q179" s="260"/>
      <c r="R179" s="260"/>
      <c r="S179" s="260"/>
      <c r="T179" s="260"/>
      <c r="U179" s="260"/>
      <c r="V179" s="260"/>
      <c r="W179" s="260"/>
      <c r="X179" s="260"/>
      <c r="Y179" s="260"/>
    </row>
    <row r="180">
      <c r="A180" s="87" t="s">
        <v>783</v>
      </c>
      <c r="B180" s="40" t="s">
        <v>777</v>
      </c>
      <c r="C180" s="40" t="s">
        <v>653</v>
      </c>
      <c r="D180" s="40">
        <v>130.0</v>
      </c>
      <c r="E180" s="40">
        <v>55000.0</v>
      </c>
      <c r="F180" s="40">
        <v>55000.0</v>
      </c>
      <c r="G180" s="40" t="s">
        <v>522</v>
      </c>
      <c r="H180" s="88">
        <v>46023.0</v>
      </c>
      <c r="I180" s="269"/>
      <c r="J180" s="267" t="s">
        <v>654</v>
      </c>
      <c r="K180" s="268" t="s">
        <v>489</v>
      </c>
      <c r="L180" s="40">
        <v>3.0</v>
      </c>
      <c r="M180" s="40">
        <v>0.0</v>
      </c>
      <c r="N180" s="40" t="s">
        <v>491</v>
      </c>
      <c r="O180" s="40">
        <v>57750.0</v>
      </c>
      <c r="P180" s="266" t="s">
        <v>493</v>
      </c>
      <c r="Q180" s="260"/>
      <c r="R180" s="260"/>
      <c r="S180" s="260"/>
      <c r="T180" s="260"/>
      <c r="U180" s="260"/>
      <c r="V180" s="260"/>
      <c r="W180" s="260"/>
      <c r="X180" s="260"/>
      <c r="Y180" s="260"/>
    </row>
    <row r="181">
      <c r="A181" s="87" t="s">
        <v>784</v>
      </c>
      <c r="B181" s="40" t="s">
        <v>777</v>
      </c>
      <c r="C181" s="40" t="s">
        <v>653</v>
      </c>
      <c r="D181" s="40">
        <v>140.0</v>
      </c>
      <c r="E181" s="40">
        <v>57500.0</v>
      </c>
      <c r="F181" s="40">
        <v>57500.0</v>
      </c>
      <c r="G181" s="40" t="s">
        <v>522</v>
      </c>
      <c r="H181" s="88">
        <v>46023.0</v>
      </c>
      <c r="I181" s="269"/>
      <c r="J181" s="267" t="s">
        <v>654</v>
      </c>
      <c r="K181" s="268" t="s">
        <v>489</v>
      </c>
      <c r="L181" s="40">
        <v>6.0</v>
      </c>
      <c r="M181" s="40">
        <v>2.0</v>
      </c>
      <c r="N181" s="40" t="s">
        <v>496</v>
      </c>
      <c r="O181" s="40">
        <v>60375.0</v>
      </c>
      <c r="P181" s="266" t="s">
        <v>493</v>
      </c>
      <c r="Q181" s="260"/>
      <c r="R181" s="260"/>
      <c r="S181" s="260"/>
      <c r="T181" s="260"/>
      <c r="U181" s="260"/>
      <c r="V181" s="260"/>
      <c r="W181" s="260"/>
      <c r="X181" s="260"/>
      <c r="Y181" s="260"/>
    </row>
    <row r="182">
      <c r="A182" s="87" t="s">
        <v>785</v>
      </c>
      <c r="B182" s="40" t="s">
        <v>777</v>
      </c>
      <c r="C182" s="40" t="s">
        <v>653</v>
      </c>
      <c r="D182" s="40">
        <v>150.0</v>
      </c>
      <c r="E182" s="40">
        <v>60000.0</v>
      </c>
      <c r="F182" s="40">
        <v>60000.0</v>
      </c>
      <c r="G182" s="40" t="s">
        <v>522</v>
      </c>
      <c r="H182" s="88">
        <v>46023.0</v>
      </c>
      <c r="I182" s="269"/>
      <c r="J182" s="267" t="s">
        <v>654</v>
      </c>
      <c r="K182" s="268" t="s">
        <v>489</v>
      </c>
      <c r="L182" s="40">
        <v>9.0</v>
      </c>
      <c r="M182" s="40">
        <v>4.0</v>
      </c>
      <c r="N182" s="40" t="s">
        <v>499</v>
      </c>
      <c r="O182" s="40">
        <v>63000.0</v>
      </c>
      <c r="P182" s="266" t="s">
        <v>493</v>
      </c>
      <c r="Q182" s="260"/>
      <c r="R182" s="260"/>
      <c r="S182" s="260"/>
      <c r="T182" s="260"/>
      <c r="U182" s="260"/>
      <c r="V182" s="260"/>
      <c r="W182" s="260"/>
      <c r="X182" s="260"/>
      <c r="Y182" s="260"/>
    </row>
    <row r="183">
      <c r="A183" s="87" t="s">
        <v>786</v>
      </c>
      <c r="B183" s="40" t="s">
        <v>777</v>
      </c>
      <c r="C183" s="40" t="s">
        <v>653</v>
      </c>
      <c r="D183" s="40">
        <v>120.0</v>
      </c>
      <c r="E183" s="40">
        <v>62500.0</v>
      </c>
      <c r="F183" s="40">
        <v>62500.0</v>
      </c>
      <c r="G183" s="40" t="s">
        <v>522</v>
      </c>
      <c r="H183" s="88">
        <v>46023.0</v>
      </c>
      <c r="I183" s="269"/>
      <c r="J183" s="267" t="s">
        <v>654</v>
      </c>
      <c r="K183" s="268" t="s">
        <v>489</v>
      </c>
      <c r="L183" s="40">
        <v>0.0</v>
      </c>
      <c r="M183" s="40">
        <v>0.0</v>
      </c>
      <c r="N183" s="40" t="s">
        <v>491</v>
      </c>
      <c r="O183" s="40">
        <v>65625.0</v>
      </c>
      <c r="P183" s="266" t="s">
        <v>493</v>
      </c>
      <c r="Q183" s="260"/>
      <c r="R183" s="260"/>
      <c r="S183" s="260"/>
      <c r="T183" s="260"/>
      <c r="U183" s="260"/>
      <c r="V183" s="260"/>
      <c r="W183" s="260"/>
      <c r="X183" s="260"/>
      <c r="Y183" s="260"/>
    </row>
    <row r="184">
      <c r="A184" s="87" t="s">
        <v>787</v>
      </c>
      <c r="B184" s="40" t="s">
        <v>788</v>
      </c>
      <c r="C184" s="40" t="s">
        <v>653</v>
      </c>
      <c r="D184" s="40">
        <v>130.0</v>
      </c>
      <c r="E184" s="40">
        <v>65000.0</v>
      </c>
      <c r="F184" s="40">
        <v>65000.0</v>
      </c>
      <c r="G184" s="40" t="s">
        <v>522</v>
      </c>
      <c r="H184" s="88">
        <v>46023.0</v>
      </c>
      <c r="I184" s="269"/>
      <c r="J184" s="267" t="s">
        <v>654</v>
      </c>
      <c r="K184" s="268" t="s">
        <v>489</v>
      </c>
      <c r="L184" s="40">
        <v>3.0</v>
      </c>
      <c r="M184" s="40">
        <v>2.0</v>
      </c>
      <c r="N184" s="40" t="s">
        <v>491</v>
      </c>
      <c r="O184" s="40">
        <v>68250.0</v>
      </c>
      <c r="P184" s="266" t="s">
        <v>493</v>
      </c>
      <c r="Q184" s="260"/>
      <c r="R184" s="260"/>
      <c r="S184" s="260"/>
      <c r="T184" s="260"/>
      <c r="U184" s="260"/>
      <c r="V184" s="260"/>
      <c r="W184" s="260"/>
      <c r="X184" s="260"/>
      <c r="Y184" s="260"/>
    </row>
    <row r="185">
      <c r="A185" s="271"/>
      <c r="B185" s="271"/>
      <c r="C185" s="271"/>
      <c r="D185" s="271"/>
      <c r="E185" s="271"/>
      <c r="F185" s="271"/>
      <c r="G185" s="271"/>
      <c r="H185" s="271"/>
      <c r="I185" s="271"/>
      <c r="J185" s="272"/>
      <c r="K185" s="272"/>
      <c r="L185" s="271"/>
      <c r="M185" s="271"/>
      <c r="N185" s="271"/>
      <c r="O185" s="271"/>
      <c r="P185" s="271"/>
      <c r="Q185" s="260"/>
      <c r="R185" s="260"/>
      <c r="S185" s="260"/>
      <c r="T185" s="260"/>
      <c r="U185" s="260"/>
      <c r="V185" s="260"/>
      <c r="W185" s="260"/>
      <c r="X185" s="260"/>
      <c r="Y185" s="260"/>
    </row>
    <row r="186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60"/>
      <c r="R186" s="260"/>
      <c r="S186" s="260"/>
      <c r="T186" s="260"/>
      <c r="U186" s="260"/>
      <c r="V186" s="260"/>
      <c r="W186" s="260"/>
      <c r="X186" s="260"/>
      <c r="Y186" s="260"/>
    </row>
    <row r="187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60"/>
      <c r="R187" s="260"/>
      <c r="S187" s="260"/>
      <c r="T187" s="260"/>
      <c r="U187" s="260"/>
      <c r="V187" s="260"/>
      <c r="W187" s="260"/>
      <c r="X187" s="260"/>
      <c r="Y187" s="260"/>
    </row>
    <row r="188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60"/>
      <c r="R188" s="260"/>
      <c r="S188" s="260"/>
      <c r="T188" s="260"/>
      <c r="U188" s="260"/>
      <c r="V188" s="260"/>
      <c r="W188" s="260"/>
      <c r="X188" s="260"/>
      <c r="Y188" s="260"/>
    </row>
    <row r="189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60"/>
      <c r="R189" s="260"/>
      <c r="S189" s="260"/>
      <c r="T189" s="260"/>
      <c r="U189" s="260"/>
      <c r="V189" s="260"/>
      <c r="W189" s="260"/>
      <c r="X189" s="260"/>
      <c r="Y189" s="260"/>
    </row>
    <row r="190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60"/>
      <c r="R190" s="260"/>
      <c r="S190" s="260"/>
      <c r="T190" s="260"/>
      <c r="U190" s="260"/>
      <c r="V190" s="260"/>
      <c r="W190" s="260"/>
      <c r="X190" s="260"/>
      <c r="Y190" s="260"/>
    </row>
    <row r="191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60"/>
      <c r="R191" s="260"/>
      <c r="S191" s="260"/>
      <c r="T191" s="260"/>
      <c r="U191" s="260"/>
      <c r="V191" s="260"/>
      <c r="W191" s="260"/>
      <c r="X191" s="260"/>
      <c r="Y191" s="260"/>
    </row>
    <row r="192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60"/>
      <c r="R192" s="260"/>
      <c r="S192" s="260"/>
      <c r="T192" s="260"/>
      <c r="U192" s="260"/>
      <c r="V192" s="260"/>
      <c r="W192" s="260"/>
      <c r="X192" s="260"/>
      <c r="Y192" s="260"/>
    </row>
    <row r="193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60"/>
      <c r="R193" s="260"/>
      <c r="S193" s="260"/>
      <c r="T193" s="260"/>
      <c r="U193" s="260"/>
      <c r="V193" s="260"/>
      <c r="W193" s="260"/>
      <c r="X193" s="260"/>
      <c r="Y193" s="260"/>
    </row>
    <row r="194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60"/>
      <c r="R194" s="260"/>
      <c r="S194" s="260"/>
      <c r="T194" s="260"/>
      <c r="U194" s="260"/>
      <c r="V194" s="260"/>
      <c r="W194" s="260"/>
      <c r="X194" s="260"/>
      <c r="Y194" s="260"/>
    </row>
    <row r="195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60"/>
      <c r="R195" s="260"/>
      <c r="S195" s="260"/>
      <c r="T195" s="260"/>
      <c r="U195" s="260"/>
      <c r="V195" s="260"/>
      <c r="W195" s="260"/>
      <c r="X195" s="260"/>
      <c r="Y195" s="260"/>
    </row>
    <row r="196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60"/>
      <c r="R196" s="260"/>
      <c r="S196" s="260"/>
      <c r="T196" s="260"/>
      <c r="U196" s="260"/>
      <c r="V196" s="260"/>
      <c r="W196" s="260"/>
      <c r="X196" s="260"/>
      <c r="Y196" s="260"/>
    </row>
    <row r="197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60"/>
      <c r="R197" s="260"/>
      <c r="S197" s="260"/>
      <c r="T197" s="260"/>
      <c r="U197" s="260"/>
      <c r="V197" s="260"/>
      <c r="W197" s="260"/>
      <c r="X197" s="260"/>
      <c r="Y197" s="260"/>
    </row>
    <row r="198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60"/>
      <c r="R198" s="260"/>
      <c r="S198" s="260"/>
      <c r="T198" s="260"/>
      <c r="U198" s="260"/>
      <c r="V198" s="260"/>
      <c r="W198" s="260"/>
      <c r="X198" s="260"/>
      <c r="Y198" s="260"/>
    </row>
    <row r="199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60"/>
      <c r="R199" s="260"/>
      <c r="S199" s="260"/>
      <c r="T199" s="260"/>
      <c r="U199" s="260"/>
      <c r="V199" s="260"/>
      <c r="W199" s="260"/>
      <c r="X199" s="260"/>
      <c r="Y199" s="260"/>
    </row>
    <row r="200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60"/>
      <c r="R200" s="260"/>
      <c r="S200" s="260"/>
      <c r="T200" s="260"/>
      <c r="U200" s="260"/>
      <c r="V200" s="260"/>
      <c r="W200" s="260"/>
      <c r="X200" s="260"/>
      <c r="Y200" s="260"/>
    </row>
    <row r="201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60"/>
      <c r="R201" s="260"/>
      <c r="S201" s="260"/>
      <c r="T201" s="260"/>
      <c r="U201" s="260"/>
      <c r="V201" s="260"/>
      <c r="W201" s="260"/>
      <c r="X201" s="260"/>
      <c r="Y201" s="260"/>
    </row>
    <row r="202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60"/>
      <c r="R202" s="260"/>
      <c r="S202" s="260"/>
      <c r="T202" s="260"/>
      <c r="U202" s="260"/>
      <c r="V202" s="260"/>
      <c r="W202" s="260"/>
      <c r="X202" s="260"/>
      <c r="Y202" s="260"/>
    </row>
    <row r="203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60"/>
      <c r="R203" s="260"/>
      <c r="S203" s="260"/>
      <c r="T203" s="260"/>
      <c r="U203" s="260"/>
      <c r="V203" s="260"/>
      <c r="W203" s="260"/>
      <c r="X203" s="260"/>
      <c r="Y203" s="260"/>
    </row>
    <row r="204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60"/>
      <c r="R204" s="260"/>
      <c r="S204" s="260"/>
      <c r="T204" s="260"/>
      <c r="U204" s="260"/>
      <c r="V204" s="260"/>
      <c r="W204" s="260"/>
      <c r="X204" s="260"/>
      <c r="Y204" s="260"/>
    </row>
    <row r="205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60"/>
      <c r="R205" s="260"/>
      <c r="S205" s="260"/>
      <c r="T205" s="260"/>
      <c r="U205" s="260"/>
      <c r="V205" s="260"/>
      <c r="W205" s="260"/>
      <c r="X205" s="260"/>
      <c r="Y205" s="260"/>
    </row>
    <row r="206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60"/>
      <c r="R206" s="260"/>
      <c r="S206" s="260"/>
      <c r="T206" s="260"/>
      <c r="U206" s="260"/>
      <c r="V206" s="260"/>
      <c r="W206" s="260"/>
      <c r="X206" s="260"/>
      <c r="Y206" s="260"/>
    </row>
    <row r="207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60"/>
      <c r="R207" s="260"/>
      <c r="S207" s="260"/>
      <c r="T207" s="260"/>
      <c r="U207" s="260"/>
      <c r="V207" s="260"/>
      <c r="W207" s="260"/>
      <c r="X207" s="260"/>
      <c r="Y207" s="260"/>
    </row>
    <row r="208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60"/>
      <c r="R208" s="260"/>
      <c r="S208" s="260"/>
      <c r="T208" s="260"/>
      <c r="U208" s="260"/>
      <c r="V208" s="260"/>
      <c r="W208" s="260"/>
      <c r="X208" s="260"/>
      <c r="Y208" s="260"/>
    </row>
    <row r="209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60"/>
      <c r="R209" s="260"/>
      <c r="S209" s="260"/>
      <c r="T209" s="260"/>
      <c r="U209" s="260"/>
      <c r="V209" s="260"/>
      <c r="W209" s="260"/>
      <c r="X209" s="260"/>
      <c r="Y209" s="260"/>
    </row>
    <row r="210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60"/>
      <c r="R210" s="260"/>
      <c r="S210" s="260"/>
      <c r="T210" s="260"/>
      <c r="U210" s="260"/>
      <c r="V210" s="260"/>
      <c r="W210" s="260"/>
      <c r="X210" s="260"/>
      <c r="Y210" s="260"/>
    </row>
    <row r="211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60"/>
      <c r="R211" s="260"/>
      <c r="S211" s="260"/>
      <c r="T211" s="260"/>
      <c r="U211" s="260"/>
      <c r="V211" s="260"/>
      <c r="W211" s="260"/>
      <c r="X211" s="260"/>
      <c r="Y211" s="260"/>
    </row>
    <row r="212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60"/>
      <c r="R212" s="260"/>
      <c r="S212" s="260"/>
      <c r="T212" s="260"/>
      <c r="U212" s="260"/>
      <c r="V212" s="260"/>
      <c r="W212" s="260"/>
      <c r="X212" s="260"/>
      <c r="Y212" s="260"/>
    </row>
    <row r="213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60"/>
      <c r="R213" s="260"/>
      <c r="S213" s="260"/>
      <c r="T213" s="260"/>
      <c r="U213" s="260"/>
      <c r="V213" s="260"/>
      <c r="W213" s="260"/>
      <c r="X213" s="260"/>
      <c r="Y213" s="260"/>
    </row>
    <row r="214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60"/>
      <c r="R214" s="260"/>
      <c r="S214" s="260"/>
      <c r="T214" s="260"/>
      <c r="U214" s="260"/>
      <c r="V214" s="260"/>
      <c r="W214" s="260"/>
      <c r="X214" s="260"/>
      <c r="Y214" s="260"/>
    </row>
    <row r="215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60"/>
      <c r="R215" s="260"/>
      <c r="S215" s="260"/>
      <c r="T215" s="260"/>
      <c r="U215" s="260"/>
      <c r="V215" s="260"/>
      <c r="W215" s="260"/>
      <c r="X215" s="260"/>
      <c r="Y215" s="260"/>
    </row>
    <row r="216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60"/>
      <c r="R216" s="260"/>
      <c r="S216" s="260"/>
      <c r="T216" s="260"/>
      <c r="U216" s="260"/>
      <c r="V216" s="260"/>
      <c r="W216" s="260"/>
      <c r="X216" s="260"/>
      <c r="Y216" s="260"/>
    </row>
    <row r="217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60"/>
      <c r="R217" s="260"/>
      <c r="S217" s="260"/>
      <c r="T217" s="260"/>
      <c r="U217" s="260"/>
      <c r="V217" s="260"/>
      <c r="W217" s="260"/>
      <c r="X217" s="260"/>
      <c r="Y217" s="260"/>
    </row>
    <row r="218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60"/>
      <c r="R218" s="260"/>
      <c r="S218" s="260"/>
      <c r="T218" s="260"/>
      <c r="U218" s="260"/>
      <c r="V218" s="260"/>
      <c r="W218" s="260"/>
      <c r="X218" s="260"/>
      <c r="Y218" s="260"/>
    </row>
    <row r="219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60"/>
      <c r="R219" s="260"/>
      <c r="S219" s="260"/>
      <c r="T219" s="260"/>
      <c r="U219" s="260"/>
      <c r="V219" s="260"/>
      <c r="W219" s="260"/>
      <c r="X219" s="260"/>
      <c r="Y219" s="260"/>
    </row>
    <row r="220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60"/>
      <c r="R220" s="260"/>
      <c r="S220" s="260"/>
      <c r="T220" s="260"/>
      <c r="U220" s="260"/>
      <c r="V220" s="260"/>
      <c r="W220" s="260"/>
      <c r="X220" s="260"/>
      <c r="Y220" s="260"/>
    </row>
    <row r="221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60"/>
      <c r="R221" s="260"/>
      <c r="S221" s="260"/>
      <c r="T221" s="260"/>
      <c r="U221" s="260"/>
      <c r="V221" s="260"/>
      <c r="W221" s="260"/>
      <c r="X221" s="260"/>
      <c r="Y221" s="260"/>
    </row>
    <row r="222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60"/>
      <c r="R222" s="260"/>
      <c r="S222" s="260"/>
      <c r="T222" s="260"/>
      <c r="U222" s="260"/>
      <c r="V222" s="260"/>
      <c r="W222" s="260"/>
      <c r="X222" s="260"/>
      <c r="Y222" s="260"/>
    </row>
    <row r="223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60"/>
      <c r="R223" s="260"/>
      <c r="S223" s="260"/>
      <c r="T223" s="260"/>
      <c r="U223" s="260"/>
      <c r="V223" s="260"/>
      <c r="W223" s="260"/>
      <c r="X223" s="260"/>
      <c r="Y223" s="260"/>
    </row>
    <row r="224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60"/>
      <c r="R224" s="260"/>
      <c r="S224" s="260"/>
      <c r="T224" s="260"/>
      <c r="U224" s="260"/>
      <c r="V224" s="260"/>
      <c r="W224" s="260"/>
      <c r="X224" s="260"/>
      <c r="Y224" s="260"/>
    </row>
    <row r="225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60"/>
      <c r="R225" s="260"/>
      <c r="S225" s="260"/>
      <c r="T225" s="260"/>
      <c r="U225" s="260"/>
      <c r="V225" s="260"/>
      <c r="W225" s="260"/>
      <c r="X225" s="260"/>
      <c r="Y225" s="260"/>
    </row>
    <row r="226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60"/>
      <c r="R226" s="260"/>
      <c r="S226" s="260"/>
      <c r="T226" s="260"/>
      <c r="U226" s="260"/>
      <c r="V226" s="260"/>
      <c r="W226" s="260"/>
      <c r="X226" s="260"/>
      <c r="Y226" s="260"/>
    </row>
    <row r="227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60"/>
      <c r="R227" s="260"/>
      <c r="S227" s="260"/>
      <c r="T227" s="260"/>
      <c r="U227" s="260"/>
      <c r="V227" s="260"/>
      <c r="W227" s="260"/>
      <c r="X227" s="260"/>
      <c r="Y227" s="260"/>
    </row>
    <row r="228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60"/>
      <c r="R228" s="260"/>
      <c r="S228" s="260"/>
      <c r="T228" s="260"/>
      <c r="U228" s="260"/>
      <c r="V228" s="260"/>
      <c r="W228" s="260"/>
      <c r="X228" s="260"/>
      <c r="Y228" s="260"/>
    </row>
    <row r="229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60"/>
      <c r="R229" s="260"/>
      <c r="S229" s="260"/>
      <c r="T229" s="260"/>
      <c r="U229" s="260"/>
      <c r="V229" s="260"/>
      <c r="W229" s="260"/>
      <c r="X229" s="260"/>
      <c r="Y229" s="260"/>
    </row>
    <row r="230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60"/>
      <c r="R230" s="260"/>
      <c r="S230" s="260"/>
      <c r="T230" s="260"/>
      <c r="U230" s="260"/>
      <c r="V230" s="260"/>
      <c r="W230" s="260"/>
      <c r="X230" s="260"/>
      <c r="Y230" s="260"/>
    </row>
    <row r="231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60"/>
      <c r="R231" s="260"/>
      <c r="S231" s="260"/>
      <c r="T231" s="260"/>
      <c r="U231" s="260"/>
      <c r="V231" s="260"/>
      <c r="W231" s="260"/>
      <c r="X231" s="260"/>
      <c r="Y231" s="260"/>
    </row>
    <row r="232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60"/>
      <c r="R232" s="260"/>
      <c r="S232" s="260"/>
      <c r="T232" s="260"/>
      <c r="U232" s="260"/>
      <c r="V232" s="260"/>
      <c r="W232" s="260"/>
      <c r="X232" s="260"/>
      <c r="Y232" s="260"/>
    </row>
    <row r="233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60"/>
      <c r="R233" s="260"/>
      <c r="S233" s="260"/>
      <c r="T233" s="260"/>
      <c r="U233" s="260"/>
      <c r="V233" s="260"/>
      <c r="W233" s="260"/>
      <c r="X233" s="260"/>
      <c r="Y233" s="260"/>
    </row>
    <row r="234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60"/>
      <c r="R234" s="260"/>
      <c r="S234" s="260"/>
      <c r="T234" s="260"/>
      <c r="U234" s="260"/>
      <c r="V234" s="260"/>
      <c r="W234" s="260"/>
      <c r="X234" s="260"/>
      <c r="Y234" s="260"/>
    </row>
    <row r="235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60"/>
      <c r="R235" s="260"/>
      <c r="S235" s="260"/>
      <c r="T235" s="260"/>
      <c r="U235" s="260"/>
      <c r="V235" s="260"/>
      <c r="W235" s="260"/>
      <c r="X235" s="260"/>
      <c r="Y235" s="260"/>
    </row>
    <row r="236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60"/>
      <c r="R236" s="260"/>
      <c r="S236" s="260"/>
      <c r="T236" s="260"/>
      <c r="U236" s="260"/>
      <c r="V236" s="260"/>
      <c r="W236" s="260"/>
      <c r="X236" s="260"/>
      <c r="Y236" s="260"/>
    </row>
    <row r="237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60"/>
      <c r="R237" s="260"/>
      <c r="S237" s="260"/>
      <c r="T237" s="260"/>
      <c r="U237" s="260"/>
      <c r="V237" s="260"/>
      <c r="W237" s="260"/>
      <c r="X237" s="260"/>
      <c r="Y237" s="260"/>
    </row>
    <row r="238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60"/>
      <c r="R238" s="260"/>
      <c r="S238" s="260"/>
      <c r="T238" s="260"/>
      <c r="U238" s="260"/>
      <c r="V238" s="260"/>
      <c r="W238" s="260"/>
      <c r="X238" s="260"/>
      <c r="Y238" s="260"/>
    </row>
    <row r="239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60"/>
      <c r="R239" s="260"/>
      <c r="S239" s="260"/>
      <c r="T239" s="260"/>
      <c r="U239" s="260"/>
      <c r="V239" s="260"/>
      <c r="W239" s="260"/>
      <c r="X239" s="260"/>
      <c r="Y239" s="260"/>
    </row>
    <row r="240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60"/>
      <c r="R240" s="260"/>
      <c r="S240" s="260"/>
      <c r="T240" s="260"/>
      <c r="U240" s="260"/>
      <c r="V240" s="260"/>
      <c r="W240" s="260"/>
      <c r="X240" s="260"/>
      <c r="Y240" s="260"/>
    </row>
    <row r="241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60"/>
      <c r="R241" s="260"/>
      <c r="S241" s="260"/>
      <c r="T241" s="260"/>
      <c r="U241" s="260"/>
      <c r="V241" s="260"/>
      <c r="W241" s="260"/>
      <c r="X241" s="260"/>
      <c r="Y241" s="260"/>
    </row>
    <row r="242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60"/>
      <c r="R242" s="260"/>
      <c r="S242" s="260"/>
      <c r="T242" s="260"/>
      <c r="U242" s="260"/>
      <c r="V242" s="260"/>
      <c r="W242" s="260"/>
      <c r="X242" s="260"/>
      <c r="Y242" s="260"/>
    </row>
    <row r="243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60"/>
      <c r="R243" s="260"/>
      <c r="S243" s="260"/>
      <c r="T243" s="260"/>
      <c r="U243" s="260"/>
      <c r="V243" s="260"/>
      <c r="W243" s="260"/>
      <c r="X243" s="260"/>
      <c r="Y243" s="260"/>
    </row>
    <row r="244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60"/>
      <c r="R244" s="260"/>
      <c r="S244" s="260"/>
      <c r="T244" s="260"/>
      <c r="U244" s="260"/>
      <c r="V244" s="260"/>
      <c r="W244" s="260"/>
      <c r="X244" s="260"/>
      <c r="Y244" s="260"/>
    </row>
    <row r="245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60"/>
      <c r="R245" s="260"/>
      <c r="S245" s="260"/>
      <c r="T245" s="260"/>
      <c r="U245" s="260"/>
      <c r="V245" s="260"/>
      <c r="W245" s="260"/>
      <c r="X245" s="260"/>
      <c r="Y245" s="260"/>
    </row>
    <row r="246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60"/>
      <c r="R246" s="260"/>
      <c r="S246" s="260"/>
      <c r="T246" s="260"/>
      <c r="U246" s="260"/>
      <c r="V246" s="260"/>
      <c r="W246" s="260"/>
      <c r="X246" s="260"/>
      <c r="Y246" s="260"/>
    </row>
    <row r="247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60"/>
      <c r="R247" s="260"/>
      <c r="S247" s="260"/>
      <c r="T247" s="260"/>
      <c r="U247" s="260"/>
      <c r="V247" s="260"/>
      <c r="W247" s="260"/>
      <c r="X247" s="260"/>
      <c r="Y247" s="260"/>
    </row>
    <row r="248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60"/>
      <c r="R248" s="260"/>
      <c r="S248" s="260"/>
      <c r="T248" s="260"/>
      <c r="U248" s="260"/>
      <c r="V248" s="260"/>
      <c r="W248" s="260"/>
      <c r="X248" s="260"/>
      <c r="Y248" s="260"/>
    </row>
    <row r="249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60"/>
      <c r="R249" s="260"/>
      <c r="S249" s="260"/>
      <c r="T249" s="260"/>
      <c r="U249" s="260"/>
      <c r="V249" s="260"/>
      <c r="W249" s="260"/>
      <c r="X249" s="260"/>
      <c r="Y249" s="260"/>
    </row>
    <row r="250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60"/>
      <c r="R250" s="260"/>
      <c r="S250" s="260"/>
      <c r="T250" s="260"/>
      <c r="U250" s="260"/>
      <c r="V250" s="260"/>
      <c r="W250" s="260"/>
      <c r="X250" s="260"/>
      <c r="Y250" s="260"/>
    </row>
    <row r="251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60"/>
      <c r="R251" s="260"/>
      <c r="S251" s="260"/>
      <c r="T251" s="260"/>
      <c r="U251" s="260"/>
      <c r="V251" s="260"/>
      <c r="W251" s="260"/>
      <c r="X251" s="260"/>
      <c r="Y251" s="260"/>
    </row>
    <row r="252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60"/>
      <c r="R252" s="260"/>
      <c r="S252" s="260"/>
      <c r="T252" s="260"/>
      <c r="U252" s="260"/>
      <c r="V252" s="260"/>
      <c r="W252" s="260"/>
      <c r="X252" s="260"/>
      <c r="Y252" s="260"/>
    </row>
    <row r="253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60"/>
      <c r="R253" s="260"/>
      <c r="S253" s="260"/>
      <c r="T253" s="260"/>
      <c r="U253" s="260"/>
      <c r="V253" s="260"/>
      <c r="W253" s="260"/>
      <c r="X253" s="260"/>
      <c r="Y253" s="260"/>
    </row>
    <row r="254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60"/>
      <c r="R254" s="260"/>
      <c r="S254" s="260"/>
      <c r="T254" s="260"/>
      <c r="U254" s="260"/>
      <c r="V254" s="260"/>
      <c r="W254" s="260"/>
      <c r="X254" s="260"/>
      <c r="Y254" s="260"/>
    </row>
    <row r="255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60"/>
      <c r="R255" s="260"/>
      <c r="S255" s="260"/>
      <c r="T255" s="260"/>
      <c r="U255" s="260"/>
      <c r="V255" s="260"/>
      <c r="W255" s="260"/>
      <c r="X255" s="260"/>
      <c r="Y255" s="260"/>
    </row>
    <row r="256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60"/>
      <c r="R256" s="260"/>
      <c r="S256" s="260"/>
      <c r="T256" s="260"/>
      <c r="U256" s="260"/>
      <c r="V256" s="260"/>
      <c r="W256" s="260"/>
      <c r="X256" s="260"/>
      <c r="Y256" s="260"/>
    </row>
    <row r="257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60"/>
      <c r="R257" s="260"/>
      <c r="S257" s="260"/>
      <c r="T257" s="260"/>
      <c r="U257" s="260"/>
      <c r="V257" s="260"/>
      <c r="W257" s="260"/>
      <c r="X257" s="260"/>
      <c r="Y257" s="260"/>
    </row>
    <row r="258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60"/>
      <c r="R258" s="260"/>
      <c r="S258" s="260"/>
      <c r="T258" s="260"/>
      <c r="U258" s="260"/>
      <c r="V258" s="260"/>
      <c r="W258" s="260"/>
      <c r="X258" s="260"/>
      <c r="Y258" s="260"/>
    </row>
    <row r="259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60"/>
      <c r="R259" s="260"/>
      <c r="S259" s="260"/>
      <c r="T259" s="260"/>
      <c r="U259" s="260"/>
      <c r="V259" s="260"/>
      <c r="W259" s="260"/>
      <c r="X259" s="260"/>
      <c r="Y259" s="260"/>
    </row>
    <row r="260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60"/>
      <c r="R260" s="260"/>
      <c r="S260" s="260"/>
      <c r="T260" s="260"/>
      <c r="U260" s="260"/>
      <c r="V260" s="260"/>
      <c r="W260" s="260"/>
      <c r="X260" s="260"/>
      <c r="Y260" s="260"/>
    </row>
    <row r="261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60"/>
      <c r="R261" s="260"/>
      <c r="S261" s="260"/>
      <c r="T261" s="260"/>
      <c r="U261" s="260"/>
      <c r="V261" s="260"/>
      <c r="W261" s="260"/>
      <c r="X261" s="260"/>
      <c r="Y261" s="260"/>
    </row>
    <row r="262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60"/>
      <c r="R262" s="260"/>
      <c r="S262" s="260"/>
      <c r="T262" s="260"/>
      <c r="U262" s="260"/>
      <c r="V262" s="260"/>
      <c r="W262" s="260"/>
      <c r="X262" s="260"/>
      <c r="Y262" s="260"/>
    </row>
    <row r="263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60"/>
      <c r="R263" s="260"/>
      <c r="S263" s="260"/>
      <c r="T263" s="260"/>
      <c r="U263" s="260"/>
      <c r="V263" s="260"/>
      <c r="W263" s="260"/>
      <c r="X263" s="260"/>
      <c r="Y263" s="260"/>
    </row>
    <row r="264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60"/>
      <c r="R264" s="260"/>
      <c r="S264" s="260"/>
      <c r="T264" s="260"/>
      <c r="U264" s="260"/>
      <c r="V264" s="260"/>
      <c r="W264" s="260"/>
      <c r="X264" s="260"/>
      <c r="Y264" s="260"/>
    </row>
    <row r="265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60"/>
      <c r="R265" s="260"/>
      <c r="S265" s="260"/>
      <c r="T265" s="260"/>
      <c r="U265" s="260"/>
      <c r="V265" s="260"/>
      <c r="W265" s="260"/>
      <c r="X265" s="260"/>
      <c r="Y265" s="260"/>
    </row>
    <row r="266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60"/>
      <c r="R266" s="260"/>
      <c r="S266" s="260"/>
      <c r="T266" s="260"/>
      <c r="U266" s="260"/>
      <c r="V266" s="260"/>
      <c r="W266" s="260"/>
      <c r="X266" s="260"/>
      <c r="Y266" s="260"/>
    </row>
    <row r="267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60"/>
      <c r="R267" s="260"/>
      <c r="S267" s="260"/>
      <c r="T267" s="260"/>
      <c r="U267" s="260"/>
      <c r="V267" s="260"/>
      <c r="W267" s="260"/>
      <c r="X267" s="260"/>
      <c r="Y267" s="260"/>
    </row>
    <row r="268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60"/>
      <c r="R268" s="260"/>
      <c r="S268" s="260"/>
      <c r="T268" s="260"/>
      <c r="U268" s="260"/>
      <c r="V268" s="260"/>
      <c r="W268" s="260"/>
      <c r="X268" s="260"/>
      <c r="Y268" s="260"/>
    </row>
    <row r="269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60"/>
      <c r="R269" s="260"/>
      <c r="S269" s="260"/>
      <c r="T269" s="260"/>
      <c r="U269" s="260"/>
      <c r="V269" s="260"/>
      <c r="W269" s="260"/>
      <c r="X269" s="260"/>
      <c r="Y269" s="260"/>
    </row>
    <row r="270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60"/>
      <c r="R270" s="260"/>
      <c r="S270" s="260"/>
      <c r="T270" s="260"/>
      <c r="U270" s="260"/>
      <c r="V270" s="260"/>
      <c r="W270" s="260"/>
      <c r="X270" s="260"/>
      <c r="Y270" s="260"/>
    </row>
    <row r="271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60"/>
      <c r="R271" s="260"/>
      <c r="S271" s="260"/>
      <c r="T271" s="260"/>
      <c r="U271" s="260"/>
      <c r="V271" s="260"/>
      <c r="W271" s="260"/>
      <c r="X271" s="260"/>
      <c r="Y271" s="260"/>
    </row>
    <row r="272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60"/>
      <c r="R272" s="260"/>
      <c r="S272" s="260"/>
      <c r="T272" s="260"/>
      <c r="U272" s="260"/>
      <c r="V272" s="260"/>
      <c r="W272" s="260"/>
      <c r="X272" s="260"/>
      <c r="Y272" s="260"/>
    </row>
    <row r="273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60"/>
      <c r="R273" s="260"/>
      <c r="S273" s="260"/>
      <c r="T273" s="260"/>
      <c r="U273" s="260"/>
      <c r="V273" s="260"/>
      <c r="W273" s="260"/>
      <c r="X273" s="260"/>
      <c r="Y273" s="260"/>
    </row>
    <row r="274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60"/>
      <c r="R274" s="260"/>
      <c r="S274" s="260"/>
      <c r="T274" s="260"/>
      <c r="U274" s="260"/>
      <c r="V274" s="260"/>
      <c r="W274" s="260"/>
      <c r="X274" s="260"/>
      <c r="Y274" s="260"/>
    </row>
    <row r="275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60"/>
      <c r="R275" s="260"/>
      <c r="S275" s="260"/>
      <c r="T275" s="260"/>
      <c r="U275" s="260"/>
      <c r="V275" s="260"/>
      <c r="W275" s="260"/>
      <c r="X275" s="260"/>
      <c r="Y275" s="260"/>
    </row>
    <row r="276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60"/>
      <c r="R276" s="260"/>
      <c r="S276" s="260"/>
      <c r="T276" s="260"/>
      <c r="U276" s="260"/>
      <c r="V276" s="260"/>
      <c r="W276" s="260"/>
      <c r="X276" s="260"/>
      <c r="Y276" s="260"/>
    </row>
    <row r="277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60"/>
      <c r="R277" s="260"/>
      <c r="S277" s="260"/>
      <c r="T277" s="260"/>
      <c r="U277" s="260"/>
      <c r="V277" s="260"/>
      <c r="W277" s="260"/>
      <c r="X277" s="260"/>
      <c r="Y277" s="260"/>
    </row>
    <row r="278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60"/>
      <c r="R278" s="260"/>
      <c r="S278" s="260"/>
      <c r="T278" s="260"/>
      <c r="U278" s="260"/>
      <c r="V278" s="260"/>
      <c r="W278" s="260"/>
      <c r="X278" s="260"/>
      <c r="Y278" s="260"/>
    </row>
    <row r="279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60"/>
      <c r="R279" s="260"/>
      <c r="S279" s="260"/>
      <c r="T279" s="260"/>
      <c r="U279" s="260"/>
      <c r="V279" s="260"/>
      <c r="W279" s="260"/>
      <c r="X279" s="260"/>
      <c r="Y279" s="260"/>
    </row>
    <row r="280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60"/>
      <c r="R280" s="260"/>
      <c r="S280" s="260"/>
      <c r="T280" s="260"/>
      <c r="U280" s="260"/>
      <c r="V280" s="260"/>
      <c r="W280" s="260"/>
      <c r="X280" s="260"/>
      <c r="Y280" s="260"/>
    </row>
    <row r="281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60"/>
      <c r="R281" s="260"/>
      <c r="S281" s="260"/>
      <c r="T281" s="260"/>
      <c r="U281" s="260"/>
      <c r="V281" s="260"/>
      <c r="W281" s="260"/>
      <c r="X281" s="260"/>
      <c r="Y281" s="260"/>
    </row>
    <row r="282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60"/>
      <c r="R282" s="260"/>
      <c r="S282" s="260"/>
      <c r="T282" s="260"/>
      <c r="U282" s="260"/>
      <c r="V282" s="260"/>
      <c r="W282" s="260"/>
      <c r="X282" s="260"/>
      <c r="Y282" s="260"/>
    </row>
    <row r="283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60"/>
      <c r="R283" s="260"/>
      <c r="S283" s="260"/>
      <c r="T283" s="260"/>
      <c r="U283" s="260"/>
      <c r="V283" s="260"/>
      <c r="W283" s="260"/>
      <c r="X283" s="260"/>
      <c r="Y283" s="260"/>
    </row>
    <row r="284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60"/>
      <c r="R284" s="260"/>
      <c r="S284" s="260"/>
      <c r="T284" s="260"/>
      <c r="U284" s="260"/>
      <c r="V284" s="260"/>
      <c r="W284" s="260"/>
      <c r="X284" s="260"/>
      <c r="Y284" s="260"/>
    </row>
    <row r="285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60"/>
      <c r="R285" s="260"/>
      <c r="S285" s="260"/>
      <c r="T285" s="260"/>
      <c r="U285" s="260"/>
      <c r="V285" s="260"/>
      <c r="W285" s="260"/>
      <c r="X285" s="260"/>
      <c r="Y285" s="260"/>
    </row>
    <row r="286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60"/>
      <c r="R286" s="260"/>
      <c r="S286" s="260"/>
      <c r="T286" s="260"/>
      <c r="U286" s="260"/>
      <c r="V286" s="260"/>
      <c r="W286" s="260"/>
      <c r="X286" s="260"/>
      <c r="Y286" s="260"/>
    </row>
    <row r="287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60"/>
      <c r="R287" s="260"/>
      <c r="S287" s="260"/>
      <c r="T287" s="260"/>
      <c r="U287" s="260"/>
      <c r="V287" s="260"/>
      <c r="W287" s="260"/>
      <c r="X287" s="260"/>
      <c r="Y287" s="260"/>
    </row>
    <row r="288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60"/>
      <c r="R288" s="260"/>
      <c r="S288" s="260"/>
      <c r="T288" s="260"/>
      <c r="U288" s="260"/>
      <c r="V288" s="260"/>
      <c r="W288" s="260"/>
      <c r="X288" s="260"/>
      <c r="Y288" s="260"/>
    </row>
    <row r="289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60"/>
      <c r="R289" s="260"/>
      <c r="S289" s="260"/>
      <c r="T289" s="260"/>
      <c r="U289" s="260"/>
      <c r="V289" s="260"/>
      <c r="W289" s="260"/>
      <c r="X289" s="260"/>
      <c r="Y289" s="260"/>
    </row>
    <row r="290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60"/>
      <c r="R290" s="260"/>
      <c r="S290" s="260"/>
      <c r="T290" s="260"/>
      <c r="U290" s="260"/>
      <c r="V290" s="260"/>
      <c r="W290" s="260"/>
      <c r="X290" s="260"/>
      <c r="Y290" s="260"/>
    </row>
    <row r="291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60"/>
      <c r="R291" s="260"/>
      <c r="S291" s="260"/>
      <c r="T291" s="260"/>
      <c r="U291" s="260"/>
      <c r="V291" s="260"/>
      <c r="W291" s="260"/>
      <c r="X291" s="260"/>
      <c r="Y291" s="260"/>
    </row>
    <row r="292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60"/>
      <c r="R292" s="260"/>
      <c r="S292" s="260"/>
      <c r="T292" s="260"/>
      <c r="U292" s="260"/>
      <c r="V292" s="260"/>
      <c r="W292" s="260"/>
      <c r="X292" s="260"/>
      <c r="Y292" s="260"/>
    </row>
    <row r="293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60"/>
      <c r="R293" s="260"/>
      <c r="S293" s="260"/>
      <c r="T293" s="260"/>
      <c r="U293" s="260"/>
      <c r="V293" s="260"/>
      <c r="W293" s="260"/>
      <c r="X293" s="260"/>
      <c r="Y293" s="260"/>
    </row>
    <row r="294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60"/>
      <c r="R294" s="260"/>
      <c r="S294" s="260"/>
      <c r="T294" s="260"/>
      <c r="U294" s="260"/>
      <c r="V294" s="260"/>
      <c r="W294" s="260"/>
      <c r="X294" s="260"/>
      <c r="Y294" s="260"/>
    </row>
    <row r="295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60"/>
      <c r="R295" s="260"/>
      <c r="S295" s="260"/>
      <c r="T295" s="260"/>
      <c r="U295" s="260"/>
      <c r="V295" s="260"/>
      <c r="W295" s="260"/>
      <c r="X295" s="260"/>
      <c r="Y295" s="260"/>
    </row>
    <row r="296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60"/>
      <c r="R296" s="260"/>
      <c r="S296" s="260"/>
      <c r="T296" s="260"/>
      <c r="U296" s="260"/>
      <c r="V296" s="260"/>
      <c r="W296" s="260"/>
      <c r="X296" s="260"/>
      <c r="Y296" s="260"/>
    </row>
    <row r="297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60"/>
      <c r="R297" s="260"/>
      <c r="S297" s="260"/>
      <c r="T297" s="260"/>
      <c r="U297" s="260"/>
      <c r="V297" s="260"/>
      <c r="W297" s="260"/>
      <c r="X297" s="260"/>
      <c r="Y297" s="260"/>
    </row>
    <row r="298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60"/>
      <c r="R298" s="260"/>
      <c r="S298" s="260"/>
      <c r="T298" s="260"/>
      <c r="U298" s="260"/>
      <c r="V298" s="260"/>
      <c r="W298" s="260"/>
      <c r="X298" s="260"/>
      <c r="Y298" s="260"/>
    </row>
    <row r="299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60"/>
      <c r="R299" s="260"/>
      <c r="S299" s="260"/>
      <c r="T299" s="260"/>
      <c r="U299" s="260"/>
      <c r="V299" s="260"/>
      <c r="W299" s="260"/>
      <c r="X299" s="260"/>
      <c r="Y299" s="260"/>
    </row>
    <row r="300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60"/>
      <c r="R300" s="260"/>
      <c r="S300" s="260"/>
      <c r="T300" s="260"/>
      <c r="U300" s="260"/>
      <c r="V300" s="260"/>
      <c r="W300" s="260"/>
      <c r="X300" s="260"/>
      <c r="Y300" s="260"/>
    </row>
    <row r="301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60"/>
      <c r="R301" s="260"/>
      <c r="S301" s="260"/>
      <c r="T301" s="260"/>
      <c r="U301" s="260"/>
      <c r="V301" s="260"/>
      <c r="W301" s="260"/>
      <c r="X301" s="260"/>
      <c r="Y301" s="260"/>
    </row>
    <row r="302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60"/>
      <c r="R302" s="260"/>
      <c r="S302" s="260"/>
      <c r="T302" s="260"/>
      <c r="U302" s="260"/>
      <c r="V302" s="260"/>
      <c r="W302" s="260"/>
      <c r="X302" s="260"/>
      <c r="Y302" s="260"/>
    </row>
    <row r="303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60"/>
      <c r="R303" s="260"/>
      <c r="S303" s="260"/>
      <c r="T303" s="260"/>
      <c r="U303" s="260"/>
      <c r="V303" s="260"/>
      <c r="W303" s="260"/>
      <c r="X303" s="260"/>
      <c r="Y303" s="260"/>
    </row>
    <row r="304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60"/>
      <c r="R304" s="260"/>
      <c r="S304" s="260"/>
      <c r="T304" s="260"/>
      <c r="U304" s="260"/>
      <c r="V304" s="260"/>
      <c r="W304" s="260"/>
      <c r="X304" s="260"/>
      <c r="Y304" s="260"/>
    </row>
    <row r="305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60"/>
      <c r="R305" s="260"/>
      <c r="S305" s="260"/>
      <c r="T305" s="260"/>
      <c r="U305" s="260"/>
      <c r="V305" s="260"/>
      <c r="W305" s="260"/>
      <c r="X305" s="260"/>
      <c r="Y305" s="260"/>
    </row>
    <row r="306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60"/>
      <c r="R306" s="260"/>
      <c r="S306" s="260"/>
      <c r="T306" s="260"/>
      <c r="U306" s="260"/>
      <c r="V306" s="260"/>
      <c r="W306" s="260"/>
      <c r="X306" s="260"/>
      <c r="Y306" s="260"/>
    </row>
    <row r="307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60"/>
      <c r="R307" s="260"/>
      <c r="S307" s="260"/>
      <c r="T307" s="260"/>
      <c r="U307" s="260"/>
      <c r="V307" s="260"/>
      <c r="W307" s="260"/>
      <c r="X307" s="260"/>
      <c r="Y307" s="260"/>
    </row>
    <row r="308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60"/>
      <c r="R308" s="260"/>
      <c r="S308" s="260"/>
      <c r="T308" s="260"/>
      <c r="U308" s="260"/>
      <c r="V308" s="260"/>
      <c r="W308" s="260"/>
      <c r="X308" s="260"/>
      <c r="Y308" s="260"/>
    </row>
    <row r="309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60"/>
      <c r="R309" s="260"/>
      <c r="S309" s="260"/>
      <c r="T309" s="260"/>
      <c r="U309" s="260"/>
      <c r="V309" s="260"/>
      <c r="W309" s="260"/>
      <c r="X309" s="260"/>
      <c r="Y309" s="260"/>
    </row>
    <row r="310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60"/>
      <c r="R310" s="260"/>
      <c r="S310" s="260"/>
      <c r="T310" s="260"/>
      <c r="U310" s="260"/>
      <c r="V310" s="260"/>
      <c r="W310" s="260"/>
      <c r="X310" s="260"/>
      <c r="Y310" s="260"/>
    </row>
    <row r="31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60"/>
      <c r="R311" s="260"/>
      <c r="S311" s="260"/>
      <c r="T311" s="260"/>
      <c r="U311" s="260"/>
      <c r="V311" s="260"/>
      <c r="W311" s="260"/>
      <c r="X311" s="260"/>
      <c r="Y311" s="260"/>
    </row>
    <row r="312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60"/>
      <c r="R312" s="260"/>
      <c r="S312" s="260"/>
      <c r="T312" s="260"/>
      <c r="U312" s="260"/>
      <c r="V312" s="260"/>
      <c r="W312" s="260"/>
      <c r="X312" s="260"/>
      <c r="Y312" s="260"/>
    </row>
    <row r="313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60"/>
      <c r="R313" s="260"/>
      <c r="S313" s="260"/>
      <c r="T313" s="260"/>
      <c r="U313" s="260"/>
      <c r="V313" s="260"/>
      <c r="W313" s="260"/>
      <c r="X313" s="260"/>
      <c r="Y313" s="260"/>
    </row>
    <row r="314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60"/>
      <c r="R314" s="260"/>
      <c r="S314" s="260"/>
      <c r="T314" s="260"/>
      <c r="U314" s="260"/>
      <c r="V314" s="260"/>
      <c r="W314" s="260"/>
      <c r="X314" s="260"/>
      <c r="Y314" s="260"/>
    </row>
    <row r="315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60"/>
      <c r="R315" s="260"/>
      <c r="S315" s="260"/>
      <c r="T315" s="260"/>
      <c r="U315" s="260"/>
      <c r="V315" s="260"/>
      <c r="W315" s="260"/>
      <c r="X315" s="260"/>
      <c r="Y315" s="260"/>
    </row>
    <row r="316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60"/>
      <c r="R316" s="260"/>
      <c r="S316" s="260"/>
      <c r="T316" s="260"/>
      <c r="U316" s="260"/>
      <c r="V316" s="260"/>
      <c r="W316" s="260"/>
      <c r="X316" s="260"/>
      <c r="Y316" s="260"/>
    </row>
    <row r="317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60"/>
      <c r="R317" s="260"/>
      <c r="S317" s="260"/>
      <c r="T317" s="260"/>
      <c r="U317" s="260"/>
      <c r="V317" s="260"/>
      <c r="W317" s="260"/>
      <c r="X317" s="260"/>
      <c r="Y317" s="260"/>
    </row>
    <row r="318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60"/>
      <c r="R318" s="260"/>
      <c r="S318" s="260"/>
      <c r="T318" s="260"/>
      <c r="U318" s="260"/>
      <c r="V318" s="260"/>
      <c r="W318" s="260"/>
      <c r="X318" s="260"/>
      <c r="Y318" s="260"/>
    </row>
    <row r="319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60"/>
      <c r="R319" s="260"/>
      <c r="S319" s="260"/>
      <c r="T319" s="260"/>
      <c r="U319" s="260"/>
      <c r="V319" s="260"/>
      <c r="W319" s="260"/>
      <c r="X319" s="260"/>
      <c r="Y319" s="260"/>
    </row>
    <row r="320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60"/>
      <c r="R320" s="260"/>
      <c r="S320" s="260"/>
      <c r="T320" s="260"/>
      <c r="U320" s="260"/>
      <c r="V320" s="260"/>
      <c r="W320" s="260"/>
      <c r="X320" s="260"/>
      <c r="Y320" s="260"/>
    </row>
    <row r="32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60"/>
      <c r="R321" s="260"/>
      <c r="S321" s="260"/>
      <c r="T321" s="260"/>
      <c r="U321" s="260"/>
      <c r="V321" s="260"/>
      <c r="W321" s="260"/>
      <c r="X321" s="260"/>
      <c r="Y321" s="260"/>
    </row>
    <row r="322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60"/>
      <c r="R322" s="260"/>
      <c r="S322" s="260"/>
      <c r="T322" s="260"/>
      <c r="U322" s="260"/>
      <c r="V322" s="260"/>
      <c r="W322" s="260"/>
      <c r="X322" s="260"/>
      <c r="Y322" s="260"/>
    </row>
    <row r="323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60"/>
      <c r="R323" s="260"/>
      <c r="S323" s="260"/>
      <c r="T323" s="260"/>
      <c r="U323" s="260"/>
      <c r="V323" s="260"/>
      <c r="W323" s="260"/>
      <c r="X323" s="260"/>
      <c r="Y323" s="260"/>
    </row>
    <row r="324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60"/>
      <c r="R324" s="260"/>
      <c r="S324" s="260"/>
      <c r="T324" s="260"/>
      <c r="U324" s="260"/>
      <c r="V324" s="260"/>
      <c r="W324" s="260"/>
      <c r="X324" s="260"/>
      <c r="Y324" s="260"/>
    </row>
    <row r="325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60"/>
      <c r="R325" s="260"/>
      <c r="S325" s="260"/>
      <c r="T325" s="260"/>
      <c r="U325" s="260"/>
      <c r="V325" s="260"/>
      <c r="W325" s="260"/>
      <c r="X325" s="260"/>
      <c r="Y325" s="260"/>
    </row>
    <row r="326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60"/>
      <c r="R326" s="260"/>
      <c r="S326" s="260"/>
      <c r="T326" s="260"/>
      <c r="U326" s="260"/>
      <c r="V326" s="260"/>
      <c r="W326" s="260"/>
      <c r="X326" s="260"/>
      <c r="Y326" s="260"/>
    </row>
    <row r="327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60"/>
      <c r="R327" s="260"/>
      <c r="S327" s="260"/>
      <c r="T327" s="260"/>
      <c r="U327" s="260"/>
      <c r="V327" s="260"/>
      <c r="W327" s="260"/>
      <c r="X327" s="260"/>
      <c r="Y327" s="260"/>
    </row>
    <row r="328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60"/>
      <c r="R328" s="260"/>
      <c r="S328" s="260"/>
      <c r="T328" s="260"/>
      <c r="U328" s="260"/>
      <c r="V328" s="260"/>
      <c r="W328" s="260"/>
      <c r="X328" s="260"/>
      <c r="Y328" s="260"/>
    </row>
    <row r="329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60"/>
      <c r="R329" s="260"/>
      <c r="S329" s="260"/>
      <c r="T329" s="260"/>
      <c r="U329" s="260"/>
      <c r="V329" s="260"/>
      <c r="W329" s="260"/>
      <c r="X329" s="260"/>
      <c r="Y329" s="260"/>
    </row>
    <row r="330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60"/>
      <c r="R330" s="260"/>
      <c r="S330" s="260"/>
      <c r="T330" s="260"/>
      <c r="U330" s="260"/>
      <c r="V330" s="260"/>
      <c r="W330" s="260"/>
      <c r="X330" s="260"/>
      <c r="Y330" s="260"/>
    </row>
    <row r="33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60"/>
      <c r="R331" s="260"/>
      <c r="S331" s="260"/>
      <c r="T331" s="260"/>
      <c r="U331" s="260"/>
      <c r="V331" s="260"/>
      <c r="W331" s="260"/>
      <c r="X331" s="260"/>
      <c r="Y331" s="260"/>
    </row>
    <row r="332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60"/>
      <c r="R332" s="260"/>
      <c r="S332" s="260"/>
      <c r="T332" s="260"/>
      <c r="U332" s="260"/>
      <c r="V332" s="260"/>
      <c r="W332" s="260"/>
      <c r="X332" s="260"/>
      <c r="Y332" s="260"/>
    </row>
    <row r="333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60"/>
      <c r="R333" s="260"/>
      <c r="S333" s="260"/>
      <c r="T333" s="260"/>
      <c r="U333" s="260"/>
      <c r="V333" s="260"/>
      <c r="W333" s="260"/>
      <c r="X333" s="260"/>
      <c r="Y333" s="260"/>
    </row>
    <row r="334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60"/>
      <c r="R334" s="260"/>
      <c r="S334" s="260"/>
      <c r="T334" s="260"/>
      <c r="U334" s="260"/>
      <c r="V334" s="260"/>
      <c r="W334" s="260"/>
      <c r="X334" s="260"/>
      <c r="Y334" s="260"/>
    </row>
    <row r="335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60"/>
      <c r="R335" s="260"/>
      <c r="S335" s="260"/>
      <c r="T335" s="260"/>
      <c r="U335" s="260"/>
      <c r="V335" s="260"/>
      <c r="W335" s="260"/>
      <c r="X335" s="260"/>
      <c r="Y335" s="260"/>
    </row>
    <row r="336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60"/>
      <c r="R336" s="260"/>
      <c r="S336" s="260"/>
      <c r="T336" s="260"/>
      <c r="U336" s="260"/>
      <c r="V336" s="260"/>
      <c r="W336" s="260"/>
      <c r="X336" s="260"/>
      <c r="Y336" s="260"/>
    </row>
    <row r="337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60"/>
      <c r="R337" s="260"/>
      <c r="S337" s="260"/>
      <c r="T337" s="260"/>
      <c r="U337" s="260"/>
      <c r="V337" s="260"/>
      <c r="W337" s="260"/>
      <c r="X337" s="260"/>
      <c r="Y337" s="260"/>
    </row>
    <row r="338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60"/>
      <c r="R338" s="260"/>
      <c r="S338" s="260"/>
      <c r="T338" s="260"/>
      <c r="U338" s="260"/>
      <c r="V338" s="260"/>
      <c r="W338" s="260"/>
      <c r="X338" s="260"/>
      <c r="Y338" s="260"/>
    </row>
    <row r="339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60"/>
      <c r="R339" s="260"/>
      <c r="S339" s="260"/>
      <c r="T339" s="260"/>
      <c r="U339" s="260"/>
      <c r="V339" s="260"/>
      <c r="W339" s="260"/>
      <c r="X339" s="260"/>
      <c r="Y339" s="260"/>
    </row>
    <row r="340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60"/>
      <c r="R340" s="260"/>
      <c r="S340" s="260"/>
      <c r="T340" s="260"/>
      <c r="U340" s="260"/>
      <c r="V340" s="260"/>
      <c r="W340" s="260"/>
      <c r="X340" s="260"/>
      <c r="Y340" s="260"/>
    </row>
    <row r="34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60"/>
      <c r="R341" s="260"/>
      <c r="S341" s="260"/>
      <c r="T341" s="260"/>
      <c r="U341" s="260"/>
      <c r="V341" s="260"/>
      <c r="W341" s="260"/>
      <c r="X341" s="260"/>
      <c r="Y341" s="260"/>
    </row>
    <row r="342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60"/>
      <c r="R342" s="260"/>
      <c r="S342" s="260"/>
      <c r="T342" s="260"/>
      <c r="U342" s="260"/>
      <c r="V342" s="260"/>
      <c r="W342" s="260"/>
      <c r="X342" s="260"/>
      <c r="Y342" s="260"/>
    </row>
    <row r="343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60"/>
      <c r="R343" s="260"/>
      <c r="S343" s="260"/>
      <c r="T343" s="260"/>
      <c r="U343" s="260"/>
      <c r="V343" s="260"/>
      <c r="W343" s="260"/>
      <c r="X343" s="260"/>
      <c r="Y343" s="260"/>
    </row>
    <row r="344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60"/>
      <c r="R344" s="260"/>
      <c r="S344" s="260"/>
      <c r="T344" s="260"/>
      <c r="U344" s="260"/>
      <c r="V344" s="260"/>
      <c r="W344" s="260"/>
      <c r="X344" s="260"/>
      <c r="Y344" s="260"/>
    </row>
    <row r="345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60"/>
      <c r="R345" s="260"/>
      <c r="S345" s="260"/>
      <c r="T345" s="260"/>
      <c r="U345" s="260"/>
      <c r="V345" s="260"/>
      <c r="W345" s="260"/>
      <c r="X345" s="260"/>
      <c r="Y345" s="260"/>
    </row>
    <row r="346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60"/>
      <c r="R346" s="260"/>
      <c r="S346" s="260"/>
      <c r="T346" s="260"/>
      <c r="U346" s="260"/>
      <c r="V346" s="260"/>
      <c r="W346" s="260"/>
      <c r="X346" s="260"/>
      <c r="Y346" s="260"/>
    </row>
    <row r="347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60"/>
      <c r="R347" s="260"/>
      <c r="S347" s="260"/>
      <c r="T347" s="260"/>
      <c r="U347" s="260"/>
      <c r="V347" s="260"/>
      <c r="W347" s="260"/>
      <c r="X347" s="260"/>
      <c r="Y347" s="260"/>
    </row>
    <row r="348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60"/>
      <c r="R348" s="260"/>
      <c r="S348" s="260"/>
      <c r="T348" s="260"/>
      <c r="U348" s="260"/>
      <c r="V348" s="260"/>
      <c r="W348" s="260"/>
      <c r="X348" s="260"/>
      <c r="Y348" s="260"/>
    </row>
    <row r="349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60"/>
      <c r="R349" s="260"/>
      <c r="S349" s="260"/>
      <c r="T349" s="260"/>
      <c r="U349" s="260"/>
      <c r="V349" s="260"/>
      <c r="W349" s="260"/>
      <c r="X349" s="260"/>
      <c r="Y349" s="260"/>
    </row>
    <row r="350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60"/>
      <c r="R350" s="260"/>
      <c r="S350" s="260"/>
      <c r="T350" s="260"/>
      <c r="U350" s="260"/>
      <c r="V350" s="260"/>
      <c r="W350" s="260"/>
      <c r="X350" s="260"/>
      <c r="Y350" s="260"/>
    </row>
    <row r="35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60"/>
      <c r="R351" s="260"/>
      <c r="S351" s="260"/>
      <c r="T351" s="260"/>
      <c r="U351" s="260"/>
      <c r="V351" s="260"/>
      <c r="W351" s="260"/>
      <c r="X351" s="260"/>
      <c r="Y351" s="260"/>
    </row>
    <row r="352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60"/>
      <c r="R352" s="260"/>
      <c r="S352" s="260"/>
      <c r="T352" s="260"/>
      <c r="U352" s="260"/>
      <c r="V352" s="260"/>
      <c r="W352" s="260"/>
      <c r="X352" s="260"/>
      <c r="Y352" s="260"/>
    </row>
    <row r="353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60"/>
      <c r="R353" s="260"/>
      <c r="S353" s="260"/>
      <c r="T353" s="260"/>
      <c r="U353" s="260"/>
      <c r="V353" s="260"/>
      <c r="W353" s="260"/>
      <c r="X353" s="260"/>
      <c r="Y353" s="260"/>
    </row>
    <row r="354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60"/>
      <c r="R354" s="260"/>
      <c r="S354" s="260"/>
      <c r="T354" s="260"/>
      <c r="U354" s="260"/>
      <c r="V354" s="260"/>
      <c r="W354" s="260"/>
      <c r="X354" s="260"/>
      <c r="Y354" s="260"/>
    </row>
    <row r="355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60"/>
      <c r="R355" s="260"/>
      <c r="S355" s="260"/>
      <c r="T355" s="260"/>
      <c r="U355" s="260"/>
      <c r="V355" s="260"/>
      <c r="W355" s="260"/>
      <c r="X355" s="260"/>
      <c r="Y355" s="260"/>
    </row>
    <row r="356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60"/>
      <c r="R356" s="260"/>
      <c r="S356" s="260"/>
      <c r="T356" s="260"/>
      <c r="U356" s="260"/>
      <c r="V356" s="260"/>
      <c r="W356" s="260"/>
      <c r="X356" s="260"/>
      <c r="Y356" s="260"/>
    </row>
    <row r="357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60"/>
      <c r="R357" s="260"/>
      <c r="S357" s="260"/>
      <c r="T357" s="260"/>
      <c r="U357" s="260"/>
      <c r="V357" s="260"/>
      <c r="W357" s="260"/>
      <c r="X357" s="260"/>
      <c r="Y357" s="260"/>
    </row>
    <row r="358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60"/>
      <c r="R358" s="260"/>
      <c r="S358" s="260"/>
      <c r="T358" s="260"/>
      <c r="U358" s="260"/>
      <c r="V358" s="260"/>
      <c r="W358" s="260"/>
      <c r="X358" s="260"/>
      <c r="Y358" s="260"/>
    </row>
    <row r="359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60"/>
      <c r="R359" s="260"/>
      <c r="S359" s="260"/>
      <c r="T359" s="260"/>
      <c r="U359" s="260"/>
      <c r="V359" s="260"/>
      <c r="W359" s="260"/>
      <c r="X359" s="260"/>
      <c r="Y359" s="260"/>
    </row>
    <row r="360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60"/>
      <c r="R360" s="260"/>
      <c r="S360" s="260"/>
      <c r="T360" s="260"/>
      <c r="U360" s="260"/>
      <c r="V360" s="260"/>
      <c r="W360" s="260"/>
      <c r="X360" s="260"/>
      <c r="Y360" s="260"/>
    </row>
    <row r="36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60"/>
      <c r="R361" s="260"/>
      <c r="S361" s="260"/>
      <c r="T361" s="260"/>
      <c r="U361" s="260"/>
      <c r="V361" s="260"/>
      <c r="W361" s="260"/>
      <c r="X361" s="260"/>
      <c r="Y361" s="260"/>
    </row>
    <row r="362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60"/>
      <c r="R362" s="260"/>
      <c r="S362" s="260"/>
      <c r="T362" s="260"/>
      <c r="U362" s="260"/>
      <c r="V362" s="260"/>
      <c r="W362" s="260"/>
      <c r="X362" s="260"/>
      <c r="Y362" s="260"/>
    </row>
    <row r="363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60"/>
      <c r="R363" s="260"/>
      <c r="S363" s="260"/>
      <c r="T363" s="260"/>
      <c r="U363" s="260"/>
      <c r="V363" s="260"/>
      <c r="W363" s="260"/>
      <c r="X363" s="260"/>
      <c r="Y363" s="260"/>
    </row>
    <row r="364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60"/>
      <c r="R364" s="260"/>
      <c r="S364" s="260"/>
      <c r="T364" s="260"/>
      <c r="U364" s="260"/>
      <c r="V364" s="260"/>
      <c r="W364" s="260"/>
      <c r="X364" s="260"/>
      <c r="Y364" s="260"/>
    </row>
    <row r="365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60"/>
      <c r="R365" s="260"/>
      <c r="S365" s="260"/>
      <c r="T365" s="260"/>
      <c r="U365" s="260"/>
      <c r="V365" s="260"/>
      <c r="W365" s="260"/>
      <c r="X365" s="260"/>
      <c r="Y365" s="260"/>
    </row>
    <row r="366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60"/>
      <c r="R366" s="260"/>
      <c r="S366" s="260"/>
      <c r="T366" s="260"/>
      <c r="U366" s="260"/>
      <c r="V366" s="260"/>
      <c r="W366" s="260"/>
      <c r="X366" s="260"/>
      <c r="Y366" s="260"/>
    </row>
    <row r="367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60"/>
      <c r="R367" s="260"/>
      <c r="S367" s="260"/>
      <c r="T367" s="260"/>
      <c r="U367" s="260"/>
      <c r="V367" s="260"/>
      <c r="W367" s="260"/>
      <c r="X367" s="260"/>
      <c r="Y367" s="260"/>
    </row>
    <row r="368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60"/>
      <c r="R368" s="260"/>
      <c r="S368" s="260"/>
      <c r="T368" s="260"/>
      <c r="U368" s="260"/>
      <c r="V368" s="260"/>
      <c r="W368" s="260"/>
      <c r="X368" s="260"/>
      <c r="Y368" s="260"/>
    </row>
    <row r="369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60"/>
      <c r="R369" s="260"/>
      <c r="S369" s="260"/>
      <c r="T369" s="260"/>
      <c r="U369" s="260"/>
      <c r="V369" s="260"/>
      <c r="W369" s="260"/>
      <c r="X369" s="260"/>
      <c r="Y369" s="260"/>
    </row>
    <row r="370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60"/>
      <c r="R370" s="260"/>
      <c r="S370" s="260"/>
      <c r="T370" s="260"/>
      <c r="U370" s="260"/>
      <c r="V370" s="260"/>
      <c r="W370" s="260"/>
      <c r="X370" s="260"/>
      <c r="Y370" s="260"/>
    </row>
    <row r="37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60"/>
      <c r="R371" s="260"/>
      <c r="S371" s="260"/>
      <c r="T371" s="260"/>
      <c r="U371" s="260"/>
      <c r="V371" s="260"/>
      <c r="W371" s="260"/>
      <c r="X371" s="260"/>
      <c r="Y371" s="260"/>
    </row>
    <row r="372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60"/>
      <c r="R372" s="260"/>
      <c r="S372" s="260"/>
      <c r="T372" s="260"/>
      <c r="U372" s="260"/>
      <c r="V372" s="260"/>
      <c r="W372" s="260"/>
      <c r="X372" s="260"/>
      <c r="Y372" s="260"/>
    </row>
    <row r="373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60"/>
      <c r="R373" s="260"/>
      <c r="S373" s="260"/>
      <c r="T373" s="260"/>
      <c r="U373" s="260"/>
      <c r="V373" s="260"/>
      <c r="W373" s="260"/>
      <c r="X373" s="260"/>
      <c r="Y373" s="260"/>
    </row>
    <row r="374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60"/>
      <c r="R374" s="260"/>
      <c r="S374" s="260"/>
      <c r="T374" s="260"/>
      <c r="U374" s="260"/>
      <c r="V374" s="260"/>
      <c r="W374" s="260"/>
      <c r="X374" s="260"/>
      <c r="Y374" s="260"/>
    </row>
    <row r="375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60"/>
      <c r="R375" s="260"/>
      <c r="S375" s="260"/>
      <c r="T375" s="260"/>
      <c r="U375" s="260"/>
      <c r="V375" s="260"/>
      <c r="W375" s="260"/>
      <c r="X375" s="260"/>
      <c r="Y375" s="260"/>
    </row>
    <row r="376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60"/>
      <c r="R376" s="260"/>
      <c r="S376" s="260"/>
      <c r="T376" s="260"/>
      <c r="U376" s="260"/>
      <c r="V376" s="260"/>
      <c r="W376" s="260"/>
      <c r="X376" s="260"/>
      <c r="Y376" s="260"/>
    </row>
    <row r="377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60"/>
      <c r="R377" s="260"/>
      <c r="S377" s="260"/>
      <c r="T377" s="260"/>
      <c r="U377" s="260"/>
      <c r="V377" s="260"/>
      <c r="W377" s="260"/>
      <c r="X377" s="260"/>
      <c r="Y377" s="260"/>
    </row>
    <row r="378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60"/>
      <c r="R378" s="260"/>
      <c r="S378" s="260"/>
      <c r="T378" s="260"/>
      <c r="U378" s="260"/>
      <c r="V378" s="260"/>
      <c r="W378" s="260"/>
      <c r="X378" s="260"/>
      <c r="Y378" s="260"/>
    </row>
    <row r="379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60"/>
      <c r="R379" s="260"/>
      <c r="S379" s="260"/>
      <c r="T379" s="260"/>
      <c r="U379" s="260"/>
      <c r="V379" s="260"/>
      <c r="W379" s="260"/>
      <c r="X379" s="260"/>
      <c r="Y379" s="260"/>
    </row>
    <row r="380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60"/>
      <c r="R380" s="260"/>
      <c r="S380" s="260"/>
      <c r="T380" s="260"/>
      <c r="U380" s="260"/>
      <c r="V380" s="260"/>
      <c r="W380" s="260"/>
      <c r="X380" s="260"/>
      <c r="Y380" s="260"/>
    </row>
    <row r="38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60"/>
      <c r="R381" s="260"/>
      <c r="S381" s="260"/>
      <c r="T381" s="260"/>
      <c r="U381" s="260"/>
      <c r="V381" s="260"/>
      <c r="W381" s="260"/>
      <c r="X381" s="260"/>
      <c r="Y381" s="260"/>
    </row>
    <row r="382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60"/>
      <c r="R382" s="260"/>
      <c r="S382" s="260"/>
      <c r="T382" s="260"/>
      <c r="U382" s="260"/>
      <c r="V382" s="260"/>
      <c r="W382" s="260"/>
      <c r="X382" s="260"/>
      <c r="Y382" s="260"/>
    </row>
    <row r="383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60"/>
      <c r="R383" s="260"/>
      <c r="S383" s="260"/>
      <c r="T383" s="260"/>
      <c r="U383" s="260"/>
      <c r="V383" s="260"/>
      <c r="W383" s="260"/>
      <c r="X383" s="260"/>
      <c r="Y383" s="260"/>
    </row>
    <row r="384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60"/>
      <c r="R384" s="260"/>
      <c r="S384" s="260"/>
      <c r="T384" s="260"/>
      <c r="U384" s="260"/>
      <c r="V384" s="260"/>
      <c r="W384" s="260"/>
      <c r="X384" s="260"/>
      <c r="Y384" s="260"/>
    </row>
    <row r="385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60"/>
      <c r="R385" s="260"/>
      <c r="S385" s="260"/>
      <c r="T385" s="260"/>
      <c r="U385" s="260"/>
      <c r="V385" s="260"/>
      <c r="W385" s="260"/>
      <c r="X385" s="260"/>
      <c r="Y385" s="260"/>
    </row>
    <row r="386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60"/>
      <c r="R386" s="260"/>
      <c r="S386" s="260"/>
      <c r="T386" s="260"/>
      <c r="U386" s="260"/>
      <c r="V386" s="260"/>
      <c r="W386" s="260"/>
      <c r="X386" s="260"/>
      <c r="Y386" s="260"/>
    </row>
    <row r="387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60"/>
      <c r="R387" s="260"/>
      <c r="S387" s="260"/>
      <c r="T387" s="260"/>
      <c r="U387" s="260"/>
      <c r="V387" s="260"/>
      <c r="W387" s="260"/>
      <c r="X387" s="260"/>
      <c r="Y387" s="260"/>
    </row>
    <row r="388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60"/>
      <c r="R388" s="260"/>
      <c r="S388" s="260"/>
      <c r="T388" s="260"/>
      <c r="U388" s="260"/>
      <c r="V388" s="260"/>
      <c r="W388" s="260"/>
      <c r="X388" s="260"/>
      <c r="Y388" s="260"/>
    </row>
    <row r="389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60"/>
      <c r="R389" s="260"/>
      <c r="S389" s="260"/>
      <c r="T389" s="260"/>
      <c r="U389" s="260"/>
      <c r="V389" s="260"/>
      <c r="W389" s="260"/>
      <c r="X389" s="260"/>
      <c r="Y389" s="260"/>
    </row>
    <row r="390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60"/>
      <c r="R390" s="260"/>
      <c r="S390" s="260"/>
      <c r="T390" s="260"/>
      <c r="U390" s="260"/>
      <c r="V390" s="260"/>
      <c r="W390" s="260"/>
      <c r="X390" s="260"/>
      <c r="Y390" s="260"/>
    </row>
    <row r="39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60"/>
      <c r="R391" s="260"/>
      <c r="S391" s="260"/>
      <c r="T391" s="260"/>
      <c r="U391" s="260"/>
      <c r="V391" s="260"/>
      <c r="W391" s="260"/>
      <c r="X391" s="260"/>
      <c r="Y391" s="260"/>
    </row>
    <row r="392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60"/>
      <c r="R392" s="260"/>
      <c r="S392" s="260"/>
      <c r="T392" s="260"/>
      <c r="U392" s="260"/>
      <c r="V392" s="260"/>
      <c r="W392" s="260"/>
      <c r="X392" s="260"/>
      <c r="Y392" s="260"/>
    </row>
    <row r="393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60"/>
      <c r="R393" s="260"/>
      <c r="S393" s="260"/>
      <c r="T393" s="260"/>
      <c r="U393" s="260"/>
      <c r="V393" s="260"/>
      <c r="W393" s="260"/>
      <c r="X393" s="260"/>
      <c r="Y393" s="260"/>
    </row>
    <row r="394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60"/>
      <c r="R394" s="260"/>
      <c r="S394" s="260"/>
      <c r="T394" s="260"/>
      <c r="U394" s="260"/>
      <c r="V394" s="260"/>
      <c r="W394" s="260"/>
      <c r="X394" s="260"/>
      <c r="Y394" s="260"/>
    </row>
    <row r="395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60"/>
      <c r="R395" s="260"/>
      <c r="S395" s="260"/>
      <c r="T395" s="260"/>
      <c r="U395" s="260"/>
      <c r="V395" s="260"/>
      <c r="W395" s="260"/>
      <c r="X395" s="260"/>
      <c r="Y395" s="260"/>
    </row>
    <row r="396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60"/>
      <c r="R396" s="260"/>
      <c r="S396" s="260"/>
      <c r="T396" s="260"/>
      <c r="U396" s="260"/>
      <c r="V396" s="260"/>
      <c r="W396" s="260"/>
      <c r="X396" s="260"/>
      <c r="Y396" s="260"/>
    </row>
    <row r="397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60"/>
      <c r="R397" s="260"/>
      <c r="S397" s="260"/>
      <c r="T397" s="260"/>
      <c r="U397" s="260"/>
      <c r="V397" s="260"/>
      <c r="W397" s="260"/>
      <c r="X397" s="260"/>
      <c r="Y397" s="260"/>
    </row>
    <row r="398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60"/>
      <c r="R398" s="260"/>
      <c r="S398" s="260"/>
      <c r="T398" s="260"/>
      <c r="U398" s="260"/>
      <c r="V398" s="260"/>
      <c r="W398" s="260"/>
      <c r="X398" s="260"/>
      <c r="Y398" s="260"/>
    </row>
    <row r="399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60"/>
      <c r="R399" s="260"/>
      <c r="S399" s="260"/>
      <c r="T399" s="260"/>
      <c r="U399" s="260"/>
      <c r="V399" s="260"/>
      <c r="W399" s="260"/>
      <c r="X399" s="260"/>
      <c r="Y399" s="260"/>
    </row>
    <row r="400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60"/>
      <c r="R400" s="260"/>
      <c r="S400" s="260"/>
      <c r="T400" s="260"/>
      <c r="U400" s="260"/>
      <c r="V400" s="260"/>
      <c r="W400" s="260"/>
      <c r="X400" s="260"/>
      <c r="Y400" s="260"/>
    </row>
    <row r="40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60"/>
      <c r="R401" s="260"/>
      <c r="S401" s="260"/>
      <c r="T401" s="260"/>
      <c r="U401" s="260"/>
      <c r="V401" s="260"/>
      <c r="W401" s="260"/>
      <c r="X401" s="260"/>
      <c r="Y401" s="260"/>
    </row>
    <row r="402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60"/>
      <c r="R402" s="260"/>
      <c r="S402" s="260"/>
      <c r="T402" s="260"/>
      <c r="U402" s="260"/>
      <c r="V402" s="260"/>
      <c r="W402" s="260"/>
      <c r="X402" s="260"/>
      <c r="Y402" s="260"/>
    </row>
    <row r="403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60"/>
      <c r="R403" s="260"/>
      <c r="S403" s="260"/>
      <c r="T403" s="260"/>
      <c r="U403" s="260"/>
      <c r="V403" s="260"/>
      <c r="W403" s="260"/>
      <c r="X403" s="260"/>
      <c r="Y403" s="260"/>
    </row>
    <row r="404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60"/>
      <c r="R404" s="260"/>
      <c r="S404" s="260"/>
      <c r="T404" s="260"/>
      <c r="U404" s="260"/>
      <c r="V404" s="260"/>
      <c r="W404" s="260"/>
      <c r="X404" s="260"/>
      <c r="Y404" s="260"/>
    </row>
    <row r="405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60"/>
      <c r="R405" s="260"/>
      <c r="S405" s="260"/>
      <c r="T405" s="260"/>
      <c r="U405" s="260"/>
      <c r="V405" s="260"/>
      <c r="W405" s="260"/>
      <c r="X405" s="260"/>
      <c r="Y405" s="260"/>
    </row>
    <row r="406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60"/>
      <c r="R406" s="260"/>
      <c r="S406" s="260"/>
      <c r="T406" s="260"/>
      <c r="U406" s="260"/>
      <c r="V406" s="260"/>
      <c r="W406" s="260"/>
      <c r="X406" s="260"/>
      <c r="Y406" s="260"/>
    </row>
    <row r="407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60"/>
      <c r="R407" s="260"/>
      <c r="S407" s="260"/>
      <c r="T407" s="260"/>
      <c r="U407" s="260"/>
      <c r="V407" s="260"/>
      <c r="W407" s="260"/>
      <c r="X407" s="260"/>
      <c r="Y407" s="260"/>
    </row>
    <row r="408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60"/>
      <c r="R408" s="260"/>
      <c r="S408" s="260"/>
      <c r="T408" s="260"/>
      <c r="U408" s="260"/>
      <c r="V408" s="260"/>
      <c r="W408" s="260"/>
      <c r="X408" s="260"/>
      <c r="Y408" s="260"/>
    </row>
    <row r="409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60"/>
      <c r="R409" s="260"/>
      <c r="S409" s="260"/>
      <c r="T409" s="260"/>
      <c r="U409" s="260"/>
      <c r="V409" s="260"/>
      <c r="W409" s="260"/>
      <c r="X409" s="260"/>
      <c r="Y409" s="260"/>
    </row>
    <row r="410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60"/>
      <c r="R410" s="260"/>
      <c r="S410" s="260"/>
      <c r="T410" s="260"/>
      <c r="U410" s="260"/>
      <c r="V410" s="260"/>
      <c r="W410" s="260"/>
      <c r="X410" s="260"/>
      <c r="Y410" s="260"/>
    </row>
    <row r="41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60"/>
      <c r="R411" s="260"/>
      <c r="S411" s="260"/>
      <c r="T411" s="260"/>
      <c r="U411" s="260"/>
      <c r="V411" s="260"/>
      <c r="W411" s="260"/>
      <c r="X411" s="260"/>
      <c r="Y411" s="260"/>
    </row>
    <row r="412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60"/>
      <c r="R412" s="260"/>
      <c r="S412" s="260"/>
      <c r="T412" s="260"/>
      <c r="U412" s="260"/>
      <c r="V412" s="260"/>
      <c r="W412" s="260"/>
      <c r="X412" s="260"/>
      <c r="Y412" s="260"/>
    </row>
    <row r="413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60"/>
      <c r="R413" s="260"/>
      <c r="S413" s="260"/>
      <c r="T413" s="260"/>
      <c r="U413" s="260"/>
      <c r="V413" s="260"/>
      <c r="W413" s="260"/>
      <c r="X413" s="260"/>
      <c r="Y413" s="260"/>
    </row>
    <row r="414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60"/>
      <c r="R414" s="260"/>
      <c r="S414" s="260"/>
      <c r="T414" s="260"/>
      <c r="U414" s="260"/>
      <c r="V414" s="260"/>
      <c r="W414" s="260"/>
      <c r="X414" s="260"/>
      <c r="Y414" s="260"/>
    </row>
    <row r="415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60"/>
      <c r="R415" s="260"/>
      <c r="S415" s="260"/>
      <c r="T415" s="260"/>
      <c r="U415" s="260"/>
      <c r="V415" s="260"/>
      <c r="W415" s="260"/>
      <c r="X415" s="260"/>
      <c r="Y415" s="260"/>
    </row>
    <row r="416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60"/>
      <c r="R416" s="260"/>
      <c r="S416" s="260"/>
      <c r="T416" s="260"/>
      <c r="U416" s="260"/>
      <c r="V416" s="260"/>
      <c r="W416" s="260"/>
      <c r="X416" s="260"/>
      <c r="Y416" s="260"/>
    </row>
    <row r="417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60"/>
      <c r="R417" s="260"/>
      <c r="S417" s="260"/>
      <c r="T417" s="260"/>
      <c r="U417" s="260"/>
      <c r="V417" s="260"/>
      <c r="W417" s="260"/>
      <c r="X417" s="260"/>
      <c r="Y417" s="260"/>
    </row>
    <row r="418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60"/>
      <c r="R418" s="260"/>
      <c r="S418" s="260"/>
      <c r="T418" s="260"/>
      <c r="U418" s="260"/>
      <c r="V418" s="260"/>
      <c r="W418" s="260"/>
      <c r="X418" s="260"/>
      <c r="Y418" s="260"/>
    </row>
    <row r="419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60"/>
      <c r="R419" s="260"/>
      <c r="S419" s="260"/>
      <c r="T419" s="260"/>
      <c r="U419" s="260"/>
      <c r="V419" s="260"/>
      <c r="W419" s="260"/>
      <c r="X419" s="260"/>
      <c r="Y419" s="260"/>
    </row>
    <row r="420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60"/>
      <c r="R420" s="260"/>
      <c r="S420" s="260"/>
      <c r="T420" s="260"/>
      <c r="U420" s="260"/>
      <c r="V420" s="260"/>
      <c r="W420" s="260"/>
      <c r="X420" s="260"/>
      <c r="Y420" s="260"/>
    </row>
    <row r="42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60"/>
      <c r="R421" s="260"/>
      <c r="S421" s="260"/>
      <c r="T421" s="260"/>
      <c r="U421" s="260"/>
      <c r="V421" s="260"/>
      <c r="W421" s="260"/>
      <c r="X421" s="260"/>
      <c r="Y421" s="260"/>
    </row>
    <row r="422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60"/>
      <c r="R422" s="260"/>
      <c r="S422" s="260"/>
      <c r="T422" s="260"/>
      <c r="U422" s="260"/>
      <c r="V422" s="260"/>
      <c r="W422" s="260"/>
      <c r="X422" s="260"/>
      <c r="Y422" s="260"/>
    </row>
    <row r="423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60"/>
      <c r="R423" s="260"/>
      <c r="S423" s="260"/>
      <c r="T423" s="260"/>
      <c r="U423" s="260"/>
      <c r="V423" s="260"/>
      <c r="W423" s="260"/>
      <c r="X423" s="260"/>
      <c r="Y423" s="260"/>
    </row>
    <row r="424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60"/>
      <c r="R424" s="260"/>
      <c r="S424" s="260"/>
      <c r="T424" s="260"/>
      <c r="U424" s="260"/>
      <c r="V424" s="260"/>
      <c r="W424" s="260"/>
      <c r="X424" s="260"/>
      <c r="Y424" s="260"/>
    </row>
    <row r="425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60"/>
      <c r="R425" s="260"/>
      <c r="S425" s="260"/>
      <c r="T425" s="260"/>
      <c r="U425" s="260"/>
      <c r="V425" s="260"/>
      <c r="W425" s="260"/>
      <c r="X425" s="260"/>
      <c r="Y425" s="260"/>
    </row>
    <row r="426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60"/>
      <c r="R426" s="260"/>
      <c r="S426" s="260"/>
      <c r="T426" s="260"/>
      <c r="U426" s="260"/>
      <c r="V426" s="260"/>
      <c r="W426" s="260"/>
      <c r="X426" s="260"/>
      <c r="Y426" s="260"/>
    </row>
    <row r="427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60"/>
      <c r="R427" s="260"/>
      <c r="S427" s="260"/>
      <c r="T427" s="260"/>
      <c r="U427" s="260"/>
      <c r="V427" s="260"/>
      <c r="W427" s="260"/>
      <c r="X427" s="260"/>
      <c r="Y427" s="260"/>
    </row>
    <row r="428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60"/>
      <c r="R428" s="260"/>
      <c r="S428" s="260"/>
      <c r="T428" s="260"/>
      <c r="U428" s="260"/>
      <c r="V428" s="260"/>
      <c r="W428" s="260"/>
      <c r="X428" s="260"/>
      <c r="Y428" s="260"/>
    </row>
    <row r="429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60"/>
      <c r="R429" s="260"/>
      <c r="S429" s="260"/>
      <c r="T429" s="260"/>
      <c r="U429" s="260"/>
      <c r="V429" s="260"/>
      <c r="W429" s="260"/>
      <c r="X429" s="260"/>
      <c r="Y429" s="260"/>
    </row>
    <row r="430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60"/>
      <c r="R430" s="260"/>
      <c r="S430" s="260"/>
      <c r="T430" s="260"/>
      <c r="U430" s="260"/>
      <c r="V430" s="260"/>
      <c r="W430" s="260"/>
      <c r="X430" s="260"/>
      <c r="Y430" s="260"/>
    </row>
    <row r="43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60"/>
      <c r="R431" s="260"/>
      <c r="S431" s="260"/>
      <c r="T431" s="260"/>
      <c r="U431" s="260"/>
      <c r="V431" s="260"/>
      <c r="W431" s="260"/>
      <c r="X431" s="260"/>
      <c r="Y431" s="260"/>
    </row>
    <row r="432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60"/>
      <c r="R432" s="260"/>
      <c r="S432" s="260"/>
      <c r="T432" s="260"/>
      <c r="U432" s="260"/>
      <c r="V432" s="260"/>
      <c r="W432" s="260"/>
      <c r="X432" s="260"/>
      <c r="Y432" s="260"/>
    </row>
    <row r="433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60"/>
      <c r="R433" s="260"/>
      <c r="S433" s="260"/>
      <c r="T433" s="260"/>
      <c r="U433" s="260"/>
      <c r="V433" s="260"/>
      <c r="W433" s="260"/>
      <c r="X433" s="260"/>
      <c r="Y433" s="260"/>
    </row>
    <row r="434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60"/>
      <c r="R434" s="260"/>
      <c r="S434" s="260"/>
      <c r="T434" s="260"/>
      <c r="U434" s="260"/>
      <c r="V434" s="260"/>
      <c r="W434" s="260"/>
      <c r="X434" s="260"/>
      <c r="Y434" s="260"/>
    </row>
    <row r="435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60"/>
      <c r="R435" s="260"/>
      <c r="S435" s="260"/>
      <c r="T435" s="260"/>
      <c r="U435" s="260"/>
      <c r="V435" s="260"/>
      <c r="W435" s="260"/>
      <c r="X435" s="260"/>
      <c r="Y435" s="260"/>
    </row>
    <row r="436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60"/>
      <c r="R436" s="260"/>
      <c r="S436" s="260"/>
      <c r="T436" s="260"/>
      <c r="U436" s="260"/>
      <c r="V436" s="260"/>
      <c r="W436" s="260"/>
      <c r="X436" s="260"/>
      <c r="Y436" s="260"/>
    </row>
    <row r="437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60"/>
      <c r="R437" s="260"/>
      <c r="S437" s="260"/>
      <c r="T437" s="260"/>
      <c r="U437" s="260"/>
      <c r="V437" s="260"/>
      <c r="W437" s="260"/>
      <c r="X437" s="260"/>
      <c r="Y437" s="260"/>
    </row>
    <row r="438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60"/>
      <c r="R438" s="260"/>
      <c r="S438" s="260"/>
      <c r="T438" s="260"/>
      <c r="U438" s="260"/>
      <c r="V438" s="260"/>
      <c r="W438" s="260"/>
      <c r="X438" s="260"/>
      <c r="Y438" s="260"/>
    </row>
    <row r="439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60"/>
      <c r="R439" s="260"/>
      <c r="S439" s="260"/>
      <c r="T439" s="260"/>
      <c r="U439" s="260"/>
      <c r="V439" s="260"/>
      <c r="W439" s="260"/>
      <c r="X439" s="260"/>
      <c r="Y439" s="260"/>
    </row>
    <row r="440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60"/>
      <c r="R440" s="260"/>
      <c r="S440" s="260"/>
      <c r="T440" s="260"/>
      <c r="U440" s="260"/>
      <c r="V440" s="260"/>
      <c r="W440" s="260"/>
      <c r="X440" s="260"/>
      <c r="Y440" s="260"/>
    </row>
    <row r="44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60"/>
      <c r="R441" s="260"/>
      <c r="S441" s="260"/>
      <c r="T441" s="260"/>
      <c r="U441" s="260"/>
      <c r="V441" s="260"/>
      <c r="W441" s="260"/>
      <c r="X441" s="260"/>
      <c r="Y441" s="260"/>
    </row>
    <row r="442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60"/>
      <c r="R442" s="260"/>
      <c r="S442" s="260"/>
      <c r="T442" s="260"/>
      <c r="U442" s="260"/>
      <c r="V442" s="260"/>
      <c r="W442" s="260"/>
      <c r="X442" s="260"/>
      <c r="Y442" s="260"/>
    </row>
    <row r="443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60"/>
      <c r="R443" s="260"/>
      <c r="S443" s="260"/>
      <c r="T443" s="260"/>
      <c r="U443" s="260"/>
      <c r="V443" s="260"/>
      <c r="W443" s="260"/>
      <c r="X443" s="260"/>
      <c r="Y443" s="260"/>
    </row>
    <row r="444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60"/>
      <c r="R444" s="260"/>
      <c r="S444" s="260"/>
      <c r="T444" s="260"/>
      <c r="U444" s="260"/>
      <c r="V444" s="260"/>
      <c r="W444" s="260"/>
      <c r="X444" s="260"/>
      <c r="Y444" s="260"/>
    </row>
    <row r="445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60"/>
      <c r="R445" s="260"/>
      <c r="S445" s="260"/>
      <c r="T445" s="260"/>
      <c r="U445" s="260"/>
      <c r="V445" s="260"/>
      <c r="W445" s="260"/>
      <c r="X445" s="260"/>
      <c r="Y445" s="260"/>
    </row>
    <row r="446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60"/>
      <c r="R446" s="260"/>
      <c r="S446" s="260"/>
      <c r="T446" s="260"/>
      <c r="U446" s="260"/>
      <c r="V446" s="260"/>
      <c r="W446" s="260"/>
      <c r="X446" s="260"/>
      <c r="Y446" s="260"/>
    </row>
    <row r="447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60"/>
      <c r="R447" s="260"/>
      <c r="S447" s="260"/>
      <c r="T447" s="260"/>
      <c r="U447" s="260"/>
      <c r="V447" s="260"/>
      <c r="W447" s="260"/>
      <c r="X447" s="260"/>
      <c r="Y447" s="260"/>
    </row>
    <row r="448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60"/>
      <c r="R448" s="260"/>
      <c r="S448" s="260"/>
      <c r="T448" s="260"/>
      <c r="U448" s="260"/>
      <c r="V448" s="260"/>
      <c r="W448" s="260"/>
      <c r="X448" s="260"/>
      <c r="Y448" s="260"/>
    </row>
    <row r="449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60"/>
      <c r="R449" s="260"/>
      <c r="S449" s="260"/>
      <c r="T449" s="260"/>
      <c r="U449" s="260"/>
      <c r="V449" s="260"/>
      <c r="W449" s="260"/>
      <c r="X449" s="260"/>
      <c r="Y449" s="260"/>
    </row>
    <row r="450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60"/>
      <c r="R450" s="260"/>
      <c r="S450" s="260"/>
      <c r="T450" s="260"/>
      <c r="U450" s="260"/>
      <c r="V450" s="260"/>
      <c r="W450" s="260"/>
      <c r="X450" s="260"/>
      <c r="Y450" s="260"/>
    </row>
    <row r="45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60"/>
      <c r="R451" s="260"/>
      <c r="S451" s="260"/>
      <c r="T451" s="260"/>
      <c r="U451" s="260"/>
      <c r="V451" s="260"/>
      <c r="W451" s="260"/>
      <c r="X451" s="260"/>
      <c r="Y451" s="260"/>
    </row>
    <row r="452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60"/>
      <c r="R452" s="260"/>
      <c r="S452" s="260"/>
      <c r="T452" s="260"/>
      <c r="U452" s="260"/>
      <c r="V452" s="260"/>
      <c r="W452" s="260"/>
      <c r="X452" s="260"/>
      <c r="Y452" s="260"/>
    </row>
    <row r="453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60"/>
      <c r="R453" s="260"/>
      <c r="S453" s="260"/>
      <c r="T453" s="260"/>
      <c r="U453" s="260"/>
      <c r="V453" s="260"/>
      <c r="W453" s="260"/>
      <c r="X453" s="260"/>
      <c r="Y453" s="260"/>
    </row>
    <row r="454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60"/>
      <c r="R454" s="260"/>
      <c r="S454" s="260"/>
      <c r="T454" s="260"/>
      <c r="U454" s="260"/>
      <c r="V454" s="260"/>
      <c r="W454" s="260"/>
      <c r="X454" s="260"/>
      <c r="Y454" s="260"/>
    </row>
    <row r="455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60"/>
      <c r="R455" s="260"/>
      <c r="S455" s="260"/>
      <c r="T455" s="260"/>
      <c r="U455" s="260"/>
      <c r="V455" s="260"/>
      <c r="W455" s="260"/>
      <c r="X455" s="260"/>
      <c r="Y455" s="260"/>
    </row>
    <row r="456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60"/>
      <c r="R456" s="260"/>
      <c r="S456" s="260"/>
      <c r="T456" s="260"/>
      <c r="U456" s="260"/>
      <c r="V456" s="260"/>
      <c r="W456" s="260"/>
      <c r="X456" s="260"/>
      <c r="Y456" s="260"/>
    </row>
    <row r="457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60"/>
      <c r="R457" s="260"/>
      <c r="S457" s="260"/>
      <c r="T457" s="260"/>
      <c r="U457" s="260"/>
      <c r="V457" s="260"/>
      <c r="W457" s="260"/>
      <c r="X457" s="260"/>
      <c r="Y457" s="260"/>
    </row>
    <row r="458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60"/>
      <c r="R458" s="260"/>
      <c r="S458" s="260"/>
      <c r="T458" s="260"/>
      <c r="U458" s="260"/>
      <c r="V458" s="260"/>
      <c r="W458" s="260"/>
      <c r="X458" s="260"/>
      <c r="Y458" s="260"/>
    </row>
    <row r="459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60"/>
      <c r="R459" s="260"/>
      <c r="S459" s="260"/>
      <c r="T459" s="260"/>
      <c r="U459" s="260"/>
      <c r="V459" s="260"/>
      <c r="W459" s="260"/>
      <c r="X459" s="260"/>
      <c r="Y459" s="260"/>
    </row>
    <row r="460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60"/>
      <c r="R460" s="260"/>
      <c r="S460" s="260"/>
      <c r="T460" s="260"/>
      <c r="U460" s="260"/>
      <c r="V460" s="260"/>
      <c r="W460" s="260"/>
      <c r="X460" s="260"/>
      <c r="Y460" s="260"/>
    </row>
    <row r="46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60"/>
      <c r="R461" s="260"/>
      <c r="S461" s="260"/>
      <c r="T461" s="260"/>
      <c r="U461" s="260"/>
      <c r="V461" s="260"/>
      <c r="W461" s="260"/>
      <c r="X461" s="260"/>
      <c r="Y461" s="260"/>
    </row>
    <row r="462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60"/>
      <c r="R462" s="260"/>
      <c r="S462" s="260"/>
      <c r="T462" s="260"/>
      <c r="U462" s="260"/>
      <c r="V462" s="260"/>
      <c r="W462" s="260"/>
      <c r="X462" s="260"/>
      <c r="Y462" s="260"/>
    </row>
    <row r="463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60"/>
      <c r="R463" s="260"/>
      <c r="S463" s="260"/>
      <c r="T463" s="260"/>
      <c r="U463" s="260"/>
      <c r="V463" s="260"/>
      <c r="W463" s="260"/>
      <c r="X463" s="260"/>
      <c r="Y463" s="260"/>
    </row>
    <row r="464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60"/>
      <c r="R464" s="260"/>
      <c r="S464" s="260"/>
      <c r="T464" s="260"/>
      <c r="U464" s="260"/>
      <c r="V464" s="260"/>
      <c r="W464" s="260"/>
      <c r="X464" s="260"/>
      <c r="Y464" s="260"/>
    </row>
    <row r="465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60"/>
      <c r="R465" s="260"/>
      <c r="S465" s="260"/>
      <c r="T465" s="260"/>
      <c r="U465" s="260"/>
      <c r="V465" s="260"/>
      <c r="W465" s="260"/>
      <c r="X465" s="260"/>
      <c r="Y465" s="260"/>
    </row>
    <row r="466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60"/>
      <c r="R466" s="260"/>
      <c r="S466" s="260"/>
      <c r="T466" s="260"/>
      <c r="U466" s="260"/>
      <c r="V466" s="260"/>
      <c r="W466" s="260"/>
      <c r="X466" s="260"/>
      <c r="Y466" s="260"/>
    </row>
    <row r="467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60"/>
      <c r="R467" s="260"/>
      <c r="S467" s="260"/>
      <c r="T467" s="260"/>
      <c r="U467" s="260"/>
      <c r="V467" s="260"/>
      <c r="W467" s="260"/>
      <c r="X467" s="260"/>
      <c r="Y467" s="260"/>
    </row>
    <row r="468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60"/>
      <c r="R468" s="260"/>
      <c r="S468" s="260"/>
      <c r="T468" s="260"/>
      <c r="U468" s="260"/>
      <c r="V468" s="260"/>
      <c r="W468" s="260"/>
      <c r="X468" s="260"/>
      <c r="Y468" s="260"/>
    </row>
    <row r="469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60"/>
      <c r="R469" s="260"/>
      <c r="S469" s="260"/>
      <c r="T469" s="260"/>
      <c r="U469" s="260"/>
      <c r="V469" s="260"/>
      <c r="W469" s="260"/>
      <c r="X469" s="260"/>
      <c r="Y469" s="260"/>
    </row>
    <row r="470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60"/>
      <c r="R470" s="260"/>
      <c r="S470" s="260"/>
      <c r="T470" s="260"/>
      <c r="U470" s="260"/>
      <c r="V470" s="260"/>
      <c r="W470" s="260"/>
      <c r="X470" s="260"/>
      <c r="Y470" s="260"/>
    </row>
    <row r="47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60"/>
      <c r="R471" s="260"/>
      <c r="S471" s="260"/>
      <c r="T471" s="260"/>
      <c r="U471" s="260"/>
      <c r="V471" s="260"/>
      <c r="W471" s="260"/>
      <c r="X471" s="260"/>
      <c r="Y471" s="260"/>
    </row>
    <row r="472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60"/>
      <c r="R472" s="260"/>
      <c r="S472" s="260"/>
      <c r="T472" s="260"/>
      <c r="U472" s="260"/>
      <c r="V472" s="260"/>
      <c r="W472" s="260"/>
      <c r="X472" s="260"/>
      <c r="Y472" s="260"/>
    </row>
    <row r="473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60"/>
      <c r="R473" s="260"/>
      <c r="S473" s="260"/>
      <c r="T473" s="260"/>
      <c r="U473" s="260"/>
      <c r="V473" s="260"/>
      <c r="W473" s="260"/>
      <c r="X473" s="260"/>
      <c r="Y473" s="260"/>
    </row>
    <row r="474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60"/>
      <c r="R474" s="260"/>
      <c r="S474" s="260"/>
      <c r="T474" s="260"/>
      <c r="U474" s="260"/>
      <c r="V474" s="260"/>
      <c r="W474" s="260"/>
      <c r="X474" s="260"/>
      <c r="Y474" s="260"/>
    </row>
    <row r="475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60"/>
      <c r="R475" s="260"/>
      <c r="S475" s="260"/>
      <c r="T475" s="260"/>
      <c r="U475" s="260"/>
      <c r="V475" s="260"/>
      <c r="W475" s="260"/>
      <c r="X475" s="260"/>
      <c r="Y475" s="260"/>
    </row>
    <row r="476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60"/>
      <c r="R476" s="260"/>
      <c r="S476" s="260"/>
      <c r="T476" s="260"/>
      <c r="U476" s="260"/>
      <c r="V476" s="260"/>
      <c r="W476" s="260"/>
      <c r="X476" s="260"/>
      <c r="Y476" s="260"/>
    </row>
    <row r="477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60"/>
      <c r="R477" s="260"/>
      <c r="S477" s="260"/>
      <c r="T477" s="260"/>
      <c r="U477" s="260"/>
      <c r="V477" s="260"/>
      <c r="W477" s="260"/>
      <c r="X477" s="260"/>
      <c r="Y477" s="260"/>
    </row>
    <row r="478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60"/>
      <c r="R478" s="260"/>
      <c r="S478" s="260"/>
      <c r="T478" s="260"/>
      <c r="U478" s="260"/>
      <c r="V478" s="260"/>
      <c r="W478" s="260"/>
      <c r="X478" s="260"/>
      <c r="Y478" s="260"/>
    </row>
    <row r="479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60"/>
      <c r="R479" s="260"/>
      <c r="S479" s="260"/>
      <c r="T479" s="260"/>
      <c r="U479" s="260"/>
      <c r="V479" s="260"/>
      <c r="W479" s="260"/>
      <c r="X479" s="260"/>
      <c r="Y479" s="260"/>
    </row>
    <row r="480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60"/>
      <c r="R480" s="260"/>
      <c r="S480" s="260"/>
      <c r="T480" s="260"/>
      <c r="U480" s="260"/>
      <c r="V480" s="260"/>
      <c r="W480" s="260"/>
      <c r="X480" s="260"/>
      <c r="Y480" s="260"/>
    </row>
    <row r="48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60"/>
      <c r="R481" s="260"/>
      <c r="S481" s="260"/>
      <c r="T481" s="260"/>
      <c r="U481" s="260"/>
      <c r="V481" s="260"/>
      <c r="W481" s="260"/>
      <c r="X481" s="260"/>
      <c r="Y481" s="260"/>
    </row>
    <row r="482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60"/>
      <c r="R482" s="260"/>
      <c r="S482" s="260"/>
      <c r="T482" s="260"/>
      <c r="U482" s="260"/>
      <c r="V482" s="260"/>
      <c r="W482" s="260"/>
      <c r="X482" s="260"/>
      <c r="Y482" s="260"/>
    </row>
    <row r="483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60"/>
      <c r="R483" s="260"/>
      <c r="S483" s="260"/>
      <c r="T483" s="260"/>
      <c r="U483" s="260"/>
      <c r="V483" s="260"/>
      <c r="W483" s="260"/>
      <c r="X483" s="260"/>
      <c r="Y483" s="260"/>
    </row>
    <row r="484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60"/>
      <c r="R484" s="260"/>
      <c r="S484" s="260"/>
      <c r="T484" s="260"/>
      <c r="U484" s="260"/>
      <c r="V484" s="260"/>
      <c r="W484" s="260"/>
      <c r="X484" s="260"/>
      <c r="Y484" s="260"/>
    </row>
    <row r="485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60"/>
      <c r="R485" s="260"/>
      <c r="S485" s="260"/>
      <c r="T485" s="260"/>
      <c r="U485" s="260"/>
      <c r="V485" s="260"/>
      <c r="W485" s="260"/>
      <c r="X485" s="260"/>
      <c r="Y485" s="260"/>
    </row>
    <row r="486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60"/>
      <c r="R486" s="260"/>
      <c r="S486" s="260"/>
      <c r="T486" s="260"/>
      <c r="U486" s="260"/>
      <c r="V486" s="260"/>
      <c r="W486" s="260"/>
      <c r="X486" s="260"/>
      <c r="Y486" s="260"/>
    </row>
    <row r="487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60"/>
      <c r="R487" s="260"/>
      <c r="S487" s="260"/>
      <c r="T487" s="260"/>
      <c r="U487" s="260"/>
      <c r="V487" s="260"/>
      <c r="W487" s="260"/>
      <c r="X487" s="260"/>
      <c r="Y487" s="260"/>
    </row>
    <row r="488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60"/>
      <c r="R488" s="260"/>
      <c r="S488" s="260"/>
      <c r="T488" s="260"/>
      <c r="U488" s="260"/>
      <c r="V488" s="260"/>
      <c r="W488" s="260"/>
      <c r="X488" s="260"/>
      <c r="Y488" s="260"/>
    </row>
    <row r="489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60"/>
      <c r="R489" s="260"/>
      <c r="S489" s="260"/>
      <c r="T489" s="260"/>
      <c r="U489" s="260"/>
      <c r="V489" s="260"/>
      <c r="W489" s="260"/>
      <c r="X489" s="260"/>
      <c r="Y489" s="260"/>
    </row>
    <row r="490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60"/>
      <c r="R490" s="260"/>
      <c r="S490" s="260"/>
      <c r="T490" s="260"/>
      <c r="U490" s="260"/>
      <c r="V490" s="260"/>
      <c r="W490" s="260"/>
      <c r="X490" s="260"/>
      <c r="Y490" s="260"/>
    </row>
    <row r="49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60"/>
      <c r="R491" s="260"/>
      <c r="S491" s="260"/>
      <c r="T491" s="260"/>
      <c r="U491" s="260"/>
      <c r="V491" s="260"/>
      <c r="W491" s="260"/>
      <c r="X491" s="260"/>
      <c r="Y491" s="260"/>
    </row>
    <row r="492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60"/>
      <c r="R492" s="260"/>
      <c r="S492" s="260"/>
      <c r="T492" s="260"/>
      <c r="U492" s="260"/>
      <c r="V492" s="260"/>
      <c r="W492" s="260"/>
      <c r="X492" s="260"/>
      <c r="Y492" s="260"/>
    </row>
    <row r="493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60"/>
      <c r="R493" s="260"/>
      <c r="S493" s="260"/>
      <c r="T493" s="260"/>
      <c r="U493" s="260"/>
      <c r="V493" s="260"/>
      <c r="W493" s="260"/>
      <c r="X493" s="260"/>
      <c r="Y493" s="260"/>
    </row>
    <row r="494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60"/>
      <c r="R494" s="260"/>
      <c r="S494" s="260"/>
      <c r="T494" s="260"/>
      <c r="U494" s="260"/>
      <c r="V494" s="260"/>
      <c r="W494" s="260"/>
      <c r="X494" s="260"/>
      <c r="Y494" s="260"/>
    </row>
    <row r="495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60"/>
      <c r="R495" s="260"/>
      <c r="S495" s="260"/>
      <c r="T495" s="260"/>
      <c r="U495" s="260"/>
      <c r="V495" s="260"/>
      <c r="W495" s="260"/>
      <c r="X495" s="260"/>
      <c r="Y495" s="260"/>
    </row>
    <row r="496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60"/>
      <c r="R496" s="260"/>
      <c r="S496" s="260"/>
      <c r="T496" s="260"/>
      <c r="U496" s="260"/>
      <c r="V496" s="260"/>
      <c r="W496" s="260"/>
      <c r="X496" s="260"/>
      <c r="Y496" s="260"/>
    </row>
    <row r="497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60"/>
      <c r="R497" s="260"/>
      <c r="S497" s="260"/>
      <c r="T497" s="260"/>
      <c r="U497" s="260"/>
      <c r="V497" s="260"/>
      <c r="W497" s="260"/>
      <c r="X497" s="260"/>
      <c r="Y497" s="260"/>
    </row>
    <row r="498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60"/>
      <c r="R498" s="260"/>
      <c r="S498" s="260"/>
      <c r="T498" s="260"/>
      <c r="U498" s="260"/>
      <c r="V498" s="260"/>
      <c r="W498" s="260"/>
      <c r="X498" s="260"/>
      <c r="Y498" s="260"/>
    </row>
    <row r="499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60"/>
      <c r="R499" s="260"/>
      <c r="S499" s="260"/>
      <c r="T499" s="260"/>
      <c r="U499" s="260"/>
      <c r="V499" s="260"/>
      <c r="W499" s="260"/>
      <c r="X499" s="260"/>
      <c r="Y499" s="260"/>
    </row>
    <row r="500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60"/>
      <c r="R500" s="260"/>
      <c r="S500" s="260"/>
      <c r="T500" s="260"/>
      <c r="U500" s="260"/>
      <c r="V500" s="260"/>
      <c r="W500" s="260"/>
      <c r="X500" s="260"/>
      <c r="Y500" s="260"/>
    </row>
    <row r="50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</row>
    <row r="502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</row>
    <row r="503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</row>
    <row r="504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</row>
    <row r="505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</row>
    <row r="506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</row>
    <row r="507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</row>
    <row r="508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</row>
    <row r="509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</row>
    <row r="510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</row>
    <row r="51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</row>
    <row r="512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</row>
    <row r="513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</row>
    <row r="514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</row>
    <row r="515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</row>
    <row r="516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</row>
    <row r="517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</row>
    <row r="518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</row>
    <row r="519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</row>
    <row r="520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</row>
    <row r="52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</row>
    <row r="522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</row>
    <row r="523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</row>
    <row r="524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</row>
    <row r="525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</row>
    <row r="526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</row>
    <row r="527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</row>
    <row r="528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</row>
    <row r="529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</row>
    <row r="530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</row>
    <row r="53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</row>
    <row r="532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</row>
    <row r="533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</row>
    <row r="534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</row>
    <row r="535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</row>
    <row r="536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</row>
    <row r="537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</row>
    <row r="538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</row>
    <row r="539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</row>
    <row r="540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</row>
    <row r="54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</row>
    <row r="542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</row>
    <row r="543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</row>
    <row r="544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</row>
    <row r="545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</row>
    <row r="546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</row>
    <row r="547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</row>
    <row r="548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</row>
    <row r="549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</row>
    <row r="550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</row>
    <row r="55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</row>
    <row r="552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</row>
    <row r="553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</row>
    <row r="554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</row>
    <row r="555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</row>
    <row r="556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</row>
    <row r="557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</row>
    <row r="558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</row>
    <row r="559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</row>
    <row r="560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</row>
    <row r="56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</row>
    <row r="562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</row>
    <row r="563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</row>
    <row r="564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</row>
    <row r="565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</row>
    <row r="566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</row>
    <row r="567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</row>
    <row r="568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</row>
    <row r="569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</row>
    <row r="570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</row>
    <row r="57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</row>
    <row r="572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</row>
    <row r="573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</row>
    <row r="574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</row>
    <row r="575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</row>
    <row r="576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</row>
    <row r="577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</row>
    <row r="578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</row>
    <row r="579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</row>
    <row r="580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</row>
    <row r="58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</row>
    <row r="582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</row>
    <row r="583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</row>
    <row r="584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</row>
    <row r="585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</row>
    <row r="586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</row>
    <row r="587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</row>
    <row r="588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</row>
    <row r="589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</row>
    <row r="590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</row>
    <row r="59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</row>
    <row r="592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</row>
    <row r="593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</row>
    <row r="594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</row>
    <row r="595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</row>
    <row r="596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</row>
    <row r="597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</row>
    <row r="598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</row>
    <row r="599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</row>
    <row r="600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</row>
    <row r="60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</row>
    <row r="602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</row>
    <row r="603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</row>
    <row r="604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</row>
    <row r="605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</row>
    <row r="606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</row>
    <row r="607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</row>
    <row r="608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</row>
    <row r="609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</row>
    <row r="610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</row>
    <row r="61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</row>
    <row r="612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</row>
    <row r="613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</row>
    <row r="614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</row>
    <row r="615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</row>
    <row r="616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</row>
    <row r="617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</row>
    <row r="618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</row>
    <row r="619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</row>
    <row r="620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</row>
    <row r="62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</row>
    <row r="622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</row>
    <row r="623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</row>
    <row r="624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</row>
    <row r="625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</row>
    <row r="626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</row>
    <row r="627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</row>
    <row r="628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</row>
    <row r="629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</row>
    <row r="630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</row>
    <row r="63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</row>
    <row r="632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</row>
    <row r="633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</row>
    <row r="634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</row>
    <row r="635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</row>
    <row r="636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</row>
    <row r="637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</row>
    <row r="638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</row>
    <row r="639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</row>
    <row r="640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</row>
    <row r="64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</row>
    <row r="642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</row>
    <row r="643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</row>
    <row r="644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</row>
    <row r="645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</row>
    <row r="646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</row>
    <row r="647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</row>
    <row r="648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</row>
    <row r="649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</row>
    <row r="650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</row>
    <row r="65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</row>
    <row r="652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</row>
    <row r="653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</row>
    <row r="654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</row>
    <row r="655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</row>
    <row r="656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</row>
    <row r="657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</row>
    <row r="658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</row>
    <row r="659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</row>
    <row r="660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</row>
    <row r="66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</row>
    <row r="662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</row>
    <row r="663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</row>
    <row r="664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</row>
    <row r="665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</row>
    <row r="666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</row>
    <row r="667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</row>
    <row r="668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</row>
    <row r="669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</row>
    <row r="670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</row>
    <row r="67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</row>
    <row r="672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</row>
    <row r="673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</row>
    <row r="674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</row>
    <row r="675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</row>
    <row r="676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</row>
    <row r="677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</row>
    <row r="678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</row>
    <row r="679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</row>
    <row r="680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</row>
    <row r="68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</row>
    <row r="682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</row>
    <row r="683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</row>
    <row r="684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</row>
    <row r="685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</row>
    <row r="686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</row>
    <row r="687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</row>
    <row r="688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</row>
    <row r="689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</row>
    <row r="690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</row>
    <row r="69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</row>
    <row r="692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</row>
    <row r="693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</row>
    <row r="694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</row>
    <row r="695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</row>
    <row r="696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</row>
    <row r="697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</row>
    <row r="698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</row>
    <row r="699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</row>
    <row r="700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</row>
    <row r="70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</row>
    <row r="702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</row>
    <row r="703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</row>
    <row r="704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</row>
    <row r="705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</row>
    <row r="706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</row>
    <row r="707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</row>
    <row r="708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</row>
    <row r="709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</row>
    <row r="710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</row>
    <row r="71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</row>
    <row r="712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</row>
    <row r="713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</row>
    <row r="714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</row>
    <row r="715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</row>
    <row r="716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</row>
    <row r="717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</row>
    <row r="718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</row>
    <row r="719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</row>
    <row r="720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</row>
    <row r="72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</row>
    <row r="722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</row>
    <row r="723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</row>
    <row r="724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</row>
    <row r="725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</row>
    <row r="726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</row>
    <row r="727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</row>
    <row r="728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</row>
    <row r="729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</row>
    <row r="730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</row>
    <row r="73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</row>
    <row r="732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</row>
    <row r="733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</row>
    <row r="734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</row>
    <row r="735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</row>
    <row r="736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</row>
    <row r="737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</row>
    <row r="738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</row>
    <row r="739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</row>
    <row r="740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</row>
    <row r="74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</row>
    <row r="742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</row>
    <row r="743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</row>
    <row r="744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</row>
    <row r="745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</row>
    <row r="746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</row>
    <row r="747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</row>
    <row r="748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</row>
    <row r="749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</row>
    <row r="750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</row>
    <row r="75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</row>
    <row r="752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</row>
    <row r="753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</row>
    <row r="754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</row>
    <row r="755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</row>
    <row r="756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</row>
    <row r="757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</row>
    <row r="758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</row>
    <row r="759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</row>
    <row r="760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</row>
    <row r="76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</row>
    <row r="762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</row>
    <row r="763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</row>
    <row r="764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</row>
    <row r="765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</row>
    <row r="766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</row>
    <row r="767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</row>
    <row r="768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</row>
    <row r="769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</row>
    <row r="770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</row>
    <row r="77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</row>
    <row r="772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</row>
    <row r="773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</row>
    <row r="774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</row>
    <row r="775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</row>
    <row r="776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</row>
    <row r="777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</row>
    <row r="778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</row>
    <row r="779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</row>
    <row r="780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</row>
    <row r="78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</row>
    <row r="782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</row>
    <row r="783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</row>
    <row r="784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</row>
    <row r="785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</row>
    <row r="786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</row>
    <row r="787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</row>
    <row r="788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</row>
    <row r="789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</row>
    <row r="790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</row>
    <row r="79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</row>
    <row r="792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</row>
    <row r="793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</row>
    <row r="794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</row>
    <row r="795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</row>
    <row r="796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</row>
    <row r="797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</row>
    <row r="798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</row>
    <row r="799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</row>
    <row r="800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</row>
    <row r="80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</row>
    <row r="802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</row>
    <row r="803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</row>
    <row r="804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</row>
    <row r="805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</row>
    <row r="806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</row>
    <row r="807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</row>
    <row r="808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</row>
    <row r="809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</row>
    <row r="810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</row>
    <row r="81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</row>
    <row r="812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</row>
    <row r="813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</row>
    <row r="814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</row>
    <row r="815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</row>
    <row r="816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</row>
    <row r="817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</row>
    <row r="818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</row>
    <row r="819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</row>
    <row r="820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</row>
    <row r="82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</row>
    <row r="822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</row>
    <row r="823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</row>
    <row r="824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</row>
    <row r="825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</row>
    <row r="826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</row>
    <row r="827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</row>
    <row r="828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</row>
    <row r="829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</row>
    <row r="830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</row>
    <row r="83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</row>
    <row r="832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</row>
    <row r="833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</row>
    <row r="834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</row>
    <row r="835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</row>
    <row r="836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</row>
    <row r="837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</row>
    <row r="838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</row>
    <row r="839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</row>
    <row r="840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</row>
    <row r="84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</row>
    <row r="842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</row>
    <row r="843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</row>
    <row r="844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</row>
    <row r="845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</row>
    <row r="846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</row>
    <row r="847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</row>
    <row r="848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</row>
    <row r="849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</row>
    <row r="850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</row>
    <row r="85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</row>
    <row r="852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</row>
    <row r="853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</row>
    <row r="854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</row>
    <row r="855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</row>
    <row r="856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</row>
    <row r="857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</row>
    <row r="858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</row>
    <row r="859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</row>
    <row r="860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</row>
    <row r="86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</row>
    <row r="862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</row>
    <row r="863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</row>
    <row r="864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</row>
    <row r="865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</row>
    <row r="866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</row>
    <row r="867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</row>
    <row r="868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</row>
    <row r="869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</row>
    <row r="870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</row>
    <row r="87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</row>
    <row r="872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</row>
    <row r="873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</row>
    <row r="874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</row>
    <row r="875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</row>
    <row r="876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</row>
    <row r="877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</row>
    <row r="878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</row>
    <row r="879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</row>
    <row r="880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</row>
    <row r="88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</row>
    <row r="882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</row>
    <row r="883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</row>
    <row r="884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</row>
    <row r="885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</row>
    <row r="886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</row>
    <row r="887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</row>
    <row r="888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</row>
    <row r="889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</row>
    <row r="890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</row>
    <row r="89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</row>
    <row r="892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</row>
    <row r="893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</row>
    <row r="894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</row>
    <row r="895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</row>
    <row r="896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</row>
    <row r="897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</row>
    <row r="898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</row>
    <row r="899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</row>
    <row r="900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</row>
    <row r="90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</row>
    <row r="902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</row>
    <row r="903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</row>
    <row r="904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</row>
    <row r="905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</row>
    <row r="906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</row>
    <row r="907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</row>
    <row r="908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</row>
    <row r="909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</row>
    <row r="910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</row>
    <row r="91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</row>
    <row r="912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</row>
    <row r="913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</row>
    <row r="914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</row>
    <row r="915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</row>
    <row r="916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</row>
    <row r="917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</row>
    <row r="918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</row>
    <row r="919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</row>
    <row r="920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</row>
    <row r="92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</row>
    <row r="922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</row>
    <row r="923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</row>
    <row r="924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</row>
    <row r="925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</row>
    <row r="926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</row>
    <row r="927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</row>
    <row r="928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</row>
    <row r="929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</row>
    <row r="930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</row>
    <row r="93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</row>
    <row r="932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</row>
    <row r="933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</row>
    <row r="934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</row>
    <row r="935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</row>
    <row r="936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</row>
    <row r="937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</row>
    <row r="938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</row>
    <row r="939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</row>
    <row r="940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</row>
    <row r="94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</row>
    <row r="942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</row>
    <row r="943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</row>
    <row r="944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</row>
    <row r="945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</row>
    <row r="946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</row>
    <row r="947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</row>
    <row r="948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</row>
    <row r="949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</row>
    <row r="950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</row>
    <row r="95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</row>
    <row r="952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</row>
    <row r="953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</row>
    <row r="954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</row>
    <row r="955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</row>
    <row r="956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</row>
    <row r="957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</row>
    <row r="958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</row>
    <row r="959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</row>
    <row r="960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</row>
    <row r="96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</row>
    <row r="962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</row>
    <row r="963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</row>
    <row r="964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</row>
    <row r="965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</row>
    <row r="966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</row>
    <row r="967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</row>
    <row r="968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</row>
    <row r="969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</row>
    <row r="970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</row>
    <row r="97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</row>
    <row r="972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</row>
    <row r="973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</row>
    <row r="974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</row>
    <row r="975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</row>
    <row r="976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</row>
    <row r="977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</row>
    <row r="978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</row>
    <row r="979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</row>
    <row r="980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</row>
    <row r="98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</row>
    <row r="982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</row>
    <row r="983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</row>
    <row r="984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</row>
    <row r="985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</row>
    <row r="986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</row>
    <row r="987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</row>
    <row r="988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</row>
    <row r="989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</row>
    <row r="990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</row>
    <row r="991">
      <c r="A991" s="260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</row>
    <row r="992">
      <c r="A992" s="260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</row>
    <row r="993">
      <c r="A993" s="260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</row>
    <row r="994">
      <c r="A994" s="260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</row>
    <row r="995">
      <c r="A995" s="260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</row>
    <row r="996">
      <c r="A996" s="260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</row>
    <row r="997">
      <c r="A997" s="260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</row>
    <row r="998">
      <c r="A998" s="260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</row>
    <row r="999">
      <c r="A999" s="260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</row>
    <row r="1000">
      <c r="A1000" s="260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</row>
  </sheetData>
  <mergeCells count="1">
    <mergeCell ref="A1:P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8.0"/>
    <col customWidth="1" min="3" max="3" width="16.0"/>
    <col customWidth="1" min="4" max="4" width="4.63"/>
    <col customWidth="1" min="5" max="5" width="22.0"/>
    <col customWidth="1" min="6" max="6" width="38.0"/>
    <col customWidth="1" min="7" max="7" width="3.5"/>
    <col customWidth="1" min="8" max="8" width="8.63"/>
    <col customWidth="1" min="9" max="9" width="46.88"/>
    <col customWidth="1" min="10" max="27" width="8.63"/>
  </cols>
  <sheetData>
    <row r="1" ht="31.5" customHeight="1">
      <c r="A1" s="284" t="s">
        <v>961</v>
      </c>
      <c r="B1" s="285"/>
      <c r="C1" s="285"/>
      <c r="D1" s="285"/>
      <c r="E1" s="285"/>
      <c r="F1" s="285"/>
      <c r="G1" s="286"/>
    </row>
    <row r="2">
      <c r="A2" s="73"/>
      <c r="B2" s="41"/>
      <c r="C2" s="41"/>
      <c r="D2" s="41"/>
      <c r="E2" s="41"/>
      <c r="F2" s="41"/>
      <c r="G2" s="287"/>
    </row>
    <row r="3">
      <c r="A3" s="288" t="s">
        <v>962</v>
      </c>
      <c r="B3" s="229"/>
      <c r="C3" s="229"/>
      <c r="D3" s="229"/>
      <c r="E3" s="229"/>
      <c r="F3" s="289"/>
      <c r="G3" s="287"/>
    </row>
    <row r="4">
      <c r="A4" s="73" t="s">
        <v>963</v>
      </c>
      <c r="B4" s="290" t="s">
        <v>964</v>
      </c>
      <c r="F4" s="291"/>
      <c r="G4" s="287"/>
    </row>
    <row r="5">
      <c r="A5" s="73" t="s">
        <v>965</v>
      </c>
      <c r="B5" s="290" t="s">
        <v>966</v>
      </c>
      <c r="F5" s="291"/>
      <c r="G5" s="287"/>
    </row>
    <row r="6">
      <c r="A6" s="110" t="s">
        <v>968</v>
      </c>
      <c r="B6" s="292" t="s">
        <v>970</v>
      </c>
      <c r="C6" s="293"/>
      <c r="D6" s="293"/>
      <c r="E6" s="293"/>
      <c r="F6" s="294"/>
      <c r="G6" s="287"/>
    </row>
    <row r="7">
      <c r="A7" s="295"/>
      <c r="B7" s="295"/>
      <c r="C7" s="41"/>
      <c r="D7" s="41"/>
      <c r="E7" s="41"/>
      <c r="F7" s="41"/>
      <c r="G7" s="287"/>
    </row>
    <row r="8">
      <c r="A8" s="295" t="s">
        <v>971</v>
      </c>
      <c r="B8" s="296">
        <v>45931.0</v>
      </c>
      <c r="C8" s="41"/>
      <c r="D8" s="41"/>
      <c r="E8" s="41"/>
      <c r="F8" s="41"/>
      <c r="G8" s="287"/>
    </row>
    <row r="9">
      <c r="A9" s="73"/>
      <c r="B9" s="41"/>
      <c r="C9" s="41"/>
      <c r="D9" s="41"/>
      <c r="E9" s="41"/>
      <c r="F9" s="41"/>
      <c r="G9" s="287"/>
    </row>
    <row r="10">
      <c r="A10" s="297" t="s">
        <v>972</v>
      </c>
      <c r="B10" s="8" t="s">
        <v>973</v>
      </c>
      <c r="C10" s="41"/>
      <c r="D10" s="41"/>
      <c r="E10" s="8" t="s">
        <v>974</v>
      </c>
      <c r="F10" s="8" t="s">
        <v>975</v>
      </c>
      <c r="G10" s="287"/>
    </row>
    <row r="11">
      <c r="A11" s="73" t="s">
        <v>976</v>
      </c>
      <c r="B11" s="298">
        <v>0.2</v>
      </c>
      <c r="C11" s="41"/>
      <c r="D11" s="41"/>
      <c r="E11" s="41" t="s">
        <v>213</v>
      </c>
      <c r="F11" s="41" t="s">
        <v>978</v>
      </c>
      <c r="G11" s="287"/>
    </row>
    <row r="12">
      <c r="A12" s="73" t="s">
        <v>980</v>
      </c>
      <c r="B12" s="299">
        <v>0.6</v>
      </c>
      <c r="C12" s="41"/>
      <c r="D12" s="41"/>
      <c r="E12" s="41" t="s">
        <v>200</v>
      </c>
      <c r="F12" s="41" t="s">
        <v>981</v>
      </c>
      <c r="G12" s="287"/>
    </row>
    <row r="13">
      <c r="A13" s="73" t="s">
        <v>982</v>
      </c>
      <c r="B13" s="299">
        <v>0.3333333333333333</v>
      </c>
      <c r="C13" s="41"/>
      <c r="D13" s="41"/>
      <c r="E13" s="41" t="s">
        <v>983</v>
      </c>
      <c r="F13" s="41" t="s">
        <v>984</v>
      </c>
      <c r="G13" s="287"/>
    </row>
    <row r="14">
      <c r="A14" s="73" t="s">
        <v>985</v>
      </c>
      <c r="B14" s="299">
        <v>0.8</v>
      </c>
      <c r="C14" s="41"/>
      <c r="D14" s="41"/>
      <c r="E14" s="41" t="s">
        <v>986</v>
      </c>
      <c r="F14" s="41" t="s">
        <v>987</v>
      </c>
      <c r="G14" s="287"/>
    </row>
    <row r="15">
      <c r="A15" s="73" t="s">
        <v>988</v>
      </c>
      <c r="B15" s="300">
        <v>40000.0</v>
      </c>
      <c r="C15" s="41"/>
      <c r="D15" s="41"/>
      <c r="E15" s="41" t="s">
        <v>989</v>
      </c>
      <c r="F15" s="41" t="s">
        <v>990</v>
      </c>
      <c r="G15" s="287"/>
    </row>
    <row r="16">
      <c r="A16" s="73" t="s">
        <v>991</v>
      </c>
      <c r="B16" s="301">
        <v>10.0</v>
      </c>
      <c r="C16" s="41"/>
      <c r="D16" s="74"/>
      <c r="E16" s="74" t="s">
        <v>992</v>
      </c>
      <c r="F16" s="41"/>
      <c r="G16" s="287"/>
    </row>
    <row r="17">
      <c r="A17" s="73" t="s">
        <v>993</v>
      </c>
      <c r="B17" s="302">
        <v>4.33</v>
      </c>
      <c r="C17" s="41"/>
      <c r="D17" s="74"/>
      <c r="E17" s="74" t="s">
        <v>994</v>
      </c>
      <c r="F17" s="41"/>
      <c r="G17" s="287"/>
    </row>
    <row r="18">
      <c r="A18" s="73"/>
      <c r="B18" s="41"/>
      <c r="C18" s="41"/>
      <c r="D18" s="41"/>
      <c r="E18" s="41"/>
      <c r="F18" s="41"/>
      <c r="G18" s="287"/>
    </row>
    <row r="19">
      <c r="A19" s="303" t="s">
        <v>995</v>
      </c>
      <c r="B19" s="8" t="s">
        <v>973</v>
      </c>
      <c r="D19" s="41"/>
      <c r="E19" s="13" t="s">
        <v>996</v>
      </c>
      <c r="F19" s="41"/>
      <c r="G19" s="287"/>
    </row>
    <row r="20">
      <c r="A20" s="198" t="s">
        <v>998</v>
      </c>
      <c r="B20" s="304">
        <v>0.35</v>
      </c>
      <c r="D20" s="41"/>
      <c r="E20" s="74" t="s">
        <v>334</v>
      </c>
      <c r="F20" s="41"/>
      <c r="G20" s="287"/>
    </row>
    <row r="21">
      <c r="A21" s="198" t="s">
        <v>1000</v>
      </c>
      <c r="B21" s="304">
        <v>0.2</v>
      </c>
      <c r="D21" s="41"/>
      <c r="E21" s="198" t="s">
        <v>338</v>
      </c>
      <c r="F21" s="41"/>
      <c r="G21" s="287"/>
    </row>
    <row r="22">
      <c r="A22" s="198" t="s">
        <v>1001</v>
      </c>
      <c r="B22" s="304">
        <v>0.04</v>
      </c>
      <c r="D22" s="41"/>
      <c r="E22" s="198" t="s">
        <v>1002</v>
      </c>
      <c r="F22" s="41"/>
      <c r="G22" s="287"/>
    </row>
    <row r="23">
      <c r="A23" s="198" t="s">
        <v>1003</v>
      </c>
      <c r="B23" s="304">
        <v>0.05</v>
      </c>
      <c r="D23" s="41"/>
      <c r="E23" s="198" t="s">
        <v>1004</v>
      </c>
      <c r="F23" s="41"/>
      <c r="G23" s="287"/>
    </row>
    <row r="24">
      <c r="A24" s="198" t="s">
        <v>1005</v>
      </c>
      <c r="B24" s="304">
        <v>0.95</v>
      </c>
      <c r="D24" s="41"/>
      <c r="E24" s="198" t="s">
        <v>1006</v>
      </c>
      <c r="F24" s="41"/>
      <c r="G24" s="287"/>
    </row>
    <row r="25">
      <c r="D25" s="41"/>
      <c r="E25" s="198" t="s">
        <v>1007</v>
      </c>
    </row>
    <row r="26">
      <c r="D26" s="41"/>
      <c r="E26" s="198" t="s">
        <v>315</v>
      </c>
    </row>
    <row r="27">
      <c r="A27" s="198"/>
      <c r="D27" s="41"/>
      <c r="E27" s="198" t="s">
        <v>316</v>
      </c>
      <c r="I27" s="198" t="s">
        <v>334</v>
      </c>
    </row>
    <row r="28" ht="15.75" customHeight="1">
      <c r="D28" s="41"/>
      <c r="E28" s="198" t="s">
        <v>201</v>
      </c>
      <c r="I28" s="198" t="s">
        <v>338</v>
      </c>
    </row>
    <row r="29" ht="15.75" customHeight="1">
      <c r="D29" s="41"/>
      <c r="E29" s="198" t="s">
        <v>228</v>
      </c>
      <c r="F29" s="41"/>
      <c r="G29" s="287"/>
      <c r="I29" s="198" t="s">
        <v>410</v>
      </c>
    </row>
    <row r="30" ht="15.75" customHeight="1">
      <c r="A30" s="202"/>
      <c r="B30" s="202"/>
      <c r="C30" s="202"/>
      <c r="D30" s="202"/>
      <c r="E30" s="197"/>
      <c r="F30" s="202"/>
      <c r="G30" s="305"/>
      <c r="H30" s="116"/>
      <c r="I30" s="126" t="s">
        <v>434</v>
      </c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ht="15.75" customHeight="1">
      <c r="A31" s="73"/>
      <c r="B31" s="41"/>
      <c r="C31" s="41"/>
      <c r="D31" s="41"/>
      <c r="E31" s="13" t="s">
        <v>245</v>
      </c>
      <c r="F31" s="41"/>
      <c r="G31" s="287"/>
      <c r="I31" s="198" t="s">
        <v>358</v>
      </c>
    </row>
    <row r="32" ht="15.75" customHeight="1">
      <c r="E32" s="198" t="s">
        <v>204</v>
      </c>
      <c r="I32" s="198" t="s">
        <v>885</v>
      </c>
    </row>
    <row r="33" ht="15.75" customHeight="1">
      <c r="E33" s="198" t="s">
        <v>210</v>
      </c>
      <c r="F33" s="116"/>
      <c r="I33" s="198" t="s">
        <v>425</v>
      </c>
    </row>
    <row r="34" ht="15.75" customHeight="1">
      <c r="F34" s="116"/>
      <c r="I34" s="198" t="s">
        <v>1010</v>
      </c>
    </row>
    <row r="35" ht="15.75" customHeight="1">
      <c r="F35" s="116"/>
      <c r="I35" s="198" t="s">
        <v>1011</v>
      </c>
    </row>
    <row r="36" ht="15.75" customHeight="1">
      <c r="F36" s="116"/>
      <c r="I36" s="198" t="s">
        <v>1012</v>
      </c>
    </row>
    <row r="37" ht="15.75" customHeight="1">
      <c r="F37" s="116"/>
      <c r="I37" s="198" t="s">
        <v>1013</v>
      </c>
    </row>
    <row r="38" ht="15.75" customHeight="1">
      <c r="F38" s="116"/>
      <c r="I38" s="198" t="s">
        <v>590</v>
      </c>
    </row>
    <row r="39" ht="15.75" customHeight="1">
      <c r="F39" s="116"/>
    </row>
    <row r="40" ht="15.75" customHeight="1">
      <c r="F40" s="116"/>
    </row>
    <row r="41" ht="15.75" customHeight="1">
      <c r="F41" s="116"/>
    </row>
    <row r="42" ht="15.75" customHeight="1">
      <c r="F42" s="116"/>
    </row>
    <row r="43" ht="15.75" customHeight="1">
      <c r="F43" s="116"/>
    </row>
    <row r="44" ht="15.75" customHeight="1">
      <c r="F44" s="116"/>
    </row>
    <row r="45" ht="15.75" customHeight="1">
      <c r="F45" s="11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G1"/>
    <mergeCell ref="B4:F4"/>
    <mergeCell ref="B5:F5"/>
    <mergeCell ref="B6:F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5"/>
    <col customWidth="1" min="3" max="3" width="35.75"/>
    <col customWidth="1" min="4" max="4" width="45.38"/>
    <col customWidth="1" min="5" max="5" width="9.88"/>
    <col customWidth="1" min="6" max="6" width="16.38"/>
    <col customWidth="1" min="7" max="7" width="27.38"/>
  </cols>
  <sheetData>
    <row r="1">
      <c r="A1" s="2" t="s">
        <v>1045</v>
      </c>
      <c r="B1" s="3"/>
      <c r="C1" s="3"/>
      <c r="D1" s="3"/>
      <c r="E1" s="3"/>
      <c r="F1" s="3"/>
      <c r="G1" s="86"/>
      <c r="H1" s="68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10"/>
      <c r="B2" s="10"/>
      <c r="C2" s="10"/>
      <c r="D2" s="10"/>
      <c r="E2" s="10"/>
      <c r="F2" s="10"/>
      <c r="G2" s="10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32" t="s">
        <v>1046</v>
      </c>
      <c r="B3" s="35" t="s">
        <v>1047</v>
      </c>
      <c r="C3" s="35" t="s">
        <v>1048</v>
      </c>
      <c r="D3" s="35" t="s">
        <v>1049</v>
      </c>
      <c r="E3" s="35" t="s">
        <v>1050</v>
      </c>
      <c r="F3" s="35" t="s">
        <v>1051</v>
      </c>
      <c r="G3" s="35" t="s">
        <v>1052</v>
      </c>
      <c r="H3" s="68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306" t="s">
        <v>1053</v>
      </c>
      <c r="B4" s="306" t="s">
        <v>1056</v>
      </c>
      <c r="C4" s="306" t="s">
        <v>1057</v>
      </c>
      <c r="D4" s="306" t="s">
        <v>1058</v>
      </c>
      <c r="E4" s="306" t="s">
        <v>1059</v>
      </c>
      <c r="F4" s="306" t="s">
        <v>140</v>
      </c>
      <c r="G4" s="306" t="s">
        <v>1060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307" t="s">
        <v>1053</v>
      </c>
      <c r="B5" s="307" t="s">
        <v>1061</v>
      </c>
      <c r="C5" s="307" t="s">
        <v>1062</v>
      </c>
      <c r="D5" s="307" t="s">
        <v>1063</v>
      </c>
      <c r="E5" s="307" t="s">
        <v>373</v>
      </c>
      <c r="F5" s="307" t="s">
        <v>140</v>
      </c>
      <c r="G5" s="307" t="s">
        <v>1064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307" t="s">
        <v>1053</v>
      </c>
      <c r="B6" s="307" t="s">
        <v>1065</v>
      </c>
      <c r="C6" s="307" t="s">
        <v>1066</v>
      </c>
      <c r="D6" s="307" t="s">
        <v>1067</v>
      </c>
      <c r="E6" s="307" t="s">
        <v>1059</v>
      </c>
      <c r="F6" s="307" t="s">
        <v>140</v>
      </c>
      <c r="G6" s="307" t="s">
        <v>1068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307" t="s">
        <v>1053</v>
      </c>
      <c r="B7" s="307" t="s">
        <v>1069</v>
      </c>
      <c r="C7" s="307" t="s">
        <v>1070</v>
      </c>
      <c r="D7" s="307" t="s">
        <v>1071</v>
      </c>
      <c r="E7" s="307" t="s">
        <v>1059</v>
      </c>
      <c r="F7" s="307" t="s">
        <v>140</v>
      </c>
      <c r="G7" s="307" t="s">
        <v>1072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307" t="s">
        <v>1053</v>
      </c>
      <c r="B8" s="307" t="s">
        <v>231</v>
      </c>
      <c r="C8" s="307" t="s">
        <v>1073</v>
      </c>
      <c r="D8" s="307" t="s">
        <v>1074</v>
      </c>
      <c r="E8" s="307" t="s">
        <v>373</v>
      </c>
      <c r="F8" s="307" t="s">
        <v>140</v>
      </c>
      <c r="G8" s="307" t="s">
        <v>1075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307" t="s">
        <v>1078</v>
      </c>
      <c r="B9" s="307" t="s">
        <v>227</v>
      </c>
      <c r="C9" s="307" t="s">
        <v>1079</v>
      </c>
      <c r="D9" s="307" t="s">
        <v>1080</v>
      </c>
      <c r="E9" s="307" t="s">
        <v>1059</v>
      </c>
      <c r="F9" s="307" t="s">
        <v>140</v>
      </c>
      <c r="G9" s="307" t="s">
        <v>1081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307" t="s">
        <v>1078</v>
      </c>
      <c r="B10" s="307" t="s">
        <v>1082</v>
      </c>
      <c r="C10" s="307" t="s">
        <v>1083</v>
      </c>
      <c r="D10" s="307" t="s">
        <v>1084</v>
      </c>
      <c r="E10" s="307" t="s">
        <v>1059</v>
      </c>
      <c r="F10" s="307" t="s">
        <v>140</v>
      </c>
      <c r="G10" s="307" t="s">
        <v>1085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307" t="s">
        <v>1078</v>
      </c>
      <c r="B11" s="307" t="s">
        <v>1086</v>
      </c>
      <c r="C11" s="307" t="s">
        <v>1087</v>
      </c>
      <c r="D11" s="307" t="s">
        <v>1088</v>
      </c>
      <c r="E11" s="307" t="s">
        <v>373</v>
      </c>
      <c r="F11" s="307" t="s">
        <v>140</v>
      </c>
      <c r="G11" s="307" t="s">
        <v>1089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307" t="s">
        <v>1078</v>
      </c>
      <c r="B12" s="307" t="s">
        <v>47</v>
      </c>
      <c r="C12" s="307" t="s">
        <v>1090</v>
      </c>
      <c r="D12" s="307" t="s">
        <v>1091</v>
      </c>
      <c r="E12" s="307" t="s">
        <v>372</v>
      </c>
      <c r="F12" s="307" t="s">
        <v>1092</v>
      </c>
      <c r="G12" s="307" t="s">
        <v>1093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307" t="s">
        <v>1094</v>
      </c>
      <c r="B13" s="307" t="s">
        <v>1095</v>
      </c>
      <c r="C13" s="307" t="s">
        <v>1096</v>
      </c>
      <c r="D13" s="307" t="s">
        <v>1097</v>
      </c>
      <c r="E13" s="307" t="s">
        <v>1059</v>
      </c>
      <c r="F13" s="307" t="s">
        <v>1098</v>
      </c>
      <c r="G13" s="307" t="s">
        <v>1099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307" t="s">
        <v>1094</v>
      </c>
      <c r="B14" s="307" t="s">
        <v>113</v>
      </c>
      <c r="C14" s="307" t="s">
        <v>1100</v>
      </c>
      <c r="D14" s="307" t="s">
        <v>1101</v>
      </c>
      <c r="E14" s="307" t="s">
        <v>373</v>
      </c>
      <c r="F14" s="307" t="s">
        <v>1098</v>
      </c>
      <c r="G14" s="307" t="s">
        <v>1102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307" t="s">
        <v>1094</v>
      </c>
      <c r="B15" s="307" t="s">
        <v>1103</v>
      </c>
      <c r="C15" s="307" t="s">
        <v>1104</v>
      </c>
      <c r="D15" s="307" t="s">
        <v>1105</v>
      </c>
      <c r="E15" s="307" t="s">
        <v>373</v>
      </c>
      <c r="F15" s="307" t="s">
        <v>1098</v>
      </c>
      <c r="G15" s="307" t="s">
        <v>1106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307" t="s">
        <v>1094</v>
      </c>
      <c r="B16" s="307" t="s">
        <v>1108</v>
      </c>
      <c r="C16" s="307" t="s">
        <v>1110</v>
      </c>
      <c r="D16" s="307" t="s">
        <v>1111</v>
      </c>
      <c r="E16" s="307" t="s">
        <v>1059</v>
      </c>
      <c r="F16" s="307" t="s">
        <v>140</v>
      </c>
      <c r="G16" s="307" t="s">
        <v>1112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307" t="s">
        <v>1094</v>
      </c>
      <c r="B17" s="307" t="s">
        <v>272</v>
      </c>
      <c r="C17" s="307" t="s">
        <v>1113</v>
      </c>
      <c r="D17" s="307" t="s">
        <v>1114</v>
      </c>
      <c r="E17" s="307" t="s">
        <v>373</v>
      </c>
      <c r="F17" s="307" t="s">
        <v>140</v>
      </c>
      <c r="G17" s="307" t="s">
        <v>1115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>
      <c r="A18" s="307" t="s">
        <v>1094</v>
      </c>
      <c r="B18" s="307" t="s">
        <v>273</v>
      </c>
      <c r="C18" s="307" t="s">
        <v>1116</v>
      </c>
      <c r="D18" s="307" t="s">
        <v>1117</v>
      </c>
      <c r="E18" s="307" t="s">
        <v>373</v>
      </c>
      <c r="F18" s="307" t="s">
        <v>1118</v>
      </c>
      <c r="G18" s="307" t="s">
        <v>1119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>
      <c r="A19" s="307" t="s">
        <v>1094</v>
      </c>
      <c r="B19" s="307" t="s">
        <v>1120</v>
      </c>
      <c r="C19" s="307" t="s">
        <v>1121</v>
      </c>
      <c r="D19" s="307" t="s">
        <v>1122</v>
      </c>
      <c r="E19" s="307" t="s">
        <v>372</v>
      </c>
      <c r="F19" s="307" t="s">
        <v>1098</v>
      </c>
      <c r="G19" s="307" t="s">
        <v>1123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>
      <c r="A20" s="307" t="s">
        <v>1094</v>
      </c>
      <c r="B20" s="307" t="s">
        <v>275</v>
      </c>
      <c r="C20" s="307" t="s">
        <v>1124</v>
      </c>
      <c r="D20" s="307" t="s">
        <v>1125</v>
      </c>
      <c r="E20" s="307" t="s">
        <v>373</v>
      </c>
      <c r="F20" s="307" t="s">
        <v>1126</v>
      </c>
      <c r="G20" s="307" t="s">
        <v>1127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>
      <c r="A21" s="307" t="s">
        <v>1128</v>
      </c>
      <c r="B21" s="307" t="s">
        <v>1129</v>
      </c>
      <c r="C21" s="307" t="s">
        <v>1130</v>
      </c>
      <c r="D21" s="307" t="s">
        <v>1131</v>
      </c>
      <c r="E21" s="307" t="s">
        <v>373</v>
      </c>
      <c r="F21" s="307" t="s">
        <v>140</v>
      </c>
      <c r="G21" s="307" t="s">
        <v>1132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>
      <c r="A22" s="307" t="s">
        <v>1128</v>
      </c>
      <c r="B22" s="307" t="s">
        <v>1133</v>
      </c>
      <c r="C22" s="307" t="s">
        <v>1134</v>
      </c>
      <c r="D22" s="307" t="s">
        <v>1135</v>
      </c>
      <c r="E22" s="307" t="s">
        <v>373</v>
      </c>
      <c r="F22" s="307" t="s">
        <v>1098</v>
      </c>
      <c r="G22" s="307" t="s">
        <v>1136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>
      <c r="A23" s="307" t="s">
        <v>1137</v>
      </c>
      <c r="B23" s="307" t="s">
        <v>1138</v>
      </c>
      <c r="C23" s="307" t="s">
        <v>1139</v>
      </c>
      <c r="D23" s="307" t="s">
        <v>1140</v>
      </c>
      <c r="E23" s="307" t="s">
        <v>1059</v>
      </c>
      <c r="F23" s="307" t="s">
        <v>140</v>
      </c>
      <c r="G23" s="307" t="s">
        <v>1141</v>
      </c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>
      <c r="A24" s="307" t="s">
        <v>1137</v>
      </c>
      <c r="B24" s="307" t="s">
        <v>1143</v>
      </c>
      <c r="C24" s="307" t="s">
        <v>1144</v>
      </c>
      <c r="D24" s="307" t="s">
        <v>1146</v>
      </c>
      <c r="E24" s="307" t="s">
        <v>373</v>
      </c>
      <c r="F24" s="307" t="s">
        <v>1147</v>
      </c>
      <c r="G24" s="307" t="s">
        <v>1148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>
      <c r="A25" s="307" t="s">
        <v>1149</v>
      </c>
      <c r="B25" s="307" t="s">
        <v>1150</v>
      </c>
      <c r="C25" s="307" t="s">
        <v>1151</v>
      </c>
      <c r="D25" s="307" t="s">
        <v>1152</v>
      </c>
      <c r="E25" s="307" t="s">
        <v>372</v>
      </c>
      <c r="F25" s="307" t="s">
        <v>1147</v>
      </c>
      <c r="G25" s="307" t="s">
        <v>1153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>
      <c r="A26" s="307" t="s">
        <v>1149</v>
      </c>
      <c r="B26" s="307" t="s">
        <v>297</v>
      </c>
      <c r="C26" s="307" t="s">
        <v>1154</v>
      </c>
      <c r="D26" s="307" t="s">
        <v>1155</v>
      </c>
      <c r="E26" s="307" t="s">
        <v>372</v>
      </c>
      <c r="F26" s="307" t="s">
        <v>1147</v>
      </c>
      <c r="G26" s="307" t="s">
        <v>1156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>
      <c r="A27" s="307" t="s">
        <v>1149</v>
      </c>
      <c r="B27" s="307" t="s">
        <v>1158</v>
      </c>
      <c r="C27" s="307" t="s">
        <v>1159</v>
      </c>
      <c r="D27" s="307" t="s">
        <v>1160</v>
      </c>
      <c r="E27" s="307" t="s">
        <v>373</v>
      </c>
      <c r="F27" s="307" t="s">
        <v>1147</v>
      </c>
      <c r="G27" s="307" t="s">
        <v>1161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>
      <c r="A28" s="307" t="s">
        <v>1149</v>
      </c>
      <c r="B28" s="307" t="s">
        <v>299</v>
      </c>
      <c r="C28" s="307" t="s">
        <v>1162</v>
      </c>
      <c r="D28" s="307" t="s">
        <v>1163</v>
      </c>
      <c r="E28" s="307" t="s">
        <v>373</v>
      </c>
      <c r="F28" s="307" t="s">
        <v>1147</v>
      </c>
      <c r="G28" s="307" t="s">
        <v>1164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>
      <c r="A29" s="307" t="s">
        <v>403</v>
      </c>
      <c r="B29" s="307" t="s">
        <v>1165</v>
      </c>
      <c r="C29" s="307" t="s">
        <v>1166</v>
      </c>
      <c r="D29" s="307" t="s">
        <v>1167</v>
      </c>
      <c r="E29" s="307" t="s">
        <v>1059</v>
      </c>
      <c r="F29" s="307" t="s">
        <v>140</v>
      </c>
      <c r="G29" s="307" t="s">
        <v>1168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>
      <c r="A30" s="307" t="s">
        <v>403</v>
      </c>
      <c r="B30" s="307" t="s">
        <v>1169</v>
      </c>
      <c r="C30" s="307" t="s">
        <v>1170</v>
      </c>
      <c r="D30" s="307" t="s">
        <v>1171</v>
      </c>
      <c r="E30" s="307" t="s">
        <v>1059</v>
      </c>
      <c r="F30" s="307" t="s">
        <v>140</v>
      </c>
      <c r="G30" s="307" t="s">
        <v>1172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>
      <c r="A31" s="307" t="s">
        <v>403</v>
      </c>
      <c r="B31" s="307" t="s">
        <v>1173</v>
      </c>
      <c r="C31" s="307" t="s">
        <v>1174</v>
      </c>
      <c r="D31" s="307" t="s">
        <v>1175</v>
      </c>
      <c r="E31" s="307" t="s">
        <v>373</v>
      </c>
      <c r="F31" s="307" t="s">
        <v>140</v>
      </c>
      <c r="G31" s="307" t="s">
        <v>1176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>
      <c r="A32" s="307" t="s">
        <v>403</v>
      </c>
      <c r="B32" s="307" t="s">
        <v>1177</v>
      </c>
      <c r="C32" s="307" t="s">
        <v>1178</v>
      </c>
      <c r="D32" s="307" t="s">
        <v>1179</v>
      </c>
      <c r="E32" s="307" t="s">
        <v>373</v>
      </c>
      <c r="F32" s="307" t="s">
        <v>140</v>
      </c>
      <c r="G32" s="307" t="s">
        <v>159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>
      <c r="A33" s="307" t="s">
        <v>403</v>
      </c>
      <c r="B33" s="307" t="s">
        <v>1182</v>
      </c>
      <c r="C33" s="307" t="s">
        <v>1183</v>
      </c>
      <c r="D33" s="307" t="s">
        <v>1184</v>
      </c>
      <c r="E33" s="307" t="s">
        <v>1059</v>
      </c>
      <c r="F33" s="307" t="s">
        <v>1185</v>
      </c>
      <c r="G33" s="307" t="s">
        <v>1186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>
      <c r="A34" s="307" t="s">
        <v>1187</v>
      </c>
      <c r="B34" s="307" t="s">
        <v>1188</v>
      </c>
      <c r="C34" s="307" t="s">
        <v>1189</v>
      </c>
      <c r="D34" s="307" t="s">
        <v>1190</v>
      </c>
      <c r="E34" s="307" t="s">
        <v>373</v>
      </c>
      <c r="F34" s="307" t="s">
        <v>140</v>
      </c>
      <c r="G34" s="307" t="s">
        <v>1191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>
      <c r="A35" s="307" t="s">
        <v>1187</v>
      </c>
      <c r="B35" s="307" t="s">
        <v>1192</v>
      </c>
      <c r="C35" s="307" t="s">
        <v>1193</v>
      </c>
      <c r="D35" s="307" t="s">
        <v>1194</v>
      </c>
      <c r="E35" s="307" t="s">
        <v>373</v>
      </c>
      <c r="F35" s="307" t="s">
        <v>140</v>
      </c>
      <c r="G35" s="307" t="s">
        <v>1195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>
      <c r="A36" s="307" t="s">
        <v>1187</v>
      </c>
      <c r="B36" s="307" t="s">
        <v>305</v>
      </c>
      <c r="C36" s="307" t="s">
        <v>1196</v>
      </c>
      <c r="D36" s="307" t="s">
        <v>1197</v>
      </c>
      <c r="E36" s="307" t="s">
        <v>373</v>
      </c>
      <c r="F36" s="307" t="s">
        <v>160</v>
      </c>
      <c r="G36" s="307" t="s">
        <v>1198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307" t="s">
        <v>1187</v>
      </c>
      <c r="B37" s="307" t="s">
        <v>306</v>
      </c>
      <c r="C37" s="307" t="s">
        <v>1199</v>
      </c>
      <c r="D37" s="307" t="s">
        <v>1200</v>
      </c>
      <c r="E37" s="307" t="s">
        <v>373</v>
      </c>
      <c r="F37" s="307" t="s">
        <v>160</v>
      </c>
      <c r="G37" s="307" t="s">
        <v>1201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307" t="s">
        <v>1187</v>
      </c>
      <c r="B38" s="307" t="s">
        <v>1202</v>
      </c>
      <c r="C38" s="307" t="s">
        <v>1203</v>
      </c>
      <c r="D38" s="307" t="s">
        <v>1204</v>
      </c>
      <c r="E38" s="307" t="s">
        <v>373</v>
      </c>
      <c r="F38" s="307" t="s">
        <v>140</v>
      </c>
      <c r="G38" s="307" t="s">
        <v>1205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307" t="s">
        <v>1206</v>
      </c>
      <c r="B39" s="307" t="s">
        <v>1207</v>
      </c>
      <c r="C39" s="307" t="s">
        <v>1208</v>
      </c>
      <c r="D39" s="307" t="s">
        <v>1209</v>
      </c>
      <c r="E39" s="307" t="s">
        <v>372</v>
      </c>
      <c r="F39" s="307" t="s">
        <v>1098</v>
      </c>
      <c r="G39" s="307" t="s">
        <v>1210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307" t="s">
        <v>1206</v>
      </c>
      <c r="B40" s="307" t="s">
        <v>1213</v>
      </c>
      <c r="C40" s="307" t="s">
        <v>1214</v>
      </c>
      <c r="D40" s="307" t="s">
        <v>1215</v>
      </c>
      <c r="E40" s="307" t="s">
        <v>372</v>
      </c>
      <c r="F40" s="307" t="s">
        <v>1098</v>
      </c>
      <c r="G40" s="307" t="s">
        <v>1216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307" t="s">
        <v>1206</v>
      </c>
      <c r="B41" s="307" t="s">
        <v>1217</v>
      </c>
      <c r="C41" s="307" t="s">
        <v>1218</v>
      </c>
      <c r="D41" s="307" t="s">
        <v>1219</v>
      </c>
      <c r="E41" s="307" t="s">
        <v>372</v>
      </c>
      <c r="F41" s="307" t="s">
        <v>1098</v>
      </c>
      <c r="G41" s="307" t="s">
        <v>1220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307" t="s">
        <v>1206</v>
      </c>
      <c r="B42" s="307" t="s">
        <v>1221</v>
      </c>
      <c r="C42" s="307" t="s">
        <v>1222</v>
      </c>
      <c r="D42" s="307" t="s">
        <v>1223</v>
      </c>
      <c r="E42" s="307" t="s">
        <v>372</v>
      </c>
      <c r="F42" s="307" t="s">
        <v>1098</v>
      </c>
      <c r="G42" s="307" t="s">
        <v>1224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307" t="s">
        <v>1206</v>
      </c>
      <c r="B43" s="307" t="s">
        <v>1225</v>
      </c>
      <c r="C43" s="307" t="s">
        <v>1226</v>
      </c>
      <c r="D43" s="307" t="s">
        <v>1227</v>
      </c>
      <c r="E43" s="307" t="s">
        <v>372</v>
      </c>
      <c r="F43" s="307" t="s">
        <v>1228</v>
      </c>
      <c r="G43" s="307" t="s">
        <v>1229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307" t="s">
        <v>1206</v>
      </c>
      <c r="B44" s="307" t="s">
        <v>1230</v>
      </c>
      <c r="C44" s="307" t="s">
        <v>1231</v>
      </c>
      <c r="D44" s="307" t="s">
        <v>1232</v>
      </c>
      <c r="E44" s="307" t="s">
        <v>372</v>
      </c>
      <c r="F44" s="307" t="s">
        <v>1233</v>
      </c>
      <c r="G44" s="307" t="s">
        <v>1234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307" t="s">
        <v>162</v>
      </c>
      <c r="B45" s="307" t="s">
        <v>1235</v>
      </c>
      <c r="C45" s="307" t="s">
        <v>1236</v>
      </c>
      <c r="D45" s="307" t="s">
        <v>1237</v>
      </c>
      <c r="E45" s="307" t="s">
        <v>1238</v>
      </c>
      <c r="F45" s="307" t="s">
        <v>140</v>
      </c>
      <c r="G45" s="307" t="s">
        <v>1239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307" t="s">
        <v>162</v>
      </c>
      <c r="B46" s="307" t="s">
        <v>1240</v>
      </c>
      <c r="C46" s="307" t="s">
        <v>1241</v>
      </c>
      <c r="D46" s="307" t="s">
        <v>1242</v>
      </c>
      <c r="E46" s="307" t="s">
        <v>1238</v>
      </c>
      <c r="F46" s="307" t="s">
        <v>1098</v>
      </c>
      <c r="G46" s="307" t="s">
        <v>1243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307" t="s">
        <v>162</v>
      </c>
      <c r="B47" s="307" t="s">
        <v>1244</v>
      </c>
      <c r="C47" s="307" t="s">
        <v>1245</v>
      </c>
      <c r="D47" s="307" t="s">
        <v>1246</v>
      </c>
      <c r="E47" s="307" t="s">
        <v>1238</v>
      </c>
      <c r="F47" s="307" t="s">
        <v>140</v>
      </c>
      <c r="G47" s="307" t="s">
        <v>1247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307" t="s">
        <v>1248</v>
      </c>
      <c r="B48" s="307" t="s">
        <v>1249</v>
      </c>
      <c r="C48" s="307" t="s">
        <v>1250</v>
      </c>
      <c r="D48" s="307" t="s">
        <v>1251</v>
      </c>
      <c r="E48" s="307" t="s">
        <v>373</v>
      </c>
      <c r="F48" s="307" t="s">
        <v>140</v>
      </c>
      <c r="G48" s="307" t="s">
        <v>1252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307" t="s">
        <v>1253</v>
      </c>
      <c r="B49" s="307" t="s">
        <v>1254</v>
      </c>
      <c r="C49" s="307" t="s">
        <v>1255</v>
      </c>
      <c r="D49" s="307" t="s">
        <v>1256</v>
      </c>
      <c r="E49" s="307" t="s">
        <v>372</v>
      </c>
      <c r="F49" s="307" t="s">
        <v>1257</v>
      </c>
      <c r="G49" s="307" t="s">
        <v>1258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307" t="s">
        <v>1259</v>
      </c>
      <c r="B50" s="307" t="s">
        <v>1260</v>
      </c>
      <c r="C50" s="307" t="s">
        <v>1261</v>
      </c>
      <c r="D50" s="307" t="s">
        <v>1262</v>
      </c>
      <c r="E50" s="307" t="s">
        <v>372</v>
      </c>
      <c r="F50" s="307" t="s">
        <v>140</v>
      </c>
      <c r="G50" s="307" t="s">
        <v>1263</v>
      </c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307" t="s">
        <v>1259</v>
      </c>
      <c r="B51" s="307" t="s">
        <v>1264</v>
      </c>
      <c r="C51" s="307" t="s">
        <v>1265</v>
      </c>
      <c r="D51" s="307" t="s">
        <v>1266</v>
      </c>
      <c r="E51" s="307" t="s">
        <v>372</v>
      </c>
      <c r="F51" s="307" t="s">
        <v>160</v>
      </c>
      <c r="G51" s="307" t="s">
        <v>1267</v>
      </c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307" t="s">
        <v>1268</v>
      </c>
      <c r="B52" s="307" t="s">
        <v>1269</v>
      </c>
      <c r="C52" s="307" t="s">
        <v>1270</v>
      </c>
      <c r="D52" s="307" t="s">
        <v>1271</v>
      </c>
      <c r="E52" s="307" t="s">
        <v>372</v>
      </c>
      <c r="F52" s="307" t="s">
        <v>1098</v>
      </c>
      <c r="G52" s="307" t="s">
        <v>1272</v>
      </c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307" t="s">
        <v>1268</v>
      </c>
      <c r="B53" s="307" t="s">
        <v>1274</v>
      </c>
      <c r="C53" s="307" t="s">
        <v>1275</v>
      </c>
      <c r="D53" s="307" t="s">
        <v>1277</v>
      </c>
      <c r="E53" s="307" t="s">
        <v>372</v>
      </c>
      <c r="F53" s="307" t="s">
        <v>1098</v>
      </c>
      <c r="G53" s="307" t="s">
        <v>1278</v>
      </c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307" t="s">
        <v>1279</v>
      </c>
      <c r="B54" s="307" t="s">
        <v>1280</v>
      </c>
      <c r="C54" s="307" t="s">
        <v>1281</v>
      </c>
      <c r="D54" s="307" t="s">
        <v>1282</v>
      </c>
      <c r="E54" s="307" t="s">
        <v>372</v>
      </c>
      <c r="F54" s="307" t="s">
        <v>140</v>
      </c>
      <c r="G54" s="307" t="s">
        <v>1283</v>
      </c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</sheetData>
  <mergeCells count="1">
    <mergeCell ref="A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</cols>
  <sheetData>
    <row r="2">
      <c r="B2" s="72" t="s">
        <v>1309</v>
      </c>
      <c r="C2" s="308"/>
      <c r="D2" s="308"/>
      <c r="E2" s="308"/>
      <c r="F2" s="308"/>
      <c r="G2" s="308"/>
    </row>
    <row r="3">
      <c r="B3" s="308"/>
      <c r="C3" s="308"/>
      <c r="D3" s="308"/>
      <c r="E3" s="308"/>
      <c r="F3" s="308"/>
      <c r="G3" s="308"/>
    </row>
    <row r="4">
      <c r="B4" s="72" t="s">
        <v>1310</v>
      </c>
      <c r="C4" s="308"/>
      <c r="D4" s="308"/>
      <c r="E4" s="308"/>
      <c r="F4" s="308"/>
      <c r="G4" s="308"/>
    </row>
    <row r="5">
      <c r="B5" s="308"/>
      <c r="C5" s="308"/>
      <c r="D5" s="308"/>
      <c r="E5" s="308"/>
      <c r="F5" s="308"/>
      <c r="G5" s="308"/>
    </row>
    <row r="6">
      <c r="B6" s="72" t="s">
        <v>1311</v>
      </c>
      <c r="C6" s="308"/>
      <c r="D6" s="308"/>
      <c r="E6" s="308"/>
      <c r="F6" s="308"/>
      <c r="G6" s="308"/>
    </row>
    <row r="7">
      <c r="B7" s="308"/>
      <c r="C7" s="308"/>
      <c r="D7" s="308"/>
      <c r="E7" s="308"/>
      <c r="F7" s="308"/>
      <c r="G7" s="308"/>
    </row>
    <row r="8">
      <c r="B8" s="72" t="s">
        <v>1312</v>
      </c>
      <c r="C8" s="308"/>
      <c r="D8" s="308"/>
      <c r="E8" s="308"/>
      <c r="F8" s="308"/>
      <c r="G8" s="308"/>
    </row>
    <row r="9">
      <c r="B9" s="308"/>
      <c r="C9" s="308"/>
      <c r="D9" s="308"/>
      <c r="E9" s="308"/>
      <c r="F9" s="308"/>
      <c r="G9" s="308"/>
    </row>
    <row r="10">
      <c r="B10" s="72" t="s">
        <v>1313</v>
      </c>
      <c r="C10" s="308"/>
      <c r="D10" s="308"/>
      <c r="E10" s="308"/>
      <c r="F10" s="308"/>
      <c r="G10" s="308"/>
    </row>
    <row r="11">
      <c r="B11" s="72" t="s">
        <v>1314</v>
      </c>
      <c r="C11" s="308"/>
      <c r="D11" s="308"/>
      <c r="E11" s="308"/>
      <c r="F11" s="308"/>
      <c r="G11" s="308"/>
    </row>
    <row r="12">
      <c r="B12" s="72" t="s">
        <v>1315</v>
      </c>
      <c r="C12" s="308"/>
      <c r="D12" s="308"/>
      <c r="E12" s="308"/>
      <c r="F12" s="308"/>
      <c r="G12" s="308"/>
    </row>
    <row r="13">
      <c r="B13" s="72" t="s">
        <v>1317</v>
      </c>
      <c r="C13" s="308"/>
      <c r="D13" s="308"/>
      <c r="E13" s="308"/>
      <c r="F13" s="308"/>
      <c r="G13" s="308"/>
    </row>
    <row r="14">
      <c r="B14" s="72" t="s">
        <v>1318</v>
      </c>
      <c r="C14" s="308"/>
      <c r="D14" s="308"/>
      <c r="E14" s="308"/>
      <c r="F14" s="308"/>
      <c r="G14" s="308"/>
    </row>
    <row r="15">
      <c r="B15" s="308"/>
      <c r="C15" s="308"/>
      <c r="D15" s="308"/>
      <c r="E15" s="308"/>
      <c r="F15" s="308"/>
      <c r="G15" s="308"/>
    </row>
    <row r="16">
      <c r="B16" s="72" t="s">
        <v>1320</v>
      </c>
      <c r="C16" s="308"/>
      <c r="D16" s="308"/>
      <c r="E16" s="308"/>
      <c r="F16" s="308"/>
      <c r="G16" s="308"/>
    </row>
    <row r="17">
      <c r="B17" s="308"/>
      <c r="C17" s="308"/>
      <c r="D17" s="308"/>
      <c r="E17" s="308"/>
      <c r="F17" s="308"/>
      <c r="G17" s="308"/>
    </row>
    <row r="18">
      <c r="B18" s="309" t="s">
        <v>1321</v>
      </c>
      <c r="C18" s="308"/>
      <c r="D18" s="308"/>
      <c r="E18" s="308"/>
      <c r="F18" s="308"/>
      <c r="G18" s="308"/>
    </row>
    <row r="19">
      <c r="B19" s="308"/>
      <c r="C19" s="308"/>
      <c r="D19" s="308"/>
      <c r="E19" s="308"/>
      <c r="F19" s="308"/>
      <c r="G19" s="308"/>
    </row>
    <row r="20">
      <c r="B20" s="72" t="s">
        <v>1322</v>
      </c>
      <c r="C20" s="308"/>
      <c r="D20" s="308"/>
      <c r="E20" s="308"/>
      <c r="F20" s="308"/>
      <c r="G20" s="308"/>
    </row>
    <row r="21">
      <c r="B21" s="308"/>
      <c r="C21" s="308"/>
      <c r="D21" s="308"/>
      <c r="E21" s="308"/>
      <c r="F21" s="308"/>
      <c r="G21" s="308"/>
    </row>
    <row r="22">
      <c r="B22" s="72" t="s">
        <v>1323</v>
      </c>
      <c r="C22" s="308"/>
      <c r="D22" s="308"/>
      <c r="E22" s="308"/>
      <c r="F22" s="308"/>
      <c r="G22" s="308"/>
    </row>
    <row r="23">
      <c r="B23" s="72" t="s">
        <v>1324</v>
      </c>
      <c r="C23" s="308"/>
      <c r="D23" s="308"/>
      <c r="E23" s="308"/>
      <c r="F23" s="308"/>
      <c r="G23" s="308"/>
    </row>
    <row r="24">
      <c r="B24" s="72" t="s">
        <v>1325</v>
      </c>
      <c r="C24" s="308"/>
      <c r="D24" s="308"/>
      <c r="E24" s="308"/>
      <c r="F24" s="308"/>
      <c r="G24" s="308"/>
    </row>
    <row r="25">
      <c r="B25" s="72" t="s">
        <v>1326</v>
      </c>
      <c r="C25" s="308"/>
      <c r="D25" s="308"/>
      <c r="E25" s="308"/>
      <c r="F25" s="308"/>
      <c r="G25" s="308"/>
    </row>
    <row r="26">
      <c r="B26" s="72" t="s">
        <v>1327</v>
      </c>
      <c r="C26" s="308"/>
      <c r="D26" s="308"/>
      <c r="E26" s="308"/>
      <c r="F26" s="308"/>
      <c r="G26" s="308"/>
    </row>
    <row r="27">
      <c r="B27" s="72" t="s">
        <v>1328</v>
      </c>
      <c r="C27" s="308"/>
      <c r="D27" s="308"/>
      <c r="E27" s="308"/>
      <c r="F27" s="308"/>
      <c r="G27" s="308"/>
    </row>
    <row r="28">
      <c r="B28" s="72" t="s">
        <v>1329</v>
      </c>
      <c r="C28" s="308"/>
      <c r="D28" s="308"/>
      <c r="E28" s="308"/>
      <c r="F28" s="308"/>
      <c r="G28" s="308"/>
    </row>
    <row r="29">
      <c r="B29" s="72" t="s">
        <v>1327</v>
      </c>
      <c r="C29" s="308"/>
      <c r="D29" s="308"/>
      <c r="E29" s="308"/>
      <c r="F29" s="308"/>
      <c r="G29" s="308"/>
    </row>
    <row r="30">
      <c r="B30" s="72" t="s">
        <v>1330</v>
      </c>
      <c r="C30" s="308"/>
      <c r="D30" s="308"/>
      <c r="E30" s="308"/>
      <c r="F30" s="308"/>
      <c r="G30" s="308"/>
    </row>
    <row r="31">
      <c r="B31" s="72" t="s">
        <v>1331</v>
      </c>
      <c r="C31" s="308"/>
      <c r="D31" s="308"/>
      <c r="E31" s="308"/>
      <c r="F31" s="308"/>
      <c r="G31" s="308"/>
    </row>
    <row r="32">
      <c r="B32" s="72" t="s">
        <v>167</v>
      </c>
      <c r="C32" s="308"/>
      <c r="D32" s="308"/>
      <c r="E32" s="308"/>
      <c r="F32" s="308"/>
      <c r="G32" s="308"/>
    </row>
    <row r="33">
      <c r="B33" s="72" t="s">
        <v>1332</v>
      </c>
      <c r="C33" s="308"/>
      <c r="D33" s="308"/>
      <c r="E33" s="308"/>
      <c r="F33" s="308"/>
      <c r="G33" s="308"/>
    </row>
    <row r="34">
      <c r="B34" s="72" t="s">
        <v>1331</v>
      </c>
      <c r="C34" s="308"/>
      <c r="D34" s="308"/>
      <c r="E34" s="308"/>
      <c r="F34" s="308"/>
      <c r="G34" s="308"/>
    </row>
    <row r="35">
      <c r="B35" s="72" t="s">
        <v>140</v>
      </c>
      <c r="C35" s="308"/>
      <c r="D35" s="308"/>
      <c r="E35" s="308"/>
      <c r="F35" s="308"/>
      <c r="G35" s="308"/>
    </row>
    <row r="36">
      <c r="B36" s="72" t="s">
        <v>1335</v>
      </c>
      <c r="C36" s="308"/>
      <c r="D36" s="308"/>
      <c r="E36" s="308"/>
      <c r="F36" s="308"/>
      <c r="G36" s="308"/>
    </row>
    <row r="37">
      <c r="B37" s="72" t="s">
        <v>1331</v>
      </c>
      <c r="C37" s="308"/>
      <c r="D37" s="308"/>
      <c r="E37" s="308"/>
      <c r="F37" s="308"/>
      <c r="G37" s="308"/>
    </row>
    <row r="38">
      <c r="B38" s="72" t="s">
        <v>1336</v>
      </c>
      <c r="C38" s="308"/>
      <c r="D38" s="308"/>
      <c r="E38" s="308"/>
      <c r="F38" s="308"/>
      <c r="G38" s="308"/>
    </row>
    <row r="39">
      <c r="B39" s="72" t="s">
        <v>1337</v>
      </c>
      <c r="C39" s="308"/>
      <c r="D39" s="308"/>
      <c r="E39" s="308"/>
      <c r="F39" s="308"/>
      <c r="G39" s="308"/>
    </row>
    <row r="40">
      <c r="B40" s="72" t="s">
        <v>1338</v>
      </c>
      <c r="C40" s="308"/>
      <c r="D40" s="308"/>
      <c r="E40" s="308"/>
      <c r="F40" s="308"/>
      <c r="G40" s="308"/>
    </row>
    <row r="41">
      <c r="B41" s="72" t="s">
        <v>1339</v>
      </c>
      <c r="C41" s="308"/>
      <c r="D41" s="308"/>
      <c r="E41" s="308"/>
      <c r="F41" s="308"/>
      <c r="G41" s="308"/>
    </row>
    <row r="42">
      <c r="B42" s="72" t="s">
        <v>1340</v>
      </c>
      <c r="C42" s="308"/>
      <c r="D42" s="308"/>
      <c r="E42" s="308"/>
      <c r="F42" s="308"/>
      <c r="G42" s="308"/>
    </row>
    <row r="43">
      <c r="B43" s="72" t="s">
        <v>1341</v>
      </c>
      <c r="C43" s="308"/>
      <c r="D43" s="308"/>
      <c r="E43" s="308"/>
      <c r="F43" s="308"/>
      <c r="G43" s="308"/>
    </row>
    <row r="44">
      <c r="B44" s="72" t="s">
        <v>1331</v>
      </c>
      <c r="C44" s="308"/>
      <c r="D44" s="308"/>
      <c r="E44" s="308"/>
      <c r="F44" s="308"/>
      <c r="G44" s="308"/>
    </row>
    <row r="45">
      <c r="B45" s="72" t="s">
        <v>1343</v>
      </c>
      <c r="C45" s="308"/>
      <c r="D45" s="308"/>
      <c r="E45" s="308"/>
      <c r="F45" s="308"/>
      <c r="G45" s="308"/>
    </row>
    <row r="46">
      <c r="B46" s="72" t="s">
        <v>1344</v>
      </c>
      <c r="C46" s="308"/>
      <c r="D46" s="308"/>
      <c r="E46" s="308"/>
      <c r="F46" s="308"/>
      <c r="G46" s="308"/>
    </row>
    <row r="47">
      <c r="B47" s="72" t="s">
        <v>1331</v>
      </c>
      <c r="C47" s="308"/>
      <c r="D47" s="308"/>
      <c r="E47" s="308"/>
      <c r="F47" s="308"/>
      <c r="G47" s="308"/>
    </row>
    <row r="48">
      <c r="B48" s="72" t="s">
        <v>1345</v>
      </c>
      <c r="C48" s="308"/>
      <c r="D48" s="308"/>
      <c r="E48" s="308"/>
      <c r="F48" s="308"/>
      <c r="G48" s="308"/>
    </row>
    <row r="49">
      <c r="B49" s="72" t="s">
        <v>1346</v>
      </c>
      <c r="C49" s="308"/>
      <c r="D49" s="308"/>
      <c r="E49" s="308"/>
      <c r="F49" s="308"/>
      <c r="G49" s="308"/>
    </row>
    <row r="50">
      <c r="B50" s="72" t="s">
        <v>1331</v>
      </c>
      <c r="C50" s="308"/>
      <c r="D50" s="308"/>
      <c r="E50" s="308"/>
      <c r="F50" s="308"/>
      <c r="G50" s="308"/>
    </row>
    <row r="51">
      <c r="B51" s="72" t="s">
        <v>1347</v>
      </c>
      <c r="C51" s="308"/>
      <c r="D51" s="308"/>
      <c r="E51" s="308"/>
      <c r="F51" s="308"/>
      <c r="G51" s="308"/>
    </row>
    <row r="52">
      <c r="B52" s="308"/>
      <c r="C52" s="308"/>
      <c r="D52" s="308"/>
      <c r="E52" s="308"/>
      <c r="F52" s="308"/>
      <c r="G52" s="308"/>
    </row>
    <row r="53">
      <c r="B53" s="72" t="s">
        <v>1348</v>
      </c>
      <c r="C53" s="308"/>
      <c r="D53" s="308"/>
      <c r="E53" s="308"/>
      <c r="F53" s="308"/>
      <c r="G53" s="308"/>
    </row>
    <row r="54">
      <c r="B54" s="308"/>
      <c r="C54" s="308"/>
      <c r="D54" s="308"/>
      <c r="E54" s="308"/>
      <c r="F54" s="308"/>
      <c r="G54" s="308"/>
    </row>
    <row r="55">
      <c r="B55" s="72" t="s">
        <v>1349</v>
      </c>
      <c r="C55" s="308"/>
      <c r="D55" s="308"/>
      <c r="E55" s="308"/>
      <c r="F55" s="308"/>
      <c r="G55" s="308"/>
    </row>
    <row r="56">
      <c r="B56" s="72" t="s">
        <v>1350</v>
      </c>
      <c r="C56" s="308"/>
      <c r="D56" s="308"/>
      <c r="E56" s="308"/>
      <c r="F56" s="308"/>
      <c r="G56" s="308"/>
    </row>
    <row r="57">
      <c r="B57" s="72" t="s">
        <v>1351</v>
      </c>
      <c r="C57" s="308"/>
      <c r="D57" s="308"/>
      <c r="E57" s="308"/>
      <c r="F57" s="308"/>
      <c r="G57" s="308"/>
    </row>
    <row r="58">
      <c r="B58" s="308"/>
      <c r="C58" s="308"/>
      <c r="D58" s="308"/>
      <c r="E58" s="308"/>
      <c r="F58" s="308"/>
      <c r="G58" s="308"/>
    </row>
    <row r="59">
      <c r="B59" s="72" t="s">
        <v>1353</v>
      </c>
      <c r="C59" s="308"/>
      <c r="D59" s="308"/>
      <c r="E59" s="308"/>
      <c r="F59" s="308"/>
      <c r="G59" s="308"/>
    </row>
    <row r="60">
      <c r="B60" s="308"/>
      <c r="C60" s="308"/>
      <c r="D60" s="308"/>
      <c r="E60" s="308"/>
      <c r="F60" s="308"/>
      <c r="G60" s="308"/>
    </row>
    <row r="61">
      <c r="B61" s="182" t="s">
        <v>1355</v>
      </c>
      <c r="C61" s="308"/>
      <c r="D61" s="308"/>
      <c r="E61" s="308"/>
      <c r="F61" s="308"/>
      <c r="G61" s="308"/>
    </row>
    <row r="62">
      <c r="B62" s="308"/>
      <c r="C62" s="308"/>
      <c r="D62" s="308"/>
      <c r="E62" s="308"/>
      <c r="F62" s="308"/>
      <c r="G62" s="308"/>
    </row>
    <row r="63">
      <c r="B63" s="72" t="s">
        <v>1356</v>
      </c>
      <c r="C63" s="308"/>
      <c r="D63" s="308"/>
      <c r="E63" s="308"/>
      <c r="F63" s="308"/>
      <c r="G63" s="308"/>
    </row>
    <row r="64">
      <c r="B64" s="308"/>
      <c r="C64" s="308"/>
      <c r="D64" s="308"/>
      <c r="E64" s="308"/>
      <c r="F64" s="308"/>
      <c r="G64" s="308"/>
    </row>
    <row r="65">
      <c r="B65" s="72" t="s">
        <v>1357</v>
      </c>
      <c r="C65" s="308"/>
      <c r="D65" s="308"/>
      <c r="E65" s="308"/>
      <c r="F65" s="308"/>
      <c r="G65" s="308"/>
    </row>
    <row r="66">
      <c r="B66" s="308"/>
      <c r="C66" s="308"/>
      <c r="D66" s="308"/>
      <c r="E66" s="308"/>
      <c r="F66" s="308"/>
      <c r="G66" s="308"/>
    </row>
    <row r="67">
      <c r="B67" s="72" t="s">
        <v>1358</v>
      </c>
      <c r="C67" s="308"/>
      <c r="D67" s="308"/>
      <c r="E67" s="308"/>
      <c r="F67" s="308"/>
      <c r="G67" s="308"/>
    </row>
    <row r="68">
      <c r="B68" s="308"/>
      <c r="C68" s="308"/>
      <c r="D68" s="308"/>
      <c r="E68" s="308"/>
      <c r="F68" s="308"/>
      <c r="G68" s="308"/>
    </row>
    <row r="69">
      <c r="B69" s="72" t="s">
        <v>1359</v>
      </c>
      <c r="C69" s="308"/>
      <c r="D69" s="308"/>
      <c r="E69" s="308"/>
      <c r="F69" s="308"/>
      <c r="G69" s="308"/>
    </row>
    <row r="70">
      <c r="B70" s="308"/>
      <c r="C70" s="308"/>
      <c r="D70" s="308"/>
      <c r="E70" s="308"/>
      <c r="F70" s="308"/>
      <c r="G70" s="308"/>
    </row>
    <row r="71">
      <c r="B71" s="310" t="s">
        <v>1360</v>
      </c>
      <c r="C71" s="310" t="s">
        <v>1361</v>
      </c>
      <c r="D71" s="308"/>
      <c r="E71" s="308"/>
      <c r="F71" s="308"/>
      <c r="G71" s="308"/>
    </row>
    <row r="72">
      <c r="B72" s="72" t="s">
        <v>9</v>
      </c>
      <c r="C72" s="72" t="s">
        <v>1362</v>
      </c>
      <c r="D72" s="308"/>
      <c r="E72" s="308"/>
      <c r="F72" s="308"/>
      <c r="G72" s="308"/>
    </row>
    <row r="73">
      <c r="B73" s="72" t="s">
        <v>1363</v>
      </c>
      <c r="C73" s="72" t="s">
        <v>1364</v>
      </c>
      <c r="D73" s="308"/>
      <c r="E73" s="308"/>
      <c r="F73" s="308"/>
      <c r="G73" s="308"/>
    </row>
    <row r="74">
      <c r="B74" s="72" t="s">
        <v>1365</v>
      </c>
      <c r="C74" s="72" t="s">
        <v>1366</v>
      </c>
      <c r="D74" s="308"/>
      <c r="E74" s="308"/>
      <c r="F74" s="308"/>
      <c r="G74" s="308"/>
    </row>
    <row r="75">
      <c r="B75" s="72" t="s">
        <v>1367</v>
      </c>
      <c r="C75" s="72" t="s">
        <v>1368</v>
      </c>
      <c r="D75" s="308"/>
      <c r="E75" s="308"/>
      <c r="F75" s="308"/>
      <c r="G75" s="308"/>
    </row>
    <row r="76">
      <c r="B76" s="72" t="s">
        <v>1369</v>
      </c>
      <c r="C76" s="72" t="s">
        <v>1370</v>
      </c>
      <c r="D76" s="308"/>
      <c r="E76" s="308"/>
      <c r="F76" s="308"/>
      <c r="G76" s="308"/>
    </row>
    <row r="77">
      <c r="B77" s="72" t="s">
        <v>1371</v>
      </c>
      <c r="C77" s="72" t="s">
        <v>1372</v>
      </c>
      <c r="D77" s="308"/>
      <c r="E77" s="308"/>
      <c r="F77" s="308"/>
      <c r="G77" s="308"/>
    </row>
    <row r="78">
      <c r="B78" s="72" t="s">
        <v>1373</v>
      </c>
      <c r="C78" s="72" t="s">
        <v>1374</v>
      </c>
      <c r="D78" s="308"/>
      <c r="E78" s="308"/>
      <c r="F78" s="308"/>
      <c r="G78" s="308"/>
    </row>
    <row r="79">
      <c r="B79" s="72" t="s">
        <v>1376</v>
      </c>
      <c r="C79" s="72" t="s">
        <v>1377</v>
      </c>
      <c r="D79" s="308"/>
      <c r="E79" s="308"/>
      <c r="F79" s="308"/>
      <c r="G79" s="308"/>
    </row>
    <row r="80">
      <c r="B80" s="72" t="s">
        <v>1149</v>
      </c>
      <c r="C80" s="72" t="s">
        <v>1379</v>
      </c>
      <c r="D80" s="308"/>
      <c r="E80" s="308"/>
      <c r="F80" s="308"/>
      <c r="G80" s="308"/>
    </row>
    <row r="81">
      <c r="B81" s="72" t="s">
        <v>1380</v>
      </c>
      <c r="C81" s="72" t="s">
        <v>1381</v>
      </c>
      <c r="D81" s="308"/>
      <c r="E81" s="308"/>
      <c r="F81" s="308"/>
      <c r="G81" s="308"/>
    </row>
    <row r="82">
      <c r="B82" s="72" t="s">
        <v>1382</v>
      </c>
      <c r="C82" s="72" t="s">
        <v>1383</v>
      </c>
      <c r="D82" s="308"/>
      <c r="E82" s="308"/>
      <c r="F82" s="308"/>
      <c r="G82" s="308"/>
    </row>
    <row r="83">
      <c r="B83" s="72" t="s">
        <v>1384</v>
      </c>
      <c r="C83" s="72" t="s">
        <v>1385</v>
      </c>
      <c r="D83" s="308"/>
      <c r="E83" s="308"/>
      <c r="F83" s="308"/>
      <c r="G83" s="308"/>
    </row>
    <row r="84">
      <c r="B84" s="72" t="s">
        <v>1386</v>
      </c>
      <c r="C84" s="72" t="s">
        <v>1387</v>
      </c>
      <c r="D84" s="308"/>
      <c r="E84" s="308"/>
      <c r="F84" s="308"/>
      <c r="G84" s="308"/>
    </row>
    <row r="85">
      <c r="B85" s="72" t="s">
        <v>1388</v>
      </c>
      <c r="C85" s="72" t="s">
        <v>1389</v>
      </c>
      <c r="D85" s="308"/>
      <c r="E85" s="308"/>
      <c r="F85" s="308"/>
      <c r="G85" s="308"/>
    </row>
    <row r="86">
      <c r="B86" s="308"/>
      <c r="C86" s="308"/>
      <c r="D86" s="308"/>
      <c r="E86" s="308"/>
      <c r="F86" s="308"/>
      <c r="G86" s="308"/>
    </row>
    <row r="87">
      <c r="B87" s="72" t="s">
        <v>1390</v>
      </c>
      <c r="C87" s="308"/>
      <c r="D87" s="308"/>
      <c r="E87" s="308"/>
      <c r="F87" s="308"/>
      <c r="G87" s="308"/>
    </row>
    <row r="88">
      <c r="B88" s="308"/>
      <c r="C88" s="308"/>
      <c r="D88" s="308"/>
      <c r="E88" s="308"/>
      <c r="F88" s="308"/>
      <c r="G88" s="308"/>
    </row>
    <row r="89">
      <c r="B89" s="72" t="s">
        <v>1392</v>
      </c>
      <c r="C89" s="308"/>
      <c r="D89" s="308"/>
      <c r="E89" s="308"/>
      <c r="F89" s="308"/>
      <c r="G89" s="308"/>
    </row>
    <row r="90">
      <c r="B90" s="308"/>
      <c r="C90" s="308"/>
      <c r="D90" s="308"/>
      <c r="E90" s="308"/>
      <c r="F90" s="308"/>
      <c r="G90" s="308"/>
    </row>
    <row r="91">
      <c r="B91" s="182" t="s">
        <v>1393</v>
      </c>
      <c r="C91" s="308"/>
      <c r="D91" s="308"/>
      <c r="E91" s="308"/>
      <c r="F91" s="308"/>
      <c r="G91" s="308"/>
    </row>
    <row r="92">
      <c r="B92" s="72" t="s">
        <v>1394</v>
      </c>
      <c r="C92" s="308"/>
      <c r="D92" s="308"/>
      <c r="E92" s="308"/>
      <c r="F92" s="308"/>
      <c r="G92" s="308"/>
    </row>
    <row r="93">
      <c r="B93" s="72" t="s">
        <v>1395</v>
      </c>
      <c r="C93" s="308"/>
      <c r="D93" s="308"/>
      <c r="E93" s="308"/>
      <c r="F93" s="308"/>
      <c r="G93" s="308"/>
    </row>
    <row r="94">
      <c r="B94" s="308"/>
      <c r="C94" s="308"/>
      <c r="D94" s="308"/>
      <c r="E94" s="308"/>
      <c r="F94" s="308"/>
      <c r="G94" s="308"/>
    </row>
    <row r="95">
      <c r="B95" s="72" t="s">
        <v>1396</v>
      </c>
      <c r="C95" s="308"/>
      <c r="D95" s="308"/>
      <c r="E95" s="308"/>
      <c r="F95" s="308"/>
      <c r="G95" s="308"/>
    </row>
    <row r="96">
      <c r="B96" s="308"/>
      <c r="C96" s="308"/>
      <c r="D96" s="308"/>
      <c r="E96" s="308"/>
      <c r="F96" s="308"/>
      <c r="G96" s="308"/>
    </row>
    <row r="97">
      <c r="B97" s="72" t="s">
        <v>1397</v>
      </c>
      <c r="C97" s="308"/>
      <c r="D97" s="308"/>
      <c r="E97" s="308"/>
      <c r="F97" s="308"/>
      <c r="G97" s="308"/>
    </row>
    <row r="98">
      <c r="B98" s="308"/>
      <c r="C98" s="308"/>
      <c r="D98" s="308"/>
      <c r="E98" s="308"/>
      <c r="F98" s="308"/>
      <c r="G98" s="308"/>
    </row>
    <row r="99">
      <c r="B99" s="72" t="s">
        <v>1398</v>
      </c>
      <c r="C99" s="308"/>
      <c r="D99" s="308"/>
      <c r="E99" s="308"/>
      <c r="F99" s="308"/>
      <c r="G99" s="308"/>
    </row>
    <row r="100">
      <c r="B100" s="310" t="s">
        <v>1047</v>
      </c>
      <c r="C100" s="310" t="s">
        <v>1399</v>
      </c>
      <c r="D100" s="308"/>
      <c r="E100" s="308"/>
      <c r="F100" s="308"/>
      <c r="G100" s="308"/>
    </row>
    <row r="101">
      <c r="B101" s="72" t="s">
        <v>1056</v>
      </c>
      <c r="C101" s="72" t="s">
        <v>1400</v>
      </c>
      <c r="D101" s="308"/>
      <c r="E101" s="308"/>
      <c r="F101" s="308"/>
      <c r="G101" s="308"/>
    </row>
    <row r="102">
      <c r="B102" s="72" t="s">
        <v>1363</v>
      </c>
      <c r="C102" s="72" t="s">
        <v>1401</v>
      </c>
      <c r="D102" s="308"/>
      <c r="E102" s="308"/>
      <c r="F102" s="308"/>
      <c r="G102" s="308"/>
    </row>
    <row r="103">
      <c r="B103" s="72" t="s">
        <v>223</v>
      </c>
      <c r="C103" s="72" t="s">
        <v>1402</v>
      </c>
      <c r="D103" s="308"/>
      <c r="E103" s="308"/>
      <c r="F103" s="308"/>
      <c r="G103" s="308"/>
    </row>
    <row r="104">
      <c r="B104" s="72" t="s">
        <v>1138</v>
      </c>
      <c r="C104" s="72" t="s">
        <v>1404</v>
      </c>
      <c r="D104" s="308"/>
      <c r="E104" s="308"/>
      <c r="F104" s="308"/>
      <c r="G104" s="308"/>
    </row>
    <row r="105">
      <c r="B105" s="72" t="s">
        <v>1069</v>
      </c>
      <c r="C105" s="72" t="s">
        <v>1053</v>
      </c>
      <c r="D105" s="308"/>
      <c r="E105" s="308"/>
      <c r="F105" s="308"/>
      <c r="G105" s="308"/>
    </row>
    <row r="106">
      <c r="B106" s="72" t="s">
        <v>231</v>
      </c>
      <c r="C106" s="72" t="s">
        <v>1406</v>
      </c>
      <c r="D106" s="308"/>
      <c r="E106" s="308"/>
      <c r="F106" s="308"/>
      <c r="G106" s="308"/>
    </row>
    <row r="107">
      <c r="B107" s="72" t="s">
        <v>8</v>
      </c>
      <c r="C107" s="72" t="s">
        <v>1407</v>
      </c>
      <c r="D107" s="308"/>
      <c r="E107" s="308"/>
      <c r="F107" s="308"/>
      <c r="G107" s="308"/>
    </row>
    <row r="108">
      <c r="B108" s="72" t="s">
        <v>264</v>
      </c>
      <c r="C108" s="72" t="s">
        <v>1408</v>
      </c>
      <c r="D108" s="308"/>
      <c r="E108" s="308"/>
      <c r="F108" s="308"/>
      <c r="G108" s="308"/>
    </row>
    <row r="109">
      <c r="B109" s="72" t="s">
        <v>1380</v>
      </c>
      <c r="C109" s="72" t="s">
        <v>1409</v>
      </c>
      <c r="D109" s="308"/>
      <c r="E109" s="308"/>
      <c r="F109" s="308"/>
      <c r="G109" s="308"/>
    </row>
    <row r="110">
      <c r="B110" s="72" t="s">
        <v>1410</v>
      </c>
      <c r="C110" s="308"/>
      <c r="D110" s="308"/>
      <c r="E110" s="308"/>
      <c r="F110" s="308"/>
      <c r="G110" s="308"/>
    </row>
    <row r="111">
      <c r="B111" s="308"/>
      <c r="C111" s="308"/>
      <c r="D111" s="308"/>
      <c r="E111" s="308"/>
      <c r="F111" s="308"/>
      <c r="G111" s="308"/>
    </row>
    <row r="112">
      <c r="B112" s="72" t="s">
        <v>1411</v>
      </c>
      <c r="C112" s="308"/>
      <c r="D112" s="308"/>
      <c r="E112" s="308"/>
      <c r="F112" s="308"/>
      <c r="G112" s="308"/>
    </row>
    <row r="113">
      <c r="B113" s="308"/>
      <c r="C113" s="308"/>
      <c r="D113" s="308"/>
      <c r="E113" s="308"/>
      <c r="F113" s="308"/>
      <c r="G113" s="308"/>
    </row>
    <row r="114">
      <c r="B114" s="72" t="s">
        <v>1412</v>
      </c>
      <c r="C114" s="308"/>
      <c r="D114" s="308"/>
      <c r="E114" s="308"/>
      <c r="F114" s="308"/>
      <c r="G114" s="308"/>
    </row>
    <row r="115">
      <c r="B115" s="72" t="s">
        <v>1413</v>
      </c>
      <c r="C115" s="308"/>
      <c r="D115" s="308"/>
      <c r="E115" s="308"/>
      <c r="F115" s="308"/>
      <c r="G115" s="308"/>
    </row>
    <row r="116">
      <c r="B116" s="72" t="s">
        <v>1414</v>
      </c>
      <c r="C116" s="308"/>
      <c r="D116" s="308"/>
      <c r="E116" s="308"/>
      <c r="F116" s="308"/>
      <c r="G116" s="308"/>
    </row>
    <row r="117">
      <c r="B117" s="72" t="s">
        <v>1415</v>
      </c>
      <c r="C117" s="308"/>
      <c r="D117" s="308"/>
      <c r="E117" s="308"/>
      <c r="F117" s="308"/>
      <c r="G117" s="308"/>
    </row>
    <row r="118">
      <c r="B118" s="72" t="s">
        <v>1416</v>
      </c>
      <c r="C118" s="308"/>
      <c r="D118" s="308"/>
      <c r="E118" s="308"/>
      <c r="F118" s="308"/>
      <c r="G118" s="308"/>
    </row>
    <row r="119">
      <c r="B119" s="72" t="s">
        <v>1417</v>
      </c>
      <c r="C119" s="308"/>
      <c r="D119" s="308"/>
      <c r="E119" s="308"/>
      <c r="F119" s="308"/>
      <c r="G119" s="308"/>
    </row>
    <row r="120">
      <c r="B120" s="72" t="s">
        <v>1418</v>
      </c>
      <c r="C120" s="308"/>
      <c r="D120" s="308"/>
      <c r="E120" s="308"/>
      <c r="F120" s="308"/>
      <c r="G120" s="308"/>
    </row>
    <row r="121">
      <c r="B121" s="72" t="s">
        <v>1419</v>
      </c>
      <c r="C121" s="308"/>
      <c r="D121" s="308"/>
      <c r="E121" s="308"/>
      <c r="F121" s="308"/>
      <c r="G121" s="308"/>
    </row>
    <row r="122">
      <c r="B122" s="72" t="s">
        <v>1420</v>
      </c>
      <c r="C122" s="308"/>
      <c r="D122" s="308"/>
      <c r="E122" s="308"/>
      <c r="F122" s="308"/>
      <c r="G122" s="308"/>
    </row>
    <row r="123">
      <c r="B123" s="72" t="s">
        <v>124</v>
      </c>
      <c r="C123" s="308"/>
      <c r="D123" s="308"/>
      <c r="E123" s="308"/>
      <c r="F123" s="308"/>
      <c r="G123" s="308"/>
    </row>
    <row r="124">
      <c r="B124" s="72" t="s">
        <v>125</v>
      </c>
      <c r="C124" s="308"/>
      <c r="D124" s="308"/>
      <c r="E124" s="308"/>
      <c r="F124" s="308"/>
      <c r="G124" s="308"/>
    </row>
    <row r="125">
      <c r="B125" s="308"/>
      <c r="C125" s="308"/>
      <c r="D125" s="308"/>
      <c r="E125" s="308"/>
      <c r="F125" s="308"/>
      <c r="G125" s="308"/>
    </row>
    <row r="126">
      <c r="B126" s="72" t="s">
        <v>1421</v>
      </c>
      <c r="C126" s="308"/>
      <c r="D126" s="308"/>
      <c r="E126" s="308"/>
      <c r="F126" s="308"/>
      <c r="G126" s="308"/>
    </row>
    <row r="127">
      <c r="B127" s="308"/>
      <c r="C127" s="308"/>
      <c r="D127" s="308"/>
      <c r="E127" s="308"/>
      <c r="F127" s="308"/>
      <c r="G127" s="308"/>
    </row>
    <row r="128">
      <c r="B128" s="72" t="s">
        <v>1422</v>
      </c>
      <c r="C128" s="308"/>
      <c r="D128" s="308"/>
      <c r="E128" s="308"/>
      <c r="F128" s="308"/>
      <c r="G128" s="308"/>
    </row>
    <row r="129">
      <c r="B129" s="308"/>
      <c r="C129" s="308"/>
      <c r="D129" s="308"/>
      <c r="E129" s="308"/>
      <c r="F129" s="308"/>
      <c r="G129" s="308"/>
    </row>
    <row r="130">
      <c r="B130" s="72" t="s">
        <v>1424</v>
      </c>
      <c r="C130" s="308"/>
      <c r="D130" s="308"/>
      <c r="E130" s="308"/>
      <c r="F130" s="308"/>
      <c r="G130" s="308"/>
    </row>
    <row r="131">
      <c r="B131" s="308"/>
      <c r="C131" s="308"/>
      <c r="D131" s="308"/>
      <c r="E131" s="308"/>
      <c r="F131" s="308"/>
      <c r="G131" s="308"/>
    </row>
    <row r="132">
      <c r="B132" s="72" t="s">
        <v>1426</v>
      </c>
      <c r="C132" s="308"/>
      <c r="D132" s="308"/>
      <c r="E132" s="308"/>
      <c r="F132" s="308"/>
      <c r="G132" s="308"/>
    </row>
    <row r="133">
      <c r="B133" s="308"/>
      <c r="C133" s="308"/>
      <c r="D133" s="308"/>
      <c r="E133" s="308"/>
      <c r="F133" s="308"/>
      <c r="G133" s="308"/>
    </row>
    <row r="134">
      <c r="B134" s="72" t="s">
        <v>1427</v>
      </c>
      <c r="C134" s="308"/>
      <c r="D134" s="308"/>
      <c r="E134" s="308"/>
      <c r="F134" s="308"/>
      <c r="G134" s="308"/>
    </row>
    <row r="135">
      <c r="B135" s="308"/>
      <c r="C135" s="308"/>
      <c r="D135" s="308"/>
      <c r="E135" s="308"/>
      <c r="F135" s="308"/>
      <c r="G135" s="308"/>
    </row>
    <row r="136">
      <c r="B136" s="72" t="s">
        <v>1428</v>
      </c>
      <c r="C136" s="308"/>
      <c r="D136" s="308"/>
      <c r="E136" s="308"/>
      <c r="F136" s="308"/>
      <c r="G136" s="308"/>
    </row>
    <row r="137">
      <c r="B137" s="308"/>
      <c r="C137" s="308"/>
      <c r="D137" s="308"/>
      <c r="E137" s="308"/>
      <c r="F137" s="308"/>
      <c r="G137" s="308"/>
    </row>
    <row r="138">
      <c r="B138" s="72" t="s">
        <v>1429</v>
      </c>
      <c r="C138" s="308"/>
      <c r="D138" s="308"/>
      <c r="E138" s="308"/>
      <c r="F138" s="308"/>
      <c r="G138" s="308"/>
    </row>
    <row r="139">
      <c r="B139" s="72" t="s">
        <v>1430</v>
      </c>
      <c r="C139" s="308"/>
      <c r="D139" s="308"/>
      <c r="E139" s="308"/>
      <c r="F139" s="308"/>
      <c r="G139" s="308"/>
    </row>
    <row r="140">
      <c r="B140" s="308"/>
      <c r="C140" s="308"/>
      <c r="D140" s="308"/>
      <c r="E140" s="308"/>
      <c r="F140" s="308"/>
      <c r="G140" s="308"/>
    </row>
    <row r="141">
      <c r="B141" s="72" t="s">
        <v>1431</v>
      </c>
      <c r="C141" s="308"/>
      <c r="D141" s="308"/>
      <c r="E141" s="308"/>
      <c r="F141" s="308"/>
      <c r="G141" s="308"/>
    </row>
    <row r="142">
      <c r="B142" s="72" t="s">
        <v>1432</v>
      </c>
      <c r="C142" s="308"/>
      <c r="D142" s="308"/>
      <c r="E142" s="308"/>
      <c r="F142" s="308"/>
      <c r="G142" s="308"/>
    </row>
    <row r="143">
      <c r="B143" s="72" t="s">
        <v>1433</v>
      </c>
      <c r="C143" s="308"/>
      <c r="D143" s="308"/>
      <c r="E143" s="308"/>
      <c r="F143" s="308"/>
      <c r="G143" s="308"/>
    </row>
    <row r="144">
      <c r="B144" s="72" t="s">
        <v>1434</v>
      </c>
      <c r="C144" s="308"/>
      <c r="D144" s="308"/>
      <c r="E144" s="308"/>
      <c r="F144" s="308"/>
      <c r="G144" s="308"/>
    </row>
    <row r="145">
      <c r="B145" s="72" t="s">
        <v>1435</v>
      </c>
      <c r="C145" s="308"/>
      <c r="D145" s="308"/>
      <c r="E145" s="308"/>
      <c r="F145" s="308"/>
      <c r="G145" s="308"/>
    </row>
    <row r="146">
      <c r="B146" s="72" t="s">
        <v>1436</v>
      </c>
      <c r="C146" s="308"/>
      <c r="D146" s="308"/>
      <c r="E146" s="308"/>
      <c r="F146" s="308"/>
      <c r="G146" s="308"/>
    </row>
    <row r="147">
      <c r="B147" s="72" t="s">
        <v>1437</v>
      </c>
      <c r="C147" s="308"/>
      <c r="D147" s="308"/>
      <c r="E147" s="308"/>
      <c r="F147" s="308"/>
      <c r="G147" s="308"/>
    </row>
    <row r="148">
      <c r="B148" s="72" t="s">
        <v>1438</v>
      </c>
      <c r="C148" s="308"/>
      <c r="D148" s="308"/>
      <c r="E148" s="308"/>
      <c r="F148" s="308"/>
      <c r="G148" s="308"/>
    </row>
    <row r="149">
      <c r="B149" s="308"/>
      <c r="C149" s="308"/>
      <c r="D149" s="308"/>
      <c r="E149" s="308"/>
      <c r="F149" s="308"/>
      <c r="G149" s="308"/>
    </row>
    <row r="150">
      <c r="B150" s="182" t="s">
        <v>1439</v>
      </c>
      <c r="C150" s="308"/>
      <c r="D150" s="308"/>
      <c r="E150" s="308"/>
      <c r="F150" s="308"/>
      <c r="G150" s="308"/>
    </row>
    <row r="151">
      <c r="B151" s="72" t="s">
        <v>1440</v>
      </c>
      <c r="C151" s="308"/>
      <c r="D151" s="308"/>
      <c r="E151" s="308"/>
      <c r="F151" s="308"/>
      <c r="G151" s="308"/>
    </row>
    <row r="152">
      <c r="B152" s="72" t="s">
        <v>1441</v>
      </c>
      <c r="C152" s="308"/>
      <c r="D152" s="308"/>
      <c r="E152" s="308"/>
      <c r="F152" s="308"/>
      <c r="G152" s="308"/>
    </row>
    <row r="153">
      <c r="B153" s="308"/>
      <c r="C153" s="308"/>
      <c r="D153" s="308"/>
      <c r="E153" s="308"/>
      <c r="F153" s="308"/>
      <c r="G153" s="308"/>
    </row>
    <row r="154">
      <c r="B154" s="72" t="s">
        <v>1442</v>
      </c>
      <c r="C154" s="308"/>
      <c r="D154" s="308"/>
      <c r="E154" s="308"/>
      <c r="F154" s="308"/>
      <c r="G154" s="308"/>
    </row>
    <row r="155">
      <c r="B155" s="308"/>
      <c r="C155" s="308"/>
      <c r="D155" s="308"/>
      <c r="E155" s="308"/>
      <c r="F155" s="308"/>
      <c r="G155" s="308"/>
    </row>
    <row r="156">
      <c r="B156" s="72" t="s">
        <v>1443</v>
      </c>
      <c r="C156" s="308"/>
      <c r="D156" s="308"/>
      <c r="E156" s="308"/>
      <c r="F156" s="308"/>
      <c r="G156" s="308"/>
    </row>
    <row r="157">
      <c r="B157" s="308"/>
      <c r="C157" s="308"/>
      <c r="D157" s="308"/>
      <c r="E157" s="308"/>
      <c r="F157" s="308"/>
      <c r="G157" s="308"/>
    </row>
    <row r="158">
      <c r="B158" s="72" t="s">
        <v>1444</v>
      </c>
      <c r="C158" s="308"/>
      <c r="D158" s="308"/>
      <c r="E158" s="308"/>
      <c r="F158" s="308"/>
      <c r="G158" s="308"/>
    </row>
    <row r="159">
      <c r="B159" s="308"/>
      <c r="C159" s="308"/>
      <c r="D159" s="308"/>
      <c r="E159" s="308"/>
      <c r="F159" s="308"/>
      <c r="G159" s="308"/>
    </row>
    <row r="160">
      <c r="B160" s="72" t="s">
        <v>1446</v>
      </c>
      <c r="C160" s="308"/>
      <c r="D160" s="308"/>
      <c r="E160" s="308"/>
      <c r="F160" s="308"/>
      <c r="G160" s="308"/>
    </row>
    <row r="161">
      <c r="B161" s="308"/>
      <c r="C161" s="308"/>
      <c r="D161" s="308"/>
      <c r="E161" s="308"/>
      <c r="F161" s="308"/>
      <c r="G161" s="308"/>
    </row>
    <row r="162">
      <c r="B162" s="72" t="s">
        <v>1398</v>
      </c>
      <c r="C162" s="308"/>
      <c r="D162" s="308"/>
      <c r="E162" s="308"/>
      <c r="F162" s="308"/>
      <c r="G162" s="308"/>
    </row>
    <row r="163">
      <c r="B163" s="310" t="s">
        <v>1047</v>
      </c>
      <c r="C163" s="310" t="s">
        <v>1448</v>
      </c>
      <c r="D163" s="308"/>
      <c r="E163" s="308"/>
      <c r="F163" s="308"/>
      <c r="G163" s="308"/>
    </row>
    <row r="164">
      <c r="B164" s="72" t="s">
        <v>1449</v>
      </c>
      <c r="C164" s="72" t="s">
        <v>1450</v>
      </c>
      <c r="D164" s="308"/>
      <c r="E164" s="308"/>
      <c r="F164" s="308"/>
      <c r="G164" s="308"/>
    </row>
    <row r="165">
      <c r="B165" s="72" t="s">
        <v>1451</v>
      </c>
      <c r="C165" s="72" t="s">
        <v>1452</v>
      </c>
      <c r="D165" s="308"/>
      <c r="E165" s="308"/>
      <c r="F165" s="308"/>
      <c r="G165" s="308"/>
    </row>
    <row r="166">
      <c r="B166" s="72" t="s">
        <v>1453</v>
      </c>
      <c r="C166" s="72" t="s">
        <v>1454</v>
      </c>
      <c r="D166" s="308"/>
      <c r="E166" s="308"/>
      <c r="F166" s="308"/>
      <c r="G166" s="308"/>
    </row>
    <row r="167">
      <c r="B167" s="72" t="s">
        <v>1455</v>
      </c>
      <c r="C167" s="72" t="s">
        <v>1456</v>
      </c>
      <c r="D167" s="308"/>
      <c r="E167" s="308"/>
      <c r="F167" s="308"/>
      <c r="G167" s="308"/>
    </row>
    <row r="168">
      <c r="B168" s="72" t="s">
        <v>1457</v>
      </c>
      <c r="C168" s="72" t="s">
        <v>1458</v>
      </c>
      <c r="D168" s="308"/>
      <c r="E168" s="308"/>
      <c r="F168" s="308"/>
      <c r="G168" s="308"/>
    </row>
    <row r="169">
      <c r="B169" s="72" t="s">
        <v>1459</v>
      </c>
      <c r="C169" s="72" t="s">
        <v>1460</v>
      </c>
      <c r="D169" s="308"/>
      <c r="E169" s="308"/>
      <c r="F169" s="308"/>
      <c r="G169" s="308"/>
    </row>
    <row r="170">
      <c r="B170" s="72" t="s">
        <v>1461</v>
      </c>
      <c r="C170" s="72" t="s">
        <v>1462</v>
      </c>
      <c r="D170" s="308"/>
      <c r="E170" s="308"/>
      <c r="F170" s="308"/>
      <c r="G170" s="308"/>
    </row>
    <row r="171">
      <c r="B171" s="72" t="s">
        <v>1463</v>
      </c>
      <c r="C171" s="72" t="s">
        <v>1206</v>
      </c>
      <c r="D171" s="308"/>
      <c r="E171" s="308"/>
      <c r="F171" s="308"/>
      <c r="G171" s="308"/>
    </row>
    <row r="172">
      <c r="B172" s="72" t="s">
        <v>1464</v>
      </c>
      <c r="C172" s="308"/>
      <c r="D172" s="308"/>
      <c r="E172" s="308"/>
      <c r="F172" s="308"/>
      <c r="G172" s="308"/>
    </row>
    <row r="173">
      <c r="B173" s="72" t="s">
        <v>1465</v>
      </c>
      <c r="C173" s="308"/>
      <c r="D173" s="308"/>
      <c r="E173" s="308"/>
      <c r="F173" s="308"/>
      <c r="G173" s="308"/>
    </row>
    <row r="174">
      <c r="B174" s="72" t="s">
        <v>1466</v>
      </c>
      <c r="C174" s="308"/>
      <c r="D174" s="308"/>
      <c r="E174" s="308"/>
      <c r="F174" s="308"/>
      <c r="G174" s="308"/>
    </row>
    <row r="175">
      <c r="B175" s="72" t="s">
        <v>1467</v>
      </c>
      <c r="C175" s="308"/>
      <c r="D175" s="308"/>
      <c r="E175" s="308"/>
      <c r="F175" s="308"/>
      <c r="G175" s="308"/>
    </row>
    <row r="176">
      <c r="B176" s="72" t="s">
        <v>1468</v>
      </c>
      <c r="C176" s="308"/>
      <c r="D176" s="308"/>
      <c r="E176" s="308"/>
      <c r="F176" s="308"/>
      <c r="G176" s="308"/>
    </row>
    <row r="177">
      <c r="B177" s="72" t="s">
        <v>1469</v>
      </c>
      <c r="C177" s="308"/>
      <c r="D177" s="308"/>
      <c r="E177" s="308"/>
      <c r="F177" s="308"/>
      <c r="G177" s="308"/>
    </row>
    <row r="178">
      <c r="B178" s="72" t="s">
        <v>1470</v>
      </c>
      <c r="C178" s="308"/>
      <c r="D178" s="308"/>
      <c r="E178" s="308"/>
      <c r="F178" s="308"/>
      <c r="G178" s="308"/>
    </row>
    <row r="179">
      <c r="B179" s="72" t="s">
        <v>1471</v>
      </c>
      <c r="C179" s="308"/>
      <c r="D179" s="308"/>
      <c r="E179" s="308"/>
      <c r="F179" s="308"/>
      <c r="G179" s="308"/>
    </row>
    <row r="180">
      <c r="B180" s="72" t="s">
        <v>1472</v>
      </c>
      <c r="C180" s="308"/>
      <c r="D180" s="308"/>
      <c r="E180" s="308"/>
      <c r="F180" s="308"/>
      <c r="G180" s="308"/>
    </row>
    <row r="181">
      <c r="B181" s="72" t="s">
        <v>1473</v>
      </c>
      <c r="C181" s="308"/>
      <c r="D181" s="308"/>
      <c r="E181" s="308"/>
      <c r="F181" s="308"/>
      <c r="G181" s="308"/>
    </row>
    <row r="182">
      <c r="B182" s="72" t="s">
        <v>1474</v>
      </c>
      <c r="C182" s="308"/>
      <c r="D182" s="308"/>
      <c r="E182" s="308"/>
      <c r="F182" s="308"/>
      <c r="G182" s="308"/>
    </row>
    <row r="183">
      <c r="B183" s="72" t="s">
        <v>1475</v>
      </c>
      <c r="C183" s="308"/>
      <c r="D183" s="308"/>
      <c r="E183" s="308"/>
      <c r="F183" s="308"/>
      <c r="G183" s="308"/>
    </row>
    <row r="184">
      <c r="B184" s="72" t="s">
        <v>1476</v>
      </c>
      <c r="C184" s="308"/>
      <c r="D184" s="308"/>
      <c r="E184" s="308"/>
      <c r="F184" s="308"/>
      <c r="G184" s="308"/>
    </row>
    <row r="185">
      <c r="B185" s="308"/>
      <c r="C185" s="308"/>
      <c r="D185" s="308"/>
      <c r="E185" s="308"/>
      <c r="F185" s="308"/>
      <c r="G185" s="308"/>
    </row>
    <row r="186">
      <c r="B186" s="72" t="s">
        <v>1477</v>
      </c>
      <c r="C186" s="308"/>
      <c r="D186" s="308"/>
      <c r="E186" s="308"/>
      <c r="F186" s="308"/>
      <c r="G186" s="308"/>
    </row>
    <row r="187">
      <c r="B187" s="308"/>
      <c r="C187" s="308"/>
      <c r="D187" s="308"/>
      <c r="E187" s="308"/>
      <c r="F187" s="308"/>
      <c r="G187" s="308"/>
    </row>
    <row r="188">
      <c r="B188" s="72" t="s">
        <v>1478</v>
      </c>
      <c r="C188" s="308"/>
      <c r="D188" s="308"/>
      <c r="E188" s="308"/>
      <c r="F188" s="308"/>
      <c r="G188" s="308"/>
    </row>
    <row r="189">
      <c r="B189" s="308"/>
      <c r="C189" s="308"/>
      <c r="D189" s="308"/>
      <c r="E189" s="308"/>
      <c r="F189" s="308"/>
      <c r="G189" s="308"/>
    </row>
    <row r="190">
      <c r="B190" s="72" t="s">
        <v>1480</v>
      </c>
      <c r="C190" s="308"/>
      <c r="D190" s="308"/>
      <c r="E190" s="308"/>
      <c r="F190" s="308"/>
      <c r="G190" s="308"/>
    </row>
    <row r="191">
      <c r="B191" s="308"/>
      <c r="C191" s="308"/>
      <c r="D191" s="308"/>
      <c r="E191" s="308"/>
      <c r="F191" s="308"/>
      <c r="G191" s="308"/>
    </row>
    <row r="192">
      <c r="B192" s="72" t="s">
        <v>1482</v>
      </c>
      <c r="C192" s="308"/>
      <c r="D192" s="308"/>
      <c r="E192" s="308"/>
      <c r="F192" s="308"/>
      <c r="G192" s="308"/>
    </row>
    <row r="193">
      <c r="B193" s="308"/>
      <c r="C193" s="308"/>
      <c r="D193" s="308"/>
      <c r="E193" s="308"/>
      <c r="F193" s="308"/>
      <c r="G193" s="308"/>
    </row>
    <row r="194">
      <c r="B194" s="72" t="s">
        <v>1483</v>
      </c>
      <c r="C194" s="308"/>
      <c r="D194" s="308"/>
      <c r="E194" s="308"/>
      <c r="F194" s="308"/>
      <c r="G194" s="308"/>
    </row>
    <row r="195">
      <c r="B195" s="308"/>
      <c r="C195" s="308"/>
      <c r="D195" s="308"/>
      <c r="E195" s="308"/>
      <c r="F195" s="308"/>
      <c r="G195" s="308"/>
    </row>
    <row r="196">
      <c r="B196" s="72" t="s">
        <v>1484</v>
      </c>
      <c r="C196" s="308"/>
      <c r="D196" s="308"/>
      <c r="E196" s="308"/>
      <c r="F196" s="308"/>
      <c r="G196" s="308"/>
    </row>
    <row r="197">
      <c r="B197" s="308"/>
      <c r="C197" s="308"/>
      <c r="D197" s="308"/>
      <c r="E197" s="308"/>
      <c r="F197" s="308"/>
      <c r="G197" s="308"/>
    </row>
    <row r="198">
      <c r="B198" s="72" t="s">
        <v>1485</v>
      </c>
      <c r="C198" s="308"/>
      <c r="D198" s="308"/>
      <c r="E198" s="308"/>
      <c r="F198" s="308"/>
      <c r="G198" s="308"/>
    </row>
    <row r="199">
      <c r="B199" s="72" t="s">
        <v>1486</v>
      </c>
      <c r="C199" s="308"/>
      <c r="D199" s="308"/>
      <c r="E199" s="308"/>
      <c r="F199" s="308"/>
      <c r="G199" s="308"/>
    </row>
    <row r="200">
      <c r="B200" s="72" t="s">
        <v>1487</v>
      </c>
      <c r="C200" s="308"/>
      <c r="D200" s="308"/>
      <c r="E200" s="308"/>
      <c r="F200" s="308"/>
      <c r="G200" s="308"/>
    </row>
    <row r="201">
      <c r="B201" s="72" t="s">
        <v>1488</v>
      </c>
      <c r="C201" s="308"/>
      <c r="D201" s="308"/>
      <c r="E201" s="308"/>
      <c r="F201" s="308"/>
      <c r="G201" s="308"/>
    </row>
    <row r="202">
      <c r="B202" s="72" t="s">
        <v>1489</v>
      </c>
      <c r="C202" s="308"/>
      <c r="D202" s="308"/>
      <c r="E202" s="308"/>
      <c r="F202" s="308"/>
      <c r="G202" s="308"/>
    </row>
    <row r="203">
      <c r="B203" s="72" t="s">
        <v>1490</v>
      </c>
      <c r="C203" s="308"/>
      <c r="D203" s="308"/>
      <c r="E203" s="308"/>
      <c r="F203" s="308"/>
      <c r="G203" s="308"/>
    </row>
    <row r="204">
      <c r="B204" s="72" t="s">
        <v>1491</v>
      </c>
      <c r="C204" s="308"/>
      <c r="D204" s="308"/>
      <c r="E204" s="308"/>
      <c r="F204" s="308"/>
      <c r="G204" s="308"/>
    </row>
    <row r="205">
      <c r="B205" s="72" t="s">
        <v>1492</v>
      </c>
      <c r="C205" s="308"/>
      <c r="D205" s="308"/>
      <c r="E205" s="308"/>
      <c r="F205" s="308"/>
      <c r="G205" s="308"/>
    </row>
    <row r="206">
      <c r="B206" s="308"/>
      <c r="C206" s="308"/>
      <c r="D206" s="308"/>
      <c r="E206" s="308"/>
      <c r="F206" s="308"/>
      <c r="G206" s="308"/>
    </row>
    <row r="207">
      <c r="B207" s="182" t="s">
        <v>1493</v>
      </c>
      <c r="C207" s="308"/>
      <c r="D207" s="308"/>
      <c r="E207" s="308"/>
      <c r="F207" s="308"/>
      <c r="G207" s="308"/>
    </row>
    <row r="208">
      <c r="B208" s="308"/>
      <c r="C208" s="308"/>
      <c r="D208" s="308"/>
      <c r="E208" s="308"/>
      <c r="F208" s="308"/>
      <c r="G208" s="308"/>
    </row>
    <row r="209">
      <c r="B209" s="72" t="s">
        <v>1494</v>
      </c>
      <c r="C209" s="308"/>
      <c r="D209" s="308"/>
      <c r="E209" s="308"/>
      <c r="F209" s="308"/>
      <c r="G209" s="308"/>
    </row>
    <row r="210">
      <c r="B210" s="308"/>
      <c r="C210" s="308"/>
      <c r="D210" s="308"/>
      <c r="E210" s="308"/>
      <c r="F210" s="308"/>
      <c r="G210" s="308"/>
    </row>
    <row r="211">
      <c r="B211" s="72" t="s">
        <v>1495</v>
      </c>
      <c r="C211" s="308"/>
      <c r="D211" s="308"/>
      <c r="E211" s="308"/>
      <c r="F211" s="308"/>
      <c r="G211" s="308"/>
    </row>
    <row r="212">
      <c r="B212" s="308"/>
      <c r="C212" s="308"/>
      <c r="D212" s="308"/>
      <c r="E212" s="308"/>
      <c r="F212" s="308"/>
      <c r="G212" s="308"/>
    </row>
    <row r="213">
      <c r="B213" s="72" t="s">
        <v>1496</v>
      </c>
      <c r="C213" s="308"/>
      <c r="D213" s="308"/>
      <c r="E213" s="308"/>
      <c r="F213" s="308"/>
      <c r="G213" s="308"/>
    </row>
    <row r="214">
      <c r="B214" s="308"/>
      <c r="C214" s="308"/>
      <c r="D214" s="308"/>
      <c r="E214" s="308"/>
      <c r="F214" s="308"/>
      <c r="G214" s="308"/>
    </row>
    <row r="215">
      <c r="B215" s="72" t="s">
        <v>1497</v>
      </c>
      <c r="C215" s="308"/>
      <c r="D215" s="308"/>
      <c r="E215" s="308"/>
      <c r="F215" s="308"/>
      <c r="G215" s="308"/>
    </row>
    <row r="216">
      <c r="B216" s="308"/>
      <c r="C216" s="308"/>
      <c r="D216" s="308"/>
      <c r="E216" s="308"/>
      <c r="F216" s="308"/>
      <c r="G216" s="308"/>
    </row>
    <row r="217">
      <c r="B217" s="72" t="s">
        <v>1498</v>
      </c>
      <c r="C217" s="308"/>
      <c r="D217" s="308"/>
      <c r="E217" s="308"/>
      <c r="F217" s="308"/>
      <c r="G217" s="308"/>
    </row>
    <row r="218">
      <c r="B218" s="308"/>
      <c r="C218" s="308"/>
      <c r="D218" s="308"/>
      <c r="E218" s="308"/>
      <c r="F218" s="308"/>
      <c r="G218" s="308"/>
    </row>
    <row r="219">
      <c r="B219" s="72" t="s">
        <v>1499</v>
      </c>
      <c r="C219" s="308"/>
      <c r="D219" s="308"/>
      <c r="E219" s="308"/>
      <c r="F219" s="308"/>
      <c r="G219" s="308"/>
    </row>
    <row r="220">
      <c r="B220" s="308"/>
      <c r="C220" s="308"/>
      <c r="D220" s="308"/>
      <c r="E220" s="308"/>
      <c r="F220" s="308"/>
      <c r="G220" s="308"/>
    </row>
    <row r="221">
      <c r="B221" s="72" t="s">
        <v>1500</v>
      </c>
      <c r="C221" s="308"/>
      <c r="D221" s="308"/>
      <c r="E221" s="308"/>
      <c r="F221" s="308"/>
      <c r="G221" s="308"/>
    </row>
    <row r="222">
      <c r="B222" s="308"/>
      <c r="C222" s="308"/>
      <c r="D222" s="308"/>
      <c r="E222" s="308"/>
      <c r="F222" s="308"/>
      <c r="G222" s="308"/>
    </row>
    <row r="223">
      <c r="B223" s="72" t="s">
        <v>1501</v>
      </c>
      <c r="C223" s="308"/>
      <c r="D223" s="308"/>
      <c r="E223" s="308"/>
      <c r="F223" s="308"/>
      <c r="G223" s="308"/>
    </row>
    <row r="224">
      <c r="B224" s="308"/>
      <c r="C224" s="308"/>
      <c r="D224" s="308"/>
      <c r="E224" s="308"/>
      <c r="F224" s="308"/>
      <c r="G224" s="308"/>
    </row>
    <row r="225">
      <c r="B225" s="72" t="s">
        <v>1502</v>
      </c>
      <c r="C225" s="308"/>
      <c r="D225" s="308"/>
      <c r="E225" s="308"/>
      <c r="F225" s="308"/>
      <c r="G225" s="308"/>
    </row>
    <row r="226">
      <c r="B226" s="308"/>
      <c r="C226" s="308"/>
      <c r="D226" s="308"/>
      <c r="E226" s="308"/>
      <c r="F226" s="308"/>
      <c r="G226" s="308"/>
    </row>
    <row r="227">
      <c r="B227" s="310" t="s">
        <v>1503</v>
      </c>
      <c r="C227" s="310" t="s">
        <v>6</v>
      </c>
      <c r="D227" s="310" t="s">
        <v>7</v>
      </c>
      <c r="E227" s="310" t="s">
        <v>9</v>
      </c>
      <c r="F227" s="310" t="s">
        <v>1451</v>
      </c>
      <c r="G227" s="310" t="s">
        <v>1056</v>
      </c>
    </row>
    <row r="228">
      <c r="B228" s="72" t="s">
        <v>224</v>
      </c>
      <c r="C228" s="311">
        <v>1000.0</v>
      </c>
      <c r="D228" s="72">
        <v>120.0</v>
      </c>
      <c r="E228" s="72">
        <v>30.0</v>
      </c>
      <c r="F228" s="72" t="s">
        <v>1504</v>
      </c>
      <c r="G228" s="72" t="s">
        <v>1505</v>
      </c>
    </row>
    <row r="229">
      <c r="B229" s="72" t="s">
        <v>1506</v>
      </c>
      <c r="C229" s="72">
        <v>700.0</v>
      </c>
      <c r="D229" s="72">
        <v>45.0</v>
      </c>
      <c r="E229" s="72">
        <v>7.0</v>
      </c>
      <c r="F229" s="72" t="s">
        <v>1507</v>
      </c>
      <c r="G229" s="72" t="s">
        <v>1508</v>
      </c>
    </row>
    <row r="230">
      <c r="B230" s="72" t="s">
        <v>1509</v>
      </c>
      <c r="C230" s="72">
        <v>100.0</v>
      </c>
      <c r="D230" s="72">
        <v>35.0</v>
      </c>
      <c r="E230" s="72">
        <v>15.0</v>
      </c>
      <c r="F230" s="72" t="s">
        <v>1510</v>
      </c>
      <c r="G230" s="72" t="s">
        <v>1511</v>
      </c>
    </row>
    <row r="231">
      <c r="B231" s="308"/>
      <c r="C231" s="308"/>
      <c r="D231" s="308"/>
      <c r="E231" s="308"/>
      <c r="F231" s="308"/>
      <c r="G231" s="308"/>
    </row>
    <row r="232">
      <c r="B232" s="72" t="s">
        <v>1512</v>
      </c>
      <c r="C232" s="308"/>
      <c r="D232" s="308"/>
      <c r="E232" s="308"/>
      <c r="F232" s="308"/>
      <c r="G232" s="308"/>
    </row>
    <row r="233">
      <c r="B233" s="308"/>
      <c r="C233" s="308"/>
      <c r="D233" s="308"/>
      <c r="E233" s="308"/>
      <c r="F233" s="308"/>
      <c r="G233" s="308"/>
    </row>
    <row r="234">
      <c r="B234" s="182" t="s">
        <v>1513</v>
      </c>
      <c r="C234" s="308"/>
      <c r="D234" s="308"/>
      <c r="E234" s="308"/>
      <c r="F234" s="308"/>
      <c r="G234" s="308"/>
    </row>
    <row r="235">
      <c r="B235" s="72" t="s">
        <v>1514</v>
      </c>
      <c r="C235" s="308"/>
      <c r="D235" s="308"/>
      <c r="E235" s="308"/>
      <c r="F235" s="308"/>
      <c r="G235" s="308"/>
    </row>
    <row r="236">
      <c r="B236" s="72" t="s">
        <v>1515</v>
      </c>
      <c r="C236" s="308"/>
      <c r="D236" s="308"/>
      <c r="E236" s="308"/>
      <c r="F236" s="308"/>
      <c r="G236" s="308"/>
    </row>
    <row r="237">
      <c r="B237" s="308"/>
      <c r="C237" s="308"/>
      <c r="D237" s="308"/>
      <c r="E237" s="308"/>
      <c r="F237" s="308"/>
      <c r="G237" s="308"/>
    </row>
    <row r="238">
      <c r="B238" s="72" t="s">
        <v>1516</v>
      </c>
      <c r="C238" s="308"/>
      <c r="D238" s="308"/>
      <c r="E238" s="308"/>
      <c r="F238" s="308"/>
      <c r="G238" s="308"/>
      <c r="I238" s="72" t="s">
        <v>1517</v>
      </c>
      <c r="J238" s="308"/>
      <c r="K238" s="308"/>
      <c r="L238" s="308"/>
    </row>
    <row r="239">
      <c r="B239" s="308"/>
      <c r="C239" s="308"/>
      <c r="D239" s="308"/>
      <c r="E239" s="308"/>
      <c r="F239" s="308"/>
      <c r="G239" s="308"/>
      <c r="I239" s="308"/>
      <c r="J239" s="308"/>
      <c r="K239" s="308"/>
      <c r="L239" s="308"/>
    </row>
    <row r="240">
      <c r="B240" s="72" t="s">
        <v>1520</v>
      </c>
      <c r="C240" s="308"/>
      <c r="D240" s="308"/>
      <c r="E240" s="308"/>
      <c r="F240" s="308"/>
      <c r="G240" s="308"/>
      <c r="I240" s="72" t="s">
        <v>1521</v>
      </c>
      <c r="J240" s="308"/>
      <c r="K240" s="308"/>
      <c r="L240" s="308"/>
    </row>
    <row r="241">
      <c r="B241" s="310" t="s">
        <v>1047</v>
      </c>
      <c r="C241" s="310" t="s">
        <v>1522</v>
      </c>
      <c r="D241" s="308"/>
      <c r="E241" s="308"/>
      <c r="F241" s="308"/>
      <c r="G241" s="308"/>
      <c r="I241" s="308"/>
      <c r="J241" s="308"/>
      <c r="K241" s="308"/>
      <c r="L241" s="308"/>
    </row>
    <row r="242">
      <c r="B242" s="72" t="s">
        <v>1523</v>
      </c>
      <c r="C242" s="72" t="s">
        <v>1524</v>
      </c>
      <c r="D242" s="308"/>
      <c r="E242" s="308"/>
      <c r="F242" s="308"/>
      <c r="G242" s="308"/>
      <c r="I242" s="72" t="s">
        <v>1525</v>
      </c>
      <c r="J242" s="308"/>
      <c r="K242" s="308"/>
      <c r="L242" s="308"/>
    </row>
    <row r="243">
      <c r="B243" s="72" t="s">
        <v>1367</v>
      </c>
      <c r="C243" s="72" t="s">
        <v>1526</v>
      </c>
      <c r="D243" s="308"/>
      <c r="E243" s="308"/>
      <c r="F243" s="308"/>
      <c r="G243" s="308"/>
      <c r="I243" s="308"/>
      <c r="J243" s="308"/>
      <c r="K243" s="308"/>
      <c r="L243" s="308"/>
    </row>
    <row r="244">
      <c r="B244" s="72" t="s">
        <v>1527</v>
      </c>
      <c r="C244" s="72" t="s">
        <v>1528</v>
      </c>
      <c r="D244" s="308"/>
      <c r="E244" s="308"/>
      <c r="F244" s="308"/>
      <c r="G244" s="308"/>
      <c r="I244" s="72" t="s">
        <v>1421</v>
      </c>
      <c r="J244" s="308"/>
      <c r="K244" s="308"/>
      <c r="L244" s="308"/>
    </row>
    <row r="245">
      <c r="B245" s="72" t="s">
        <v>1369</v>
      </c>
      <c r="C245" s="72" t="s">
        <v>1529</v>
      </c>
      <c r="D245" s="308"/>
      <c r="E245" s="308"/>
      <c r="F245" s="308"/>
      <c r="G245" s="308"/>
      <c r="I245" s="308"/>
      <c r="J245" s="308"/>
      <c r="K245" s="308"/>
      <c r="L245" s="308"/>
    </row>
    <row r="246">
      <c r="B246" s="72" t="s">
        <v>1371</v>
      </c>
      <c r="C246" s="72" t="s">
        <v>1530</v>
      </c>
      <c r="D246" s="308"/>
      <c r="E246" s="308"/>
      <c r="F246" s="308"/>
      <c r="G246" s="308"/>
      <c r="I246" s="310" t="s">
        <v>1531</v>
      </c>
      <c r="J246" s="310" t="s">
        <v>28</v>
      </c>
      <c r="K246" s="310" t="s">
        <v>135</v>
      </c>
      <c r="L246" s="310" t="s">
        <v>1532</v>
      </c>
    </row>
    <row r="247">
      <c r="B247" s="72" t="s">
        <v>1533</v>
      </c>
      <c r="C247" s="72" t="s">
        <v>1534</v>
      </c>
      <c r="D247" s="308"/>
      <c r="E247" s="308"/>
      <c r="F247" s="308"/>
      <c r="G247" s="308"/>
      <c r="I247" s="72" t="s">
        <v>140</v>
      </c>
      <c r="J247" s="72" t="s">
        <v>1535</v>
      </c>
      <c r="K247" s="72" t="s">
        <v>1536</v>
      </c>
      <c r="L247" s="72" t="s">
        <v>1537</v>
      </c>
    </row>
    <row r="248">
      <c r="B248" s="72" t="s">
        <v>1538</v>
      </c>
      <c r="C248" s="72" t="s">
        <v>1539</v>
      </c>
      <c r="D248" s="308"/>
      <c r="E248" s="308"/>
      <c r="F248" s="308"/>
      <c r="G248" s="308"/>
      <c r="I248" s="72" t="s">
        <v>167</v>
      </c>
      <c r="J248" s="72" t="s">
        <v>1540</v>
      </c>
      <c r="K248" s="72" t="s">
        <v>1541</v>
      </c>
      <c r="L248" s="308" t="str">
        <f>+S/5K</f>
        <v>#ERROR!</v>
      </c>
    </row>
    <row r="249">
      <c r="B249" s="72" t="s">
        <v>1365</v>
      </c>
      <c r="C249" s="72" t="s">
        <v>1542</v>
      </c>
      <c r="D249" s="308"/>
      <c r="E249" s="308"/>
      <c r="F249" s="308"/>
      <c r="G249" s="308"/>
      <c r="I249" s="72" t="s">
        <v>1343</v>
      </c>
      <c r="J249" s="72" t="s">
        <v>1543</v>
      </c>
      <c r="K249" s="72" t="s">
        <v>1544</v>
      </c>
      <c r="L249" s="308" t="str">
        <f>+S/15K</f>
        <v>#ERROR!</v>
      </c>
    </row>
    <row r="250">
      <c r="B250" s="72" t="s">
        <v>1545</v>
      </c>
      <c r="C250" s="72" t="s">
        <v>1546</v>
      </c>
      <c r="D250" s="308"/>
      <c r="E250" s="308"/>
      <c r="F250" s="308"/>
      <c r="G250" s="308"/>
      <c r="I250" s="72" t="s">
        <v>1547</v>
      </c>
      <c r="J250" s="72" t="s">
        <v>1548</v>
      </c>
      <c r="K250" s="72" t="s">
        <v>1549</v>
      </c>
      <c r="L250" s="72" t="s">
        <v>1550</v>
      </c>
    </row>
    <row r="251">
      <c r="B251" s="72" t="s">
        <v>1551</v>
      </c>
      <c r="C251" s="72" t="s">
        <v>1552</v>
      </c>
      <c r="D251" s="308"/>
      <c r="E251" s="308"/>
      <c r="F251" s="308"/>
      <c r="G251" s="308"/>
      <c r="I251" s="72" t="s">
        <v>1553</v>
      </c>
      <c r="J251" s="72" t="s">
        <v>1554</v>
      </c>
      <c r="K251" s="72" t="s">
        <v>1555</v>
      </c>
      <c r="L251" s="72" t="s">
        <v>1556</v>
      </c>
    </row>
    <row r="252">
      <c r="B252" s="72" t="s">
        <v>1557</v>
      </c>
      <c r="C252" s="72" t="s">
        <v>1558</v>
      </c>
      <c r="D252" s="308"/>
      <c r="E252" s="308"/>
      <c r="F252" s="308"/>
      <c r="G252" s="308"/>
    </row>
    <row r="253">
      <c r="B253" s="72" t="s">
        <v>1559</v>
      </c>
      <c r="C253" s="72" t="s">
        <v>1560</v>
      </c>
      <c r="D253" s="308"/>
      <c r="E253" s="308"/>
      <c r="F253" s="308"/>
      <c r="G253" s="308"/>
      <c r="I253" s="198" t="s">
        <v>1561</v>
      </c>
    </row>
    <row r="254">
      <c r="B254" s="72" t="s">
        <v>1562</v>
      </c>
      <c r="C254" s="72" t="s">
        <v>1563</v>
      </c>
      <c r="D254" s="308"/>
      <c r="E254" s="308"/>
      <c r="F254" s="308"/>
      <c r="G254" s="308"/>
    </row>
    <row r="255">
      <c r="B255" s="72" t="s">
        <v>1564</v>
      </c>
      <c r="C255" s="308"/>
      <c r="D255" s="308"/>
      <c r="E255" s="308"/>
      <c r="F255" s="308"/>
      <c r="G255" s="308"/>
      <c r="I255" s="198" t="s">
        <v>1565</v>
      </c>
    </row>
    <row r="256">
      <c r="B256" s="308"/>
      <c r="C256" s="308"/>
      <c r="D256" s="308"/>
      <c r="E256" s="308"/>
      <c r="F256" s="308"/>
      <c r="G256" s="308"/>
    </row>
    <row r="257">
      <c r="B257" s="72" t="s">
        <v>1566</v>
      </c>
      <c r="C257" s="308"/>
      <c r="D257" s="308"/>
      <c r="E257" s="308"/>
      <c r="F257" s="308"/>
      <c r="G257" s="308"/>
    </row>
    <row r="258">
      <c r="B258" s="308"/>
      <c r="C258" s="308"/>
      <c r="D258" s="308"/>
      <c r="E258" s="308"/>
      <c r="F258" s="308"/>
      <c r="G258" s="308"/>
    </row>
    <row r="259">
      <c r="B259" s="72" t="s">
        <v>1567</v>
      </c>
      <c r="C259" s="308"/>
      <c r="D259" s="308"/>
      <c r="E259" s="308"/>
      <c r="F259" s="308"/>
      <c r="G259" s="308"/>
    </row>
    <row r="260">
      <c r="B260" s="308"/>
      <c r="C260" s="308"/>
      <c r="D260" s="308"/>
      <c r="E260" s="308"/>
      <c r="F260" s="308"/>
      <c r="G260" s="308"/>
    </row>
    <row r="261">
      <c r="B261" s="72" t="s">
        <v>1568</v>
      </c>
      <c r="C261" s="308"/>
      <c r="D261" s="308"/>
      <c r="E261" s="308"/>
      <c r="F261" s="308"/>
      <c r="G261" s="308"/>
    </row>
    <row r="262">
      <c r="B262" s="308"/>
      <c r="C262" s="308"/>
      <c r="D262" s="308"/>
      <c r="E262" s="308"/>
      <c r="F262" s="308"/>
      <c r="G262" s="308"/>
    </row>
    <row r="263">
      <c r="B263" s="72" t="s">
        <v>1569</v>
      </c>
      <c r="C263" s="308"/>
      <c r="D263" s="308"/>
      <c r="E263" s="308"/>
      <c r="F263" s="308"/>
      <c r="G263" s="308"/>
    </row>
    <row r="264">
      <c r="B264" s="308"/>
      <c r="C264" s="308"/>
      <c r="D264" s="308"/>
      <c r="E264" s="308"/>
      <c r="F264" s="308"/>
      <c r="G264" s="308"/>
    </row>
    <row r="265">
      <c r="B265" s="72" t="s">
        <v>1570</v>
      </c>
      <c r="C265" s="308"/>
      <c r="D265" s="308"/>
      <c r="E265" s="308"/>
      <c r="F265" s="308"/>
      <c r="G265" s="308"/>
    </row>
    <row r="266">
      <c r="B266" s="308"/>
      <c r="C266" s="308"/>
      <c r="D266" s="308"/>
      <c r="E266" s="308"/>
      <c r="F266" s="308"/>
      <c r="G266" s="308"/>
    </row>
    <row r="267">
      <c r="B267" s="72" t="s">
        <v>1571</v>
      </c>
      <c r="C267" s="308"/>
      <c r="D267" s="308"/>
      <c r="E267" s="308"/>
      <c r="F267" s="308"/>
      <c r="G267" s="308"/>
    </row>
    <row r="268">
      <c r="B268" s="308"/>
      <c r="C268" s="308"/>
      <c r="D268" s="308"/>
      <c r="E268" s="308"/>
      <c r="F268" s="308"/>
      <c r="G268" s="308"/>
    </row>
    <row r="269">
      <c r="B269" s="72" t="s">
        <v>1572</v>
      </c>
      <c r="C269" s="308"/>
      <c r="D269" s="308"/>
      <c r="E269" s="308"/>
      <c r="F269" s="308"/>
      <c r="G269" s="308"/>
    </row>
    <row r="270">
      <c r="B270" s="308"/>
      <c r="C270" s="308"/>
      <c r="D270" s="308"/>
      <c r="E270" s="308"/>
      <c r="F270" s="308"/>
      <c r="G270" s="308"/>
    </row>
    <row r="271">
      <c r="B271" s="72" t="s">
        <v>1573</v>
      </c>
      <c r="C271" s="308"/>
      <c r="D271" s="308"/>
      <c r="E271" s="308"/>
      <c r="F271" s="308"/>
      <c r="G271" s="308"/>
    </row>
    <row r="272">
      <c r="B272" s="308"/>
      <c r="C272" s="308"/>
      <c r="D272" s="308"/>
      <c r="E272" s="308"/>
      <c r="F272" s="308"/>
      <c r="G272" s="308"/>
    </row>
    <row r="273">
      <c r="B273" s="72" t="s">
        <v>1574</v>
      </c>
      <c r="C273" s="308"/>
      <c r="D273" s="308"/>
      <c r="E273" s="308"/>
      <c r="F273" s="308"/>
      <c r="G273" s="308"/>
    </row>
    <row r="274">
      <c r="B274" s="308"/>
      <c r="C274" s="308"/>
      <c r="D274" s="308"/>
      <c r="E274" s="308"/>
      <c r="F274" s="308"/>
      <c r="G274" s="308"/>
    </row>
    <row r="275">
      <c r="B275" s="72" t="s">
        <v>1575</v>
      </c>
      <c r="C275" s="308"/>
      <c r="D275" s="308"/>
      <c r="E275" s="308"/>
      <c r="F275" s="308"/>
      <c r="G275" s="308"/>
    </row>
    <row r="276">
      <c r="B276" s="308"/>
      <c r="C276" s="308"/>
      <c r="D276" s="308"/>
      <c r="E276" s="308"/>
      <c r="F276" s="308"/>
      <c r="G276" s="308"/>
    </row>
    <row r="277">
      <c r="B277" s="72" t="s">
        <v>1576</v>
      </c>
      <c r="C277" s="308"/>
      <c r="D277" s="308"/>
      <c r="E277" s="308"/>
      <c r="F277" s="308"/>
      <c r="G277" s="308"/>
    </row>
    <row r="278">
      <c r="B278" s="308"/>
      <c r="C278" s="308"/>
      <c r="D278" s="308"/>
      <c r="E278" s="308"/>
      <c r="F278" s="308"/>
      <c r="G278" s="308"/>
    </row>
    <row r="279">
      <c r="B279" s="72" t="s">
        <v>1577</v>
      </c>
      <c r="C279" s="308"/>
      <c r="D279" s="308"/>
      <c r="E279" s="308"/>
      <c r="F279" s="308"/>
      <c r="G279" s="308"/>
    </row>
    <row r="280">
      <c r="B280" s="308"/>
      <c r="C280" s="308"/>
      <c r="D280" s="308"/>
      <c r="E280" s="308"/>
      <c r="F280" s="308"/>
      <c r="G280" s="308"/>
    </row>
    <row r="281">
      <c r="B281" s="72" t="s">
        <v>1578</v>
      </c>
      <c r="C281" s="308"/>
      <c r="D281" s="308"/>
      <c r="E281" s="308"/>
      <c r="F281" s="308"/>
      <c r="G281" s="308"/>
    </row>
    <row r="282">
      <c r="B282" s="72" t="s">
        <v>1484</v>
      </c>
      <c r="C282" s="308"/>
      <c r="D282" s="308"/>
      <c r="E282" s="308"/>
      <c r="F282" s="308"/>
      <c r="G282" s="308"/>
    </row>
    <row r="283">
      <c r="B283" s="308"/>
      <c r="C283" s="308"/>
      <c r="D283" s="308"/>
      <c r="E283" s="308"/>
      <c r="F283" s="308"/>
      <c r="G283" s="308"/>
    </row>
    <row r="284">
      <c r="B284" s="72" t="s">
        <v>1579</v>
      </c>
      <c r="C284" s="308"/>
      <c r="D284" s="308"/>
      <c r="E284" s="308"/>
      <c r="F284" s="308"/>
      <c r="G284" s="308"/>
    </row>
    <row r="285">
      <c r="B285" s="72" t="s">
        <v>1580</v>
      </c>
      <c r="C285" s="308"/>
      <c r="D285" s="308"/>
      <c r="E285" s="308"/>
      <c r="F285" s="308"/>
      <c r="G285" s="308"/>
    </row>
    <row r="286">
      <c r="B286" s="72" t="s">
        <v>1581</v>
      </c>
      <c r="C286" s="308"/>
      <c r="D286" s="308"/>
      <c r="E286" s="308"/>
      <c r="F286" s="308"/>
      <c r="G286" s="308"/>
    </row>
    <row r="287">
      <c r="B287" s="72" t="s">
        <v>1582</v>
      </c>
      <c r="C287" s="308"/>
      <c r="D287" s="308"/>
      <c r="E287" s="308"/>
      <c r="F287" s="308"/>
      <c r="G287" s="308"/>
    </row>
    <row r="288">
      <c r="B288" s="72" t="s">
        <v>1583</v>
      </c>
      <c r="C288" s="308"/>
      <c r="D288" s="308"/>
      <c r="E288" s="308"/>
      <c r="F288" s="308"/>
      <c r="G288" s="308"/>
    </row>
    <row r="289">
      <c r="B289" s="72" t="s">
        <v>1584</v>
      </c>
      <c r="C289" s="308"/>
      <c r="D289" s="308"/>
      <c r="E289" s="308"/>
      <c r="F289" s="308"/>
      <c r="G289" s="308"/>
    </row>
    <row r="290">
      <c r="B290" s="72" t="s">
        <v>1585</v>
      </c>
      <c r="C290" s="308"/>
      <c r="D290" s="308"/>
      <c r="E290" s="308"/>
      <c r="F290" s="308"/>
      <c r="G290" s="308"/>
    </row>
    <row r="291">
      <c r="B291" s="308"/>
      <c r="C291" s="308"/>
      <c r="D291" s="308"/>
      <c r="E291" s="308"/>
      <c r="F291" s="308"/>
      <c r="G291" s="308"/>
    </row>
    <row r="292">
      <c r="B292" s="72" t="s">
        <v>1586</v>
      </c>
      <c r="C292" s="308"/>
      <c r="D292" s="308"/>
      <c r="E292" s="308"/>
      <c r="F292" s="308"/>
      <c r="G292" s="308"/>
    </row>
    <row r="293">
      <c r="B293" s="72" t="s">
        <v>1587</v>
      </c>
      <c r="C293" s="308"/>
      <c r="D293" s="308"/>
      <c r="E293" s="308"/>
      <c r="F293" s="308"/>
      <c r="G293" s="308"/>
    </row>
    <row r="294">
      <c r="B294" s="72" t="s">
        <v>1588</v>
      </c>
      <c r="C294" s="308"/>
      <c r="D294" s="308"/>
      <c r="E294" s="308"/>
      <c r="F294" s="308"/>
      <c r="G294" s="308"/>
    </row>
    <row r="295">
      <c r="B295" s="72" t="s">
        <v>1589</v>
      </c>
      <c r="C295" s="308"/>
      <c r="D295" s="308"/>
      <c r="E295" s="308"/>
      <c r="F295" s="308"/>
      <c r="G295" s="308"/>
    </row>
    <row r="296">
      <c r="B296" s="310" t="s">
        <v>1047</v>
      </c>
      <c r="C296" s="310" t="s">
        <v>1053</v>
      </c>
      <c r="D296" s="308"/>
      <c r="E296" s="308"/>
      <c r="F296" s="308"/>
      <c r="G296" s="308"/>
    </row>
    <row r="297">
      <c r="B297" s="72" t="s">
        <v>1590</v>
      </c>
      <c r="C297" s="72" t="s">
        <v>1591</v>
      </c>
      <c r="D297" s="308"/>
      <c r="E297" s="308"/>
      <c r="F297" s="308"/>
      <c r="G297" s="308"/>
    </row>
    <row r="298">
      <c r="B298" s="72" t="s">
        <v>1592</v>
      </c>
      <c r="C298" s="72" t="s">
        <v>1593</v>
      </c>
      <c r="D298" s="308"/>
      <c r="E298" s="308"/>
      <c r="F298" s="308"/>
      <c r="G298" s="308"/>
    </row>
    <row r="299">
      <c r="B299" s="72" t="s">
        <v>1594</v>
      </c>
      <c r="C299" s="72" t="s">
        <v>1595</v>
      </c>
      <c r="D299" s="308"/>
      <c r="E299" s="308"/>
      <c r="F299" s="308"/>
      <c r="G299" s="308"/>
    </row>
    <row r="300">
      <c r="B300" s="72" t="s">
        <v>1596</v>
      </c>
      <c r="C300" s="72" t="s">
        <v>1597</v>
      </c>
      <c r="D300" s="308"/>
      <c r="E300" s="308"/>
      <c r="F300" s="308"/>
      <c r="G300" s="308"/>
    </row>
    <row r="301">
      <c r="B301" s="72" t="s">
        <v>1598</v>
      </c>
      <c r="C301" s="72" t="s">
        <v>1599</v>
      </c>
      <c r="D301" s="308"/>
      <c r="E301" s="308"/>
      <c r="F301" s="308"/>
      <c r="G301" s="308"/>
    </row>
    <row r="302">
      <c r="B302" s="72" t="s">
        <v>1600</v>
      </c>
      <c r="C302" s="72" t="s">
        <v>1601</v>
      </c>
      <c r="D302" s="308"/>
      <c r="E302" s="308"/>
      <c r="F302" s="308"/>
      <c r="G302" s="308"/>
    </row>
    <row r="303">
      <c r="B303" s="72" t="s">
        <v>1602</v>
      </c>
      <c r="C303" s="72" t="s">
        <v>1603</v>
      </c>
      <c r="D303" s="308"/>
      <c r="E303" s="308"/>
      <c r="F303" s="308"/>
      <c r="G303" s="308"/>
    </row>
    <row r="304">
      <c r="B304" s="72" t="s">
        <v>1604</v>
      </c>
      <c r="C304" s="72" t="s">
        <v>1094</v>
      </c>
      <c r="D304" s="308"/>
      <c r="E304" s="308"/>
      <c r="F304" s="308"/>
      <c r="G304" s="308"/>
    </row>
    <row r="305">
      <c r="B305" s="72" t="s">
        <v>1605</v>
      </c>
      <c r="C305" s="72" t="s">
        <v>1529</v>
      </c>
      <c r="D305" s="308"/>
      <c r="E305" s="308"/>
      <c r="F305" s="308"/>
      <c r="G305" s="308"/>
    </row>
    <row r="306">
      <c r="B306" s="72" t="s">
        <v>1606</v>
      </c>
      <c r="C306" s="72" t="s">
        <v>1601</v>
      </c>
      <c r="D306" s="308"/>
      <c r="E306" s="308"/>
      <c r="F306" s="308"/>
      <c r="G306" s="308"/>
    </row>
    <row r="307">
      <c r="B307" s="72" t="s">
        <v>1607</v>
      </c>
      <c r="C307" s="72" t="s">
        <v>1264</v>
      </c>
      <c r="D307" s="308"/>
      <c r="E307" s="308"/>
      <c r="F307" s="308"/>
      <c r="G307" s="308"/>
    </row>
    <row r="308">
      <c r="B308" s="308"/>
      <c r="C308" s="308"/>
      <c r="D308" s="308"/>
      <c r="E308" s="308"/>
      <c r="F308" s="308"/>
      <c r="G308" s="308"/>
    </row>
    <row r="309">
      <c r="B309" s="72" t="s">
        <v>1608</v>
      </c>
      <c r="C309" s="308"/>
      <c r="D309" s="308"/>
      <c r="E309" s="308"/>
      <c r="F309" s="308"/>
      <c r="G309" s="308"/>
    </row>
    <row r="310">
      <c r="B310" s="308"/>
      <c r="C310" s="308"/>
      <c r="D310" s="308"/>
      <c r="E310" s="308"/>
      <c r="F310" s="308"/>
      <c r="G310" s="308"/>
    </row>
    <row r="311">
      <c r="B311" s="72" t="s">
        <v>1426</v>
      </c>
      <c r="C311" s="308"/>
      <c r="D311" s="308"/>
      <c r="E311" s="308"/>
      <c r="F311" s="308"/>
      <c r="G311" s="308"/>
    </row>
    <row r="312">
      <c r="B312" s="308"/>
      <c r="C312" s="308"/>
      <c r="D312" s="308"/>
      <c r="E312" s="308"/>
      <c r="F312" s="308"/>
      <c r="G312" s="308"/>
    </row>
    <row r="313">
      <c r="B313" s="72" t="s">
        <v>1609</v>
      </c>
      <c r="C313" s="308"/>
      <c r="D313" s="308"/>
      <c r="E313" s="308"/>
      <c r="F313" s="308"/>
      <c r="G313" s="308"/>
    </row>
    <row r="314">
      <c r="B314" s="308"/>
      <c r="C314" s="308"/>
      <c r="D314" s="308"/>
      <c r="E314" s="308"/>
      <c r="F314" s="308"/>
      <c r="G314" s="308"/>
    </row>
    <row r="315">
      <c r="B315" s="72" t="s">
        <v>1575</v>
      </c>
      <c r="C315" s="308"/>
      <c r="D315" s="308"/>
      <c r="E315" s="308"/>
      <c r="F315" s="308"/>
      <c r="G315" s="308"/>
    </row>
    <row r="316">
      <c r="B316" s="308"/>
      <c r="C316" s="308"/>
      <c r="D316" s="308"/>
      <c r="E316" s="308"/>
      <c r="F316" s="308"/>
      <c r="G316" s="308"/>
    </row>
    <row r="317">
      <c r="B317" s="72" t="s">
        <v>1610</v>
      </c>
      <c r="C317" s="308"/>
      <c r="D317" s="308"/>
      <c r="E317" s="308"/>
      <c r="F317" s="308"/>
      <c r="G317" s="308"/>
    </row>
    <row r="318">
      <c r="B318" s="308"/>
      <c r="C318" s="308"/>
      <c r="D318" s="308"/>
      <c r="E318" s="308"/>
      <c r="F318" s="308"/>
      <c r="G318" s="308"/>
    </row>
    <row r="319">
      <c r="B319" s="72" t="s">
        <v>1611</v>
      </c>
      <c r="C319" s="308"/>
      <c r="D319" s="308"/>
      <c r="E319" s="308"/>
      <c r="F319" s="308"/>
      <c r="G319" s="308"/>
    </row>
    <row r="320">
      <c r="B320" s="308"/>
      <c r="C320" s="308"/>
      <c r="D320" s="308"/>
      <c r="E320" s="308"/>
      <c r="F320" s="308"/>
      <c r="G320" s="308"/>
    </row>
    <row r="321">
      <c r="B321" s="72" t="s">
        <v>1612</v>
      </c>
      <c r="C321" s="308"/>
      <c r="D321" s="308"/>
      <c r="E321" s="308"/>
      <c r="F321" s="308"/>
      <c r="G321" s="308"/>
    </row>
    <row r="322">
      <c r="B322" s="308"/>
      <c r="C322" s="308"/>
      <c r="D322" s="308"/>
      <c r="E322" s="308"/>
      <c r="F322" s="308"/>
      <c r="G322" s="308"/>
    </row>
    <row r="323">
      <c r="B323" s="72" t="s">
        <v>1613</v>
      </c>
      <c r="C323" s="308"/>
      <c r="D323" s="308"/>
      <c r="E323" s="308"/>
      <c r="F323" s="308"/>
      <c r="G323" s="308"/>
    </row>
    <row r="324">
      <c r="B324" s="72" t="s">
        <v>1614</v>
      </c>
      <c r="C324" s="308"/>
      <c r="D324" s="308"/>
      <c r="E324" s="308"/>
      <c r="F324" s="308"/>
      <c r="G324" s="308"/>
    </row>
    <row r="325">
      <c r="B325" s="308"/>
      <c r="C325" s="308"/>
      <c r="D325" s="308"/>
      <c r="E325" s="308"/>
      <c r="F325" s="308"/>
      <c r="G325" s="308"/>
    </row>
    <row r="326">
      <c r="B326" s="72" t="s">
        <v>1615</v>
      </c>
      <c r="C326" s="308"/>
      <c r="D326" s="308"/>
      <c r="E326" s="308"/>
      <c r="F326" s="308"/>
      <c r="G326" s="308"/>
    </row>
    <row r="327">
      <c r="B327" s="72" t="s">
        <v>1486</v>
      </c>
      <c r="C327" s="308"/>
      <c r="D327" s="308"/>
      <c r="E327" s="308"/>
      <c r="F327" s="308"/>
      <c r="G327" s="308"/>
    </row>
    <row r="328">
      <c r="B328" s="72" t="s">
        <v>1616</v>
      </c>
      <c r="C328" s="308"/>
      <c r="D328" s="308"/>
      <c r="E328" s="308"/>
      <c r="F328" s="308"/>
      <c r="G328" s="308"/>
    </row>
    <row r="329">
      <c r="B329" s="72" t="s">
        <v>1617</v>
      </c>
      <c r="C329" s="308"/>
      <c r="D329" s="308"/>
      <c r="E329" s="308"/>
      <c r="F329" s="308"/>
      <c r="G329" s="308"/>
    </row>
    <row r="330">
      <c r="B330" s="72" t="s">
        <v>1618</v>
      </c>
      <c r="C330" s="308"/>
      <c r="D330" s="308"/>
      <c r="E330" s="308"/>
      <c r="F330" s="308"/>
      <c r="G330" s="308"/>
    </row>
    <row r="331">
      <c r="B331" s="72" t="s">
        <v>1619</v>
      </c>
      <c r="C331" s="308"/>
      <c r="D331" s="308"/>
      <c r="E331" s="308"/>
      <c r="F331" s="308"/>
      <c r="G331" s="308"/>
    </row>
    <row r="332">
      <c r="B332" s="72" t="s">
        <v>1620</v>
      </c>
      <c r="C332" s="308"/>
      <c r="D332" s="308"/>
      <c r="E332" s="308"/>
      <c r="F332" s="308"/>
      <c r="G332" s="308"/>
    </row>
    <row r="333">
      <c r="B333" s="308"/>
      <c r="C333" s="308"/>
      <c r="D333" s="308"/>
      <c r="E333" s="308"/>
      <c r="F333" s="308"/>
      <c r="G333" s="308"/>
    </row>
    <row r="334">
      <c r="B334" s="72" t="s">
        <v>1621</v>
      </c>
      <c r="C334" s="308"/>
      <c r="D334" s="308"/>
      <c r="E334" s="308"/>
      <c r="F334" s="308"/>
      <c r="G334" s="308"/>
    </row>
    <row r="335">
      <c r="B335" s="72" t="s">
        <v>1622</v>
      </c>
      <c r="C335" s="308"/>
      <c r="D335" s="308"/>
      <c r="E335" s="308"/>
      <c r="F335" s="308"/>
      <c r="G335" s="308"/>
    </row>
    <row r="336">
      <c r="B336" s="72" t="s">
        <v>1623</v>
      </c>
      <c r="C336" s="308"/>
      <c r="D336" s="308"/>
      <c r="E336" s="308"/>
      <c r="F336" s="308"/>
      <c r="G336" s="308"/>
    </row>
    <row r="337">
      <c r="B337" s="308"/>
      <c r="C337" s="308"/>
      <c r="D337" s="308"/>
      <c r="E337" s="308"/>
      <c r="F337" s="308"/>
      <c r="G337" s="308"/>
    </row>
    <row r="338">
      <c r="B338" s="72" t="s">
        <v>1624</v>
      </c>
      <c r="C338" s="308"/>
      <c r="D338" s="308"/>
      <c r="E338" s="308"/>
      <c r="F338" s="308"/>
      <c r="G338" s="308"/>
    </row>
    <row r="339">
      <c r="B339" s="308"/>
      <c r="C339" s="308"/>
      <c r="D339" s="308"/>
      <c r="E339" s="308"/>
      <c r="F339" s="308"/>
      <c r="G339" s="308"/>
    </row>
    <row r="340">
      <c r="B340" s="72" t="s">
        <v>1625</v>
      </c>
      <c r="C340" s="308"/>
      <c r="D340" s="308"/>
      <c r="E340" s="308"/>
      <c r="F340" s="308"/>
      <c r="G340" s="308"/>
    </row>
    <row r="341">
      <c r="B341" s="308"/>
      <c r="C341" s="308"/>
      <c r="D341" s="308"/>
      <c r="E341" s="308"/>
      <c r="F341" s="308"/>
      <c r="G341" s="308"/>
    </row>
    <row r="342">
      <c r="B342" s="72" t="s">
        <v>1626</v>
      </c>
      <c r="C342" s="308"/>
      <c r="D342" s="308"/>
      <c r="E342" s="308"/>
      <c r="F342" s="308"/>
      <c r="G342" s="308"/>
    </row>
    <row r="343">
      <c r="B343" s="308"/>
      <c r="C343" s="308"/>
      <c r="D343" s="308"/>
      <c r="E343" s="308"/>
      <c r="F343" s="308"/>
      <c r="G343" s="308"/>
    </row>
    <row r="344">
      <c r="B344" s="72" t="s">
        <v>1627</v>
      </c>
      <c r="C344" s="308"/>
      <c r="D344" s="308"/>
      <c r="E344" s="308"/>
      <c r="F344" s="308"/>
      <c r="G344" s="308"/>
    </row>
    <row r="345">
      <c r="B345" s="72" t="s">
        <v>1589</v>
      </c>
      <c r="C345" s="308"/>
      <c r="D345" s="308"/>
      <c r="E345" s="308"/>
      <c r="F345" s="308"/>
      <c r="G345" s="308"/>
    </row>
    <row r="346">
      <c r="B346" s="310" t="s">
        <v>1047</v>
      </c>
      <c r="C346" s="310" t="s">
        <v>1522</v>
      </c>
      <c r="D346" s="308"/>
      <c r="E346" s="308"/>
      <c r="F346" s="308"/>
      <c r="G346" s="308"/>
    </row>
    <row r="347">
      <c r="B347" s="72" t="s">
        <v>1629</v>
      </c>
      <c r="C347" s="72" t="s">
        <v>1264</v>
      </c>
      <c r="D347" s="308"/>
      <c r="E347" s="308"/>
      <c r="F347" s="308"/>
      <c r="G347" s="308"/>
    </row>
    <row r="348">
      <c r="B348" s="72" t="s">
        <v>1630</v>
      </c>
      <c r="C348" s="72" t="s">
        <v>1279</v>
      </c>
      <c r="D348" s="308"/>
      <c r="E348" s="308"/>
      <c r="F348" s="308"/>
      <c r="G348" s="308"/>
    </row>
    <row r="349">
      <c r="B349" s="72" t="s">
        <v>1631</v>
      </c>
      <c r="C349" s="72" t="s">
        <v>1632</v>
      </c>
      <c r="D349" s="308"/>
      <c r="E349" s="308"/>
      <c r="F349" s="308"/>
      <c r="G349" s="308"/>
    </row>
    <row r="350">
      <c r="B350" s="72" t="s">
        <v>1633</v>
      </c>
      <c r="C350" s="72" t="s">
        <v>1634</v>
      </c>
      <c r="D350" s="308"/>
      <c r="E350" s="308"/>
      <c r="F350" s="308"/>
      <c r="G350" s="308"/>
    </row>
    <row r="351">
      <c r="B351" s="72" t="s">
        <v>1635</v>
      </c>
      <c r="C351" s="72" t="s">
        <v>1206</v>
      </c>
      <c r="D351" s="308"/>
      <c r="E351" s="308"/>
      <c r="F351" s="308"/>
      <c r="G351" s="308"/>
    </row>
    <row r="352">
      <c r="B352" s="72" t="s">
        <v>1637</v>
      </c>
      <c r="C352" s="72" t="s">
        <v>1094</v>
      </c>
      <c r="D352" s="308"/>
      <c r="E352" s="308"/>
      <c r="F352" s="308"/>
      <c r="G352" s="308"/>
    </row>
    <row r="353">
      <c r="B353" s="72" t="s">
        <v>1638</v>
      </c>
      <c r="C353" s="72" t="s">
        <v>1279</v>
      </c>
      <c r="D353" s="308"/>
      <c r="E353" s="308"/>
      <c r="F353" s="308"/>
      <c r="G353" s="308"/>
    </row>
    <row r="354">
      <c r="B354" s="72" t="s">
        <v>1639</v>
      </c>
      <c r="C354" s="72" t="s">
        <v>1640</v>
      </c>
      <c r="D354" s="308"/>
      <c r="E354" s="308"/>
      <c r="F354" s="308"/>
      <c r="G354" s="308"/>
    </row>
    <row r="355">
      <c r="B355" s="72" t="s">
        <v>1641</v>
      </c>
      <c r="C355" s="72" t="s">
        <v>1642</v>
      </c>
      <c r="D355" s="308"/>
      <c r="E355" s="308"/>
      <c r="F355" s="308"/>
      <c r="G355" s="308"/>
    </row>
    <row r="356">
      <c r="B356" s="72" t="s">
        <v>1643</v>
      </c>
      <c r="C356" s="72" t="s">
        <v>1644</v>
      </c>
      <c r="D356" s="308"/>
      <c r="E356" s="308"/>
      <c r="F356" s="308"/>
      <c r="G356" s="308"/>
    </row>
    <row r="357">
      <c r="B357" s="308"/>
      <c r="C357" s="308"/>
      <c r="D357" s="308"/>
      <c r="E357" s="308"/>
      <c r="F357" s="308"/>
      <c r="G357" s="308"/>
    </row>
    <row r="358">
      <c r="B358" s="72" t="s">
        <v>1645</v>
      </c>
      <c r="C358" s="308"/>
      <c r="D358" s="308"/>
      <c r="E358" s="308"/>
      <c r="F358" s="308"/>
      <c r="G358" s="308"/>
    </row>
    <row r="359">
      <c r="B359" s="308"/>
      <c r="C359" s="308"/>
      <c r="D359" s="308"/>
      <c r="E359" s="308"/>
      <c r="F359" s="308"/>
      <c r="G359" s="308"/>
    </row>
    <row r="360">
      <c r="B360" s="72" t="s">
        <v>1646</v>
      </c>
      <c r="C360" s="308"/>
      <c r="D360" s="308"/>
      <c r="E360" s="308"/>
      <c r="F360" s="308"/>
      <c r="G360" s="308"/>
    </row>
    <row r="361">
      <c r="B361" s="308"/>
      <c r="C361" s="308"/>
      <c r="D361" s="308"/>
      <c r="E361" s="308"/>
      <c r="F361" s="308"/>
      <c r="G361" s="308"/>
    </row>
    <row r="362">
      <c r="B362" s="72" t="s">
        <v>1421</v>
      </c>
      <c r="C362" s="308"/>
      <c r="D362" s="308"/>
      <c r="E362" s="308"/>
      <c r="F362" s="308"/>
      <c r="G362" s="308"/>
    </row>
    <row r="363">
      <c r="B363" s="308"/>
      <c r="C363" s="308"/>
      <c r="D363" s="308"/>
      <c r="E363" s="308"/>
      <c r="F363" s="308"/>
      <c r="G363" s="308"/>
    </row>
    <row r="364">
      <c r="B364" s="72" t="s">
        <v>1647</v>
      </c>
      <c r="C364" s="308"/>
      <c r="D364" s="308"/>
      <c r="E364" s="308"/>
      <c r="F364" s="308"/>
      <c r="G364" s="308"/>
    </row>
    <row r="365">
      <c r="B365" s="308"/>
      <c r="C365" s="308"/>
      <c r="D365" s="308"/>
      <c r="E365" s="308"/>
      <c r="F365" s="308"/>
      <c r="G365" s="308"/>
    </row>
    <row r="366">
      <c r="B366" s="72" t="s">
        <v>1648</v>
      </c>
      <c r="C366" s="308"/>
      <c r="D366" s="308"/>
      <c r="E366" s="308"/>
      <c r="F366" s="308"/>
      <c r="G366" s="308"/>
    </row>
    <row r="367">
      <c r="B367" s="308"/>
      <c r="C367" s="308"/>
      <c r="D367" s="308"/>
      <c r="E367" s="308"/>
      <c r="F367" s="308"/>
      <c r="G367" s="308"/>
    </row>
    <row r="368">
      <c r="B368" s="72" t="s">
        <v>1476</v>
      </c>
      <c r="C368" s="308"/>
      <c r="D368" s="308"/>
      <c r="E368" s="308"/>
      <c r="F368" s="308"/>
      <c r="G368" s="308"/>
    </row>
    <row r="369">
      <c r="B369" s="308"/>
      <c r="C369" s="308"/>
      <c r="D369" s="308"/>
      <c r="E369" s="308"/>
      <c r="F369" s="308"/>
      <c r="G369" s="308"/>
    </row>
    <row r="370">
      <c r="B370" s="72" t="s">
        <v>1649</v>
      </c>
      <c r="C370" s="308"/>
      <c r="D370" s="308"/>
      <c r="E370" s="308"/>
      <c r="F370" s="308"/>
      <c r="G370" s="308"/>
    </row>
    <row r="371">
      <c r="B371" s="308"/>
      <c r="C371" s="308"/>
      <c r="D371" s="308"/>
      <c r="E371" s="308"/>
      <c r="F371" s="308"/>
      <c r="G371" s="308"/>
    </row>
    <row r="372">
      <c r="B372" s="72" t="s">
        <v>1650</v>
      </c>
      <c r="C372" s="308"/>
      <c r="D372" s="308"/>
      <c r="E372" s="308"/>
      <c r="F372" s="308"/>
      <c r="G372" s="308"/>
    </row>
    <row r="373">
      <c r="B373" s="308"/>
      <c r="C373" s="308"/>
      <c r="D373" s="308"/>
      <c r="E373" s="308"/>
      <c r="F373" s="308"/>
      <c r="G373" s="308"/>
    </row>
    <row r="374">
      <c r="B374" s="72" t="s">
        <v>1651</v>
      </c>
      <c r="C374" s="308"/>
      <c r="D374" s="308"/>
      <c r="E374" s="308"/>
      <c r="F374" s="308"/>
      <c r="G374" s="308"/>
    </row>
    <row r="375">
      <c r="B375" s="308"/>
      <c r="C375" s="308"/>
      <c r="D375" s="308"/>
      <c r="E375" s="308"/>
      <c r="F375" s="308"/>
      <c r="G375" s="308"/>
    </row>
    <row r="376">
      <c r="B376" s="72" t="s">
        <v>1652</v>
      </c>
      <c r="C376" s="308"/>
      <c r="D376" s="308"/>
      <c r="E376" s="308"/>
      <c r="F376" s="308"/>
      <c r="G376" s="308"/>
    </row>
    <row r="377">
      <c r="B377" s="72" t="s">
        <v>1484</v>
      </c>
      <c r="C377" s="308"/>
      <c r="D377" s="308"/>
      <c r="E377" s="308"/>
      <c r="F377" s="308"/>
      <c r="G377" s="308"/>
    </row>
    <row r="378">
      <c r="B378" s="308"/>
      <c r="C378" s="308"/>
      <c r="D378" s="308"/>
      <c r="E378" s="308"/>
      <c r="F378" s="308"/>
      <c r="G378" s="308"/>
    </row>
    <row r="379">
      <c r="B379" s="72" t="s">
        <v>1653</v>
      </c>
      <c r="C379" s="308"/>
      <c r="D379" s="308"/>
      <c r="E379" s="308"/>
      <c r="F379" s="308"/>
      <c r="G379" s="308"/>
    </row>
    <row r="380">
      <c r="B380" s="72" t="s">
        <v>1654</v>
      </c>
      <c r="C380" s="308"/>
      <c r="D380" s="308"/>
      <c r="E380" s="308"/>
      <c r="F380" s="308"/>
      <c r="G380" s="308"/>
    </row>
    <row r="381">
      <c r="B381" s="72" t="s">
        <v>1655</v>
      </c>
      <c r="C381" s="308"/>
      <c r="D381" s="308"/>
      <c r="E381" s="308"/>
      <c r="F381" s="308"/>
      <c r="G381" s="308"/>
    </row>
    <row r="382">
      <c r="B382" s="72" t="s">
        <v>1656</v>
      </c>
      <c r="C382" s="308"/>
      <c r="D382" s="308"/>
      <c r="E382" s="308"/>
      <c r="F382" s="308"/>
      <c r="G382" s="308"/>
    </row>
    <row r="383">
      <c r="B383" s="72" t="s">
        <v>1657</v>
      </c>
      <c r="C383" s="308"/>
      <c r="D383" s="308"/>
      <c r="E383" s="308"/>
      <c r="F383" s="308"/>
      <c r="G383" s="308"/>
    </row>
    <row r="384">
      <c r="B384" s="72" t="s">
        <v>1658</v>
      </c>
      <c r="C384" s="308"/>
      <c r="D384" s="308"/>
      <c r="E384" s="308"/>
      <c r="F384" s="308"/>
      <c r="G384" s="308"/>
    </row>
    <row r="385">
      <c r="B385" s="308"/>
      <c r="C385" s="308"/>
      <c r="D385" s="308"/>
      <c r="E385" s="308"/>
      <c r="F385" s="308"/>
      <c r="G385" s="308"/>
    </row>
    <row r="386">
      <c r="B386" s="72" t="s">
        <v>1659</v>
      </c>
      <c r="C386" s="308"/>
      <c r="D386" s="308"/>
      <c r="E386" s="308"/>
      <c r="F386" s="308"/>
      <c r="G386" s="308"/>
    </row>
    <row r="387">
      <c r="B387" s="308"/>
      <c r="C387" s="308"/>
      <c r="D387" s="308"/>
      <c r="E387" s="308"/>
      <c r="F387" s="308"/>
      <c r="G387" s="308"/>
    </row>
    <row r="388">
      <c r="B388" s="72" t="s">
        <v>1660</v>
      </c>
      <c r="C388" s="308"/>
      <c r="D388" s="308"/>
      <c r="E388" s="308"/>
      <c r="F388" s="308"/>
      <c r="G388" s="308"/>
    </row>
    <row r="389">
      <c r="B389" s="308"/>
      <c r="C389" s="308"/>
      <c r="D389" s="308"/>
      <c r="E389" s="308"/>
      <c r="F389" s="308"/>
      <c r="G389" s="308"/>
    </row>
    <row r="390">
      <c r="B390" s="72" t="s">
        <v>1661</v>
      </c>
      <c r="C390" s="308"/>
      <c r="D390" s="308"/>
      <c r="E390" s="308"/>
      <c r="F390" s="308"/>
      <c r="G390" s="308"/>
    </row>
    <row r="391">
      <c r="B391" s="72" t="s">
        <v>1662</v>
      </c>
      <c r="C391" s="308"/>
      <c r="D391" s="308"/>
      <c r="E391" s="308"/>
      <c r="F391" s="308"/>
      <c r="G391" s="308"/>
    </row>
    <row r="392">
      <c r="B392" s="72" t="s">
        <v>1047</v>
      </c>
      <c r="C392" s="308"/>
      <c r="D392" s="308"/>
      <c r="E392" s="308"/>
      <c r="F392" s="308"/>
      <c r="G392" s="308"/>
    </row>
    <row r="393">
      <c r="B393" s="310" t="s">
        <v>1047</v>
      </c>
      <c r="C393" s="310" t="s">
        <v>1663</v>
      </c>
      <c r="D393" s="308"/>
      <c r="E393" s="308"/>
      <c r="F393" s="308"/>
      <c r="G393" s="308"/>
    </row>
    <row r="394">
      <c r="B394" s="72" t="s">
        <v>1664</v>
      </c>
      <c r="C394" s="72" t="s">
        <v>1665</v>
      </c>
      <c r="D394" s="308"/>
      <c r="E394" s="308"/>
      <c r="F394" s="308"/>
      <c r="G394" s="308"/>
    </row>
    <row r="395">
      <c r="B395" s="72" t="s">
        <v>1666</v>
      </c>
      <c r="C395" s="72" t="s">
        <v>1667</v>
      </c>
      <c r="D395" s="308"/>
      <c r="E395" s="308"/>
      <c r="F395" s="308"/>
      <c r="G395" s="308"/>
    </row>
    <row r="396">
      <c r="B396" s="72" t="s">
        <v>297</v>
      </c>
      <c r="C396" s="72" t="s">
        <v>1668</v>
      </c>
      <c r="D396" s="308"/>
      <c r="E396" s="308"/>
      <c r="F396" s="308"/>
      <c r="G396" s="308"/>
    </row>
    <row r="397">
      <c r="B397" s="72" t="s">
        <v>1669</v>
      </c>
      <c r="C397" s="72" t="s">
        <v>1137</v>
      </c>
      <c r="D397" s="308"/>
      <c r="E397" s="308"/>
      <c r="F397" s="308"/>
      <c r="G397" s="308"/>
    </row>
    <row r="398">
      <c r="B398" s="72" t="s">
        <v>1670</v>
      </c>
      <c r="C398" s="72" t="s">
        <v>1671</v>
      </c>
      <c r="D398" s="308"/>
      <c r="E398" s="308"/>
      <c r="F398" s="308"/>
      <c r="G398" s="308"/>
    </row>
    <row r="399">
      <c r="B399" s="72" t="s">
        <v>262</v>
      </c>
      <c r="C399" s="72" t="s">
        <v>1672</v>
      </c>
      <c r="D399" s="308"/>
      <c r="E399" s="308"/>
      <c r="F399" s="308"/>
      <c r="G399" s="308"/>
    </row>
    <row r="400">
      <c r="B400" s="72" t="s">
        <v>1673</v>
      </c>
      <c r="C400" s="72" t="s">
        <v>1674</v>
      </c>
      <c r="D400" s="308"/>
      <c r="E400" s="308"/>
      <c r="F400" s="308"/>
      <c r="G400" s="308"/>
    </row>
    <row r="401">
      <c r="B401" s="72" t="s">
        <v>1675</v>
      </c>
      <c r="C401" s="72" t="s">
        <v>1676</v>
      </c>
      <c r="D401" s="308"/>
      <c r="E401" s="308"/>
      <c r="F401" s="308"/>
      <c r="G401" s="308"/>
    </row>
    <row r="402">
      <c r="B402" s="72" t="s">
        <v>1677</v>
      </c>
      <c r="C402" s="72" t="s">
        <v>481</v>
      </c>
      <c r="D402" s="308"/>
      <c r="E402" s="308"/>
      <c r="F402" s="308"/>
      <c r="G402" s="308"/>
    </row>
    <row r="403">
      <c r="B403" s="72" t="s">
        <v>1678</v>
      </c>
      <c r="C403" s="72" t="s">
        <v>1679</v>
      </c>
      <c r="D403" s="308"/>
      <c r="E403" s="308"/>
      <c r="F403" s="308"/>
      <c r="G403" s="308"/>
    </row>
    <row r="404">
      <c r="B404" s="72" t="s">
        <v>1680</v>
      </c>
      <c r="C404" s="72" t="s">
        <v>1681</v>
      </c>
      <c r="D404" s="308"/>
      <c r="E404" s="308"/>
      <c r="F404" s="308"/>
      <c r="G404" s="308"/>
    </row>
    <row r="405">
      <c r="B405" s="72" t="s">
        <v>1682</v>
      </c>
      <c r="C405" s="72" t="s">
        <v>1683</v>
      </c>
      <c r="D405" s="308"/>
      <c r="E405" s="308"/>
      <c r="F405" s="308"/>
      <c r="G405" s="308"/>
    </row>
    <row r="406">
      <c r="B406" s="308"/>
      <c r="C406" s="308"/>
      <c r="D406" s="308"/>
      <c r="E406" s="308"/>
      <c r="F406" s="308"/>
      <c r="G406" s="308"/>
    </row>
    <row r="407">
      <c r="B407" s="72" t="s">
        <v>1684</v>
      </c>
      <c r="C407" s="308"/>
      <c r="D407" s="308"/>
      <c r="E407" s="308"/>
      <c r="F407" s="308"/>
      <c r="G407" s="308"/>
    </row>
    <row r="408">
      <c r="B408" s="308"/>
      <c r="C408" s="308"/>
      <c r="D408" s="308"/>
      <c r="E408" s="308"/>
      <c r="F408" s="308"/>
      <c r="G408" s="308"/>
    </row>
    <row r="409">
      <c r="B409" s="72" t="s">
        <v>1686</v>
      </c>
      <c r="C409" s="308"/>
      <c r="D409" s="308"/>
      <c r="E409" s="308"/>
      <c r="F409" s="308"/>
      <c r="G409" s="308"/>
    </row>
    <row r="410">
      <c r="B410" s="72" t="s">
        <v>1687</v>
      </c>
      <c r="C410" s="308"/>
      <c r="D410" s="308"/>
      <c r="E410" s="308"/>
      <c r="F410" s="308"/>
      <c r="G410" s="308"/>
    </row>
    <row r="411">
      <c r="B411" s="72" t="s">
        <v>1688</v>
      </c>
      <c r="C411" s="308"/>
      <c r="D411" s="308"/>
      <c r="E411" s="308"/>
      <c r="F411" s="308"/>
      <c r="G411" s="308"/>
    </row>
    <row r="412">
      <c r="B412" s="72" t="s">
        <v>1689</v>
      </c>
      <c r="C412" s="308"/>
      <c r="D412" s="308"/>
      <c r="E412" s="308"/>
      <c r="F412" s="308"/>
      <c r="G412" s="308"/>
    </row>
    <row r="413">
      <c r="B413" s="308"/>
      <c r="C413" s="308"/>
      <c r="D413" s="308"/>
      <c r="E413" s="308"/>
      <c r="F413" s="308"/>
      <c r="G413" s="308"/>
    </row>
    <row r="414">
      <c r="B414" s="72" t="s">
        <v>1476</v>
      </c>
      <c r="C414" s="308"/>
      <c r="D414" s="308"/>
      <c r="E414" s="308"/>
      <c r="F414" s="308"/>
      <c r="G414" s="308"/>
    </row>
    <row r="415">
      <c r="B415" s="308"/>
      <c r="C415" s="308"/>
      <c r="D415" s="308"/>
      <c r="E415" s="308"/>
      <c r="F415" s="308"/>
      <c r="G415" s="308"/>
    </row>
    <row r="416">
      <c r="B416" s="72" t="s">
        <v>1691</v>
      </c>
      <c r="C416" s="308"/>
      <c r="D416" s="308"/>
      <c r="E416" s="308"/>
      <c r="F416" s="308"/>
      <c r="G416" s="308"/>
    </row>
    <row r="417">
      <c r="B417" s="308"/>
      <c r="C417" s="308"/>
      <c r="D417" s="308"/>
      <c r="E417" s="308"/>
      <c r="F417" s="308"/>
      <c r="G417" s="308"/>
    </row>
    <row r="418">
      <c r="B418" s="72" t="s">
        <v>1692</v>
      </c>
      <c r="C418" s="308"/>
      <c r="D418" s="308"/>
      <c r="E418" s="308"/>
      <c r="F418" s="308"/>
      <c r="G418" s="308"/>
    </row>
    <row r="419">
      <c r="B419" s="308"/>
      <c r="C419" s="308"/>
      <c r="D419" s="308"/>
      <c r="E419" s="308"/>
      <c r="F419" s="308"/>
      <c r="G419" s="308"/>
    </row>
    <row r="420">
      <c r="B420" s="72" t="s">
        <v>1693</v>
      </c>
      <c r="C420" s="308"/>
      <c r="D420" s="308"/>
      <c r="E420" s="308"/>
      <c r="F420" s="308"/>
      <c r="G420" s="308"/>
    </row>
    <row r="421">
      <c r="B421" s="308"/>
      <c r="C421" s="308"/>
      <c r="D421" s="308"/>
      <c r="E421" s="308"/>
      <c r="F421" s="308"/>
      <c r="G421" s="308"/>
    </row>
    <row r="422">
      <c r="B422" s="72" t="s">
        <v>1694</v>
      </c>
      <c r="C422" s="308"/>
      <c r="D422" s="308"/>
      <c r="E422" s="308"/>
      <c r="F422" s="308"/>
      <c r="G422" s="308"/>
    </row>
    <row r="423">
      <c r="B423" s="308"/>
      <c r="C423" s="308"/>
      <c r="D423" s="308"/>
      <c r="E423" s="308"/>
      <c r="F423" s="308"/>
      <c r="G423" s="308"/>
    </row>
    <row r="424">
      <c r="B424" s="72" t="s">
        <v>1695</v>
      </c>
      <c r="C424" s="308"/>
      <c r="D424" s="308"/>
      <c r="E424" s="308"/>
      <c r="F424" s="308"/>
      <c r="G424" s="308"/>
    </row>
    <row r="425">
      <c r="B425" s="308"/>
      <c r="C425" s="308"/>
      <c r="D425" s="308"/>
      <c r="E425" s="308"/>
      <c r="F425" s="308"/>
      <c r="G425" s="308"/>
    </row>
    <row r="426">
      <c r="B426" s="72" t="s">
        <v>1696</v>
      </c>
      <c r="C426" s="308"/>
      <c r="D426" s="308"/>
      <c r="E426" s="308"/>
      <c r="F426" s="308"/>
      <c r="G426" s="308"/>
    </row>
    <row r="427">
      <c r="B427" s="308"/>
      <c r="C427" s="308"/>
      <c r="D427" s="308"/>
      <c r="E427" s="308"/>
      <c r="F427" s="308"/>
      <c r="G427" s="308"/>
    </row>
    <row r="428">
      <c r="B428" s="72" t="s">
        <v>1697</v>
      </c>
      <c r="C428" s="308"/>
      <c r="D428" s="308"/>
      <c r="E428" s="308"/>
      <c r="F428" s="308"/>
      <c r="G428" s="308"/>
    </row>
    <row r="429">
      <c r="B429" s="308"/>
      <c r="C429" s="308"/>
      <c r="D429" s="308"/>
      <c r="E429" s="308"/>
      <c r="F429" s="308"/>
      <c r="G429" s="308"/>
    </row>
    <row r="430">
      <c r="B430" s="72" t="s">
        <v>1698</v>
      </c>
      <c r="C430" s="308"/>
      <c r="D430" s="308"/>
      <c r="E430" s="308"/>
      <c r="F430" s="308"/>
      <c r="G430" s="308"/>
    </row>
    <row r="431">
      <c r="B431" s="308"/>
      <c r="C431" s="308"/>
      <c r="D431" s="308"/>
      <c r="E431" s="308"/>
      <c r="F431" s="308"/>
      <c r="G431" s="308"/>
    </row>
    <row r="432">
      <c r="B432" s="72" t="s">
        <v>1484</v>
      </c>
      <c r="C432" s="308"/>
      <c r="D432" s="308"/>
      <c r="E432" s="308"/>
      <c r="F432" s="308"/>
      <c r="G432" s="308"/>
    </row>
    <row r="433">
      <c r="B433" s="308"/>
      <c r="C433" s="308"/>
      <c r="D433" s="308"/>
      <c r="E433" s="308"/>
      <c r="F433" s="308"/>
      <c r="G433" s="308"/>
    </row>
    <row r="434">
      <c r="B434" s="72" t="s">
        <v>1699</v>
      </c>
      <c r="C434" s="308"/>
      <c r="D434" s="308"/>
      <c r="E434" s="308"/>
      <c r="F434" s="308"/>
      <c r="G434" s="308"/>
    </row>
    <row r="435">
      <c r="B435" s="72" t="s">
        <v>1700</v>
      </c>
      <c r="C435" s="308"/>
      <c r="D435" s="308"/>
      <c r="E435" s="308"/>
      <c r="F435" s="308"/>
      <c r="G435" s="308"/>
    </row>
    <row r="436">
      <c r="B436" s="72" t="s">
        <v>1701</v>
      </c>
      <c r="C436" s="308"/>
      <c r="D436" s="308"/>
      <c r="E436" s="308"/>
      <c r="F436" s="308"/>
      <c r="G436" s="308"/>
    </row>
    <row r="437">
      <c r="B437" s="72" t="s">
        <v>1702</v>
      </c>
      <c r="C437" s="308"/>
      <c r="D437" s="308"/>
      <c r="E437" s="308"/>
      <c r="F437" s="308"/>
      <c r="G437" s="308"/>
    </row>
    <row r="438">
      <c r="B438" s="72" t="s">
        <v>1703</v>
      </c>
      <c r="C438" s="308"/>
      <c r="D438" s="308"/>
      <c r="E438" s="308"/>
      <c r="F438" s="308"/>
      <c r="G438" s="308"/>
    </row>
    <row r="439">
      <c r="B439" s="72" t="s">
        <v>1704</v>
      </c>
      <c r="C439" s="308"/>
      <c r="D439" s="308"/>
      <c r="E439" s="308"/>
      <c r="F439" s="308"/>
      <c r="G439" s="308"/>
    </row>
    <row r="440">
      <c r="B440" s="308"/>
      <c r="C440" s="308"/>
      <c r="D440" s="308"/>
      <c r="E440" s="308"/>
      <c r="F440" s="308"/>
      <c r="G440" s="308"/>
    </row>
    <row r="441">
      <c r="B441" s="72" t="s">
        <v>1705</v>
      </c>
      <c r="C441" s="308"/>
      <c r="D441" s="308"/>
      <c r="E441" s="308"/>
      <c r="F441" s="308"/>
      <c r="G441" s="308"/>
    </row>
    <row r="442">
      <c r="B442" s="72" t="s">
        <v>1706</v>
      </c>
      <c r="C442" s="308"/>
      <c r="D442" s="308"/>
      <c r="E442" s="308"/>
      <c r="F442" s="308"/>
      <c r="G442" s="308"/>
    </row>
    <row r="443">
      <c r="B443" s="72" t="s">
        <v>1707</v>
      </c>
      <c r="C443" s="308"/>
      <c r="D443" s="308"/>
      <c r="E443" s="308"/>
      <c r="F443" s="308"/>
      <c r="G443" s="308"/>
    </row>
    <row r="444">
      <c r="B444" s="72" t="s">
        <v>1589</v>
      </c>
      <c r="C444" s="308"/>
      <c r="D444" s="308"/>
      <c r="E444" s="308"/>
      <c r="F444" s="308"/>
      <c r="G444" s="308"/>
    </row>
    <row r="445">
      <c r="B445" s="72" t="s">
        <v>1708</v>
      </c>
      <c r="C445" s="308"/>
      <c r="D445" s="308"/>
      <c r="E445" s="308"/>
      <c r="F445" s="308"/>
      <c r="G445" s="308"/>
    </row>
    <row r="446">
      <c r="B446" s="72" t="s">
        <v>1709</v>
      </c>
      <c r="C446" s="308"/>
      <c r="D446" s="308"/>
      <c r="E446" s="308"/>
      <c r="F446" s="308"/>
      <c r="G446" s="308"/>
    </row>
    <row r="447">
      <c r="B447" s="72" t="s">
        <v>1710</v>
      </c>
      <c r="C447" s="308"/>
      <c r="D447" s="308"/>
      <c r="E447" s="308"/>
      <c r="F447" s="308"/>
      <c r="G447" s="308"/>
    </row>
    <row r="448">
      <c r="B448" s="72" t="s">
        <v>1711</v>
      </c>
      <c r="C448" s="308"/>
      <c r="D448" s="308"/>
      <c r="E448" s="308"/>
      <c r="F448" s="308"/>
      <c r="G448" s="308"/>
    </row>
    <row r="449">
      <c r="B449" s="72" t="s">
        <v>1712</v>
      </c>
      <c r="C449" s="308"/>
      <c r="D449" s="308"/>
      <c r="E449" s="308"/>
      <c r="F449" s="308"/>
      <c r="G449" s="308"/>
    </row>
    <row r="450">
      <c r="B450" s="72" t="s">
        <v>1713</v>
      </c>
      <c r="C450" s="308"/>
      <c r="D450" s="308"/>
      <c r="E450" s="308"/>
      <c r="F450" s="308"/>
      <c r="G450" s="308"/>
    </row>
    <row r="451">
      <c r="B451" s="72" t="s">
        <v>1714</v>
      </c>
      <c r="C451" s="308"/>
      <c r="D451" s="308"/>
      <c r="E451" s="308"/>
      <c r="F451" s="308"/>
      <c r="G451" s="308"/>
    </row>
    <row r="452">
      <c r="B452" s="72" t="s">
        <v>1715</v>
      </c>
      <c r="C452" s="308"/>
      <c r="D452" s="308"/>
      <c r="E452" s="308"/>
      <c r="F452" s="308"/>
      <c r="G452" s="308"/>
    </row>
    <row r="453">
      <c r="B453" s="72" t="s">
        <v>1716</v>
      </c>
      <c r="C453" s="308"/>
      <c r="D453" s="308"/>
      <c r="E453" s="308"/>
      <c r="F453" s="308"/>
      <c r="G453" s="308"/>
    </row>
    <row r="454">
      <c r="B454" s="72" t="s">
        <v>1717</v>
      </c>
      <c r="C454" s="308"/>
      <c r="D454" s="308"/>
      <c r="E454" s="308"/>
      <c r="F454" s="308"/>
      <c r="G454" s="308"/>
    </row>
    <row r="455">
      <c r="B455" s="72" t="s">
        <v>1718</v>
      </c>
      <c r="C455" s="308"/>
      <c r="D455" s="308"/>
      <c r="E455" s="308"/>
      <c r="F455" s="308"/>
      <c r="G455" s="308"/>
    </row>
    <row r="456">
      <c r="B456" s="308"/>
      <c r="C456" s="308"/>
      <c r="D456" s="308"/>
      <c r="E456" s="308"/>
      <c r="F456" s="308"/>
      <c r="G456" s="308"/>
    </row>
    <row r="457">
      <c r="B457" s="72" t="s">
        <v>1719</v>
      </c>
      <c r="C457" s="308"/>
      <c r="D457" s="308"/>
      <c r="E457" s="308"/>
      <c r="F457" s="308"/>
      <c r="G457" s="308"/>
    </row>
    <row r="458">
      <c r="B458" s="308"/>
      <c r="C458" s="308"/>
      <c r="D458" s="308"/>
      <c r="E458" s="308"/>
      <c r="F458" s="308"/>
      <c r="G458" s="308"/>
    </row>
    <row r="459">
      <c r="B459" s="72" t="s">
        <v>1720</v>
      </c>
      <c r="C459" s="308"/>
      <c r="D459" s="308"/>
      <c r="E459" s="308"/>
      <c r="F459" s="308"/>
      <c r="G459" s="308"/>
    </row>
    <row r="460">
      <c r="B460" s="308"/>
      <c r="C460" s="308"/>
      <c r="D460" s="308"/>
      <c r="E460" s="308"/>
      <c r="F460" s="308"/>
      <c r="G460" s="308"/>
    </row>
    <row r="461">
      <c r="B461" s="72" t="s">
        <v>1721</v>
      </c>
      <c r="C461" s="308"/>
      <c r="D461" s="308"/>
      <c r="E461" s="308"/>
      <c r="F461" s="308"/>
      <c r="G461" s="308"/>
    </row>
    <row r="462">
      <c r="B462" s="308"/>
      <c r="C462" s="308"/>
      <c r="D462" s="308"/>
      <c r="E462" s="308"/>
      <c r="F462" s="308"/>
      <c r="G462" s="308"/>
    </row>
    <row r="463">
      <c r="B463" s="72" t="s">
        <v>1476</v>
      </c>
      <c r="C463" s="308"/>
      <c r="D463" s="308"/>
      <c r="E463" s="308"/>
      <c r="F463" s="308"/>
      <c r="G463" s="308"/>
    </row>
    <row r="464">
      <c r="B464" s="308"/>
      <c r="C464" s="308"/>
      <c r="D464" s="308"/>
      <c r="E464" s="308"/>
      <c r="F464" s="308"/>
      <c r="G464" s="308"/>
    </row>
    <row r="465">
      <c r="B465" s="72" t="s">
        <v>1722</v>
      </c>
      <c r="C465" s="308"/>
      <c r="D465" s="308"/>
      <c r="E465" s="308"/>
      <c r="F465" s="308"/>
      <c r="G465" s="308"/>
    </row>
    <row r="466">
      <c r="B466" s="72" t="s">
        <v>1723</v>
      </c>
      <c r="C466" s="308"/>
      <c r="D466" s="308"/>
      <c r="E466" s="308"/>
      <c r="F466" s="308"/>
      <c r="G466" s="308"/>
    </row>
    <row r="467">
      <c r="B467" s="308"/>
      <c r="C467" s="308"/>
      <c r="D467" s="308"/>
      <c r="E467" s="308"/>
      <c r="F467" s="308"/>
      <c r="G467" s="308"/>
    </row>
    <row r="468">
      <c r="B468" s="72" t="s">
        <v>1724</v>
      </c>
      <c r="C468" s="308"/>
      <c r="D468" s="308"/>
      <c r="E468" s="308"/>
      <c r="F468" s="308"/>
      <c r="G468" s="308"/>
    </row>
    <row r="469">
      <c r="B469" s="72" t="s">
        <v>1725</v>
      </c>
      <c r="C469" s="308"/>
      <c r="D469" s="308"/>
      <c r="E469" s="308"/>
      <c r="F469" s="308"/>
      <c r="G469" s="308"/>
    </row>
    <row r="470">
      <c r="B470" s="72" t="s">
        <v>1726</v>
      </c>
      <c r="C470" s="308"/>
      <c r="D470" s="308"/>
      <c r="E470" s="308"/>
      <c r="F470" s="308"/>
      <c r="G470" s="308"/>
    </row>
    <row r="471">
      <c r="B471" s="72" t="s">
        <v>1727</v>
      </c>
      <c r="C471" s="308"/>
      <c r="D471" s="308"/>
      <c r="E471" s="308"/>
      <c r="F471" s="308"/>
      <c r="G471" s="308"/>
    </row>
    <row r="472">
      <c r="B472" s="72" t="s">
        <v>1728</v>
      </c>
      <c r="C472" s="308"/>
      <c r="D472" s="308"/>
      <c r="E472" s="308"/>
      <c r="F472" s="308"/>
      <c r="G472" s="308"/>
    </row>
    <row r="473">
      <c r="B473" s="308"/>
      <c r="C473" s="308"/>
      <c r="D473" s="308"/>
      <c r="E473" s="308"/>
      <c r="F473" s="308"/>
      <c r="G473" s="308"/>
    </row>
    <row r="474">
      <c r="B474" s="72" t="s">
        <v>1729</v>
      </c>
      <c r="C474" s="308"/>
      <c r="D474" s="308"/>
      <c r="E474" s="308"/>
      <c r="F474" s="308"/>
      <c r="G474" s="308"/>
    </row>
    <row r="475">
      <c r="B475" s="72" t="s">
        <v>1730</v>
      </c>
      <c r="C475" s="308"/>
      <c r="D475" s="308"/>
      <c r="E475" s="308"/>
      <c r="F475" s="308"/>
      <c r="G475" s="308"/>
    </row>
    <row r="476">
      <c r="B476" s="72" t="s">
        <v>1731</v>
      </c>
      <c r="C476" s="308"/>
      <c r="D476" s="308"/>
      <c r="E476" s="308"/>
      <c r="F476" s="308"/>
      <c r="G476" s="308"/>
    </row>
    <row r="477">
      <c r="B477" s="308"/>
      <c r="C477" s="308"/>
      <c r="D477" s="308"/>
      <c r="E477" s="308"/>
      <c r="F477" s="308"/>
      <c r="G477" s="308"/>
    </row>
    <row r="478">
      <c r="B478" s="72" t="s">
        <v>1732</v>
      </c>
      <c r="C478" s="308"/>
      <c r="D478" s="308"/>
      <c r="E478" s="308"/>
      <c r="F478" s="308"/>
      <c r="G478" s="308"/>
    </row>
    <row r="479">
      <c r="B479" s="308"/>
      <c r="C479" s="308"/>
      <c r="D479" s="308"/>
      <c r="E479" s="308"/>
      <c r="F479" s="308"/>
      <c r="G479" s="308"/>
    </row>
    <row r="480">
      <c r="B480" s="72" t="s">
        <v>1734</v>
      </c>
      <c r="C480" s="308"/>
      <c r="D480" s="308"/>
      <c r="E480" s="308"/>
      <c r="F480" s="308"/>
      <c r="G480" s="308"/>
    </row>
    <row r="481">
      <c r="B481" s="308"/>
      <c r="C481" s="308"/>
      <c r="D481" s="308"/>
      <c r="E481" s="308"/>
      <c r="F481" s="308"/>
      <c r="G481" s="308"/>
    </row>
    <row r="482">
      <c r="B482" s="72" t="s">
        <v>1589</v>
      </c>
      <c r="C482" s="308"/>
      <c r="D482" s="308"/>
      <c r="E482" s="308"/>
      <c r="F482" s="308"/>
      <c r="G482" s="308"/>
    </row>
    <row r="483">
      <c r="B483" s="310" t="s">
        <v>1047</v>
      </c>
      <c r="C483" s="310" t="s">
        <v>1736</v>
      </c>
      <c r="D483" s="308"/>
      <c r="E483" s="308"/>
      <c r="F483" s="308"/>
      <c r="G483" s="308"/>
    </row>
    <row r="484">
      <c r="B484" s="72" t="s">
        <v>1737</v>
      </c>
      <c r="C484" s="72" t="s">
        <v>371</v>
      </c>
      <c r="D484" s="308"/>
      <c r="E484" s="308"/>
      <c r="F484" s="308"/>
      <c r="G484" s="308"/>
    </row>
    <row r="485">
      <c r="B485" s="72" t="s">
        <v>1738</v>
      </c>
      <c r="C485" s="72" t="s">
        <v>1739</v>
      </c>
      <c r="D485" s="308"/>
      <c r="E485" s="308"/>
      <c r="F485" s="308"/>
      <c r="G485" s="308"/>
    </row>
    <row r="486">
      <c r="B486" s="72" t="s">
        <v>1740</v>
      </c>
      <c r="C486" s="72" t="s">
        <v>1279</v>
      </c>
      <c r="D486" s="308"/>
      <c r="E486" s="308"/>
      <c r="F486" s="308"/>
      <c r="G486" s="308"/>
    </row>
    <row r="487">
      <c r="B487" s="72" t="s">
        <v>1741</v>
      </c>
      <c r="C487" s="72" t="s">
        <v>1634</v>
      </c>
      <c r="D487" s="308"/>
      <c r="E487" s="308"/>
      <c r="F487" s="308"/>
      <c r="G487" s="308"/>
    </row>
    <row r="488">
      <c r="B488" s="72" t="s">
        <v>1742</v>
      </c>
      <c r="C488" s="72" t="s">
        <v>1743</v>
      </c>
      <c r="D488" s="308"/>
      <c r="E488" s="308"/>
      <c r="F488" s="308"/>
      <c r="G488" s="308"/>
    </row>
    <row r="489">
      <c r="B489" s="72" t="s">
        <v>1744</v>
      </c>
      <c r="C489" s="72" t="s">
        <v>1224</v>
      </c>
      <c r="D489" s="308"/>
      <c r="E489" s="308"/>
      <c r="F489" s="308"/>
      <c r="G489" s="308"/>
    </row>
    <row r="490">
      <c r="B490" s="72" t="s">
        <v>1745</v>
      </c>
      <c r="C490" s="72" t="s">
        <v>1206</v>
      </c>
      <c r="D490" s="308"/>
      <c r="E490" s="308"/>
      <c r="F490" s="308"/>
      <c r="G490" s="308"/>
    </row>
    <row r="491">
      <c r="B491" s="72" t="s">
        <v>1746</v>
      </c>
      <c r="C491" s="72" t="s">
        <v>1747</v>
      </c>
      <c r="D491" s="308"/>
      <c r="E491" s="308"/>
      <c r="F491" s="308"/>
      <c r="G491" s="308"/>
    </row>
    <row r="492">
      <c r="B492" s="72" t="s">
        <v>1748</v>
      </c>
      <c r="C492" s="72" t="s">
        <v>1644</v>
      </c>
      <c r="D492" s="308"/>
      <c r="E492" s="308"/>
      <c r="F492" s="308"/>
      <c r="G492" s="308"/>
    </row>
    <row r="493">
      <c r="B493" s="72" t="s">
        <v>1749</v>
      </c>
      <c r="C493" s="72" t="s">
        <v>1640</v>
      </c>
      <c r="D493" s="308"/>
      <c r="E493" s="308"/>
      <c r="F493" s="308"/>
      <c r="G493" s="308"/>
    </row>
    <row r="494">
      <c r="B494" s="308"/>
      <c r="C494" s="308"/>
      <c r="D494" s="308"/>
      <c r="E494" s="308"/>
      <c r="F494" s="308"/>
      <c r="G494" s="308"/>
    </row>
    <row r="495">
      <c r="B495" s="72" t="s">
        <v>1750</v>
      </c>
      <c r="C495" s="308"/>
      <c r="D495" s="308"/>
      <c r="E495" s="308"/>
      <c r="F495" s="308"/>
      <c r="G495" s="308"/>
    </row>
    <row r="496">
      <c r="B496" s="308"/>
      <c r="C496" s="308"/>
      <c r="D496" s="308"/>
      <c r="E496" s="308"/>
      <c r="F496" s="308"/>
      <c r="G496" s="308"/>
    </row>
    <row r="497">
      <c r="B497" s="72" t="s">
        <v>1751</v>
      </c>
      <c r="C497" s="308"/>
      <c r="D497" s="308"/>
      <c r="E497" s="308"/>
      <c r="F497" s="308"/>
      <c r="G497" s="308"/>
    </row>
    <row r="498">
      <c r="B498" s="308"/>
      <c r="C498" s="308"/>
      <c r="D498" s="308"/>
      <c r="E498" s="308"/>
      <c r="F498" s="308"/>
      <c r="G498" s="308"/>
    </row>
    <row r="499">
      <c r="B499" s="72" t="s">
        <v>1752</v>
      </c>
      <c r="C499" s="308"/>
      <c r="D499" s="308"/>
      <c r="E499" s="308"/>
      <c r="F499" s="308"/>
      <c r="G499" s="308"/>
    </row>
    <row r="500">
      <c r="B500" s="308"/>
      <c r="C500" s="308"/>
      <c r="D500" s="308"/>
      <c r="E500" s="308"/>
      <c r="F500" s="308"/>
      <c r="G500" s="308"/>
    </row>
    <row r="501">
      <c r="B501" s="72" t="s">
        <v>1476</v>
      </c>
      <c r="C501" s="308"/>
      <c r="D501" s="308"/>
      <c r="E501" s="308"/>
      <c r="F501" s="308"/>
      <c r="G501" s="308"/>
    </row>
    <row r="502">
      <c r="B502" s="308"/>
      <c r="C502" s="308"/>
      <c r="D502" s="308"/>
      <c r="E502" s="308"/>
      <c r="F502" s="308"/>
      <c r="G502" s="308"/>
    </row>
    <row r="503">
      <c r="B503" s="72" t="s">
        <v>1426</v>
      </c>
      <c r="C503" s="308"/>
      <c r="D503" s="308"/>
      <c r="E503" s="308"/>
      <c r="F503" s="308"/>
      <c r="G503" s="308"/>
    </row>
    <row r="504">
      <c r="B504" s="308"/>
      <c r="C504" s="308"/>
      <c r="D504" s="308"/>
      <c r="E504" s="308"/>
      <c r="F504" s="308"/>
      <c r="G504" s="308"/>
    </row>
    <row r="505">
      <c r="B505" s="72" t="s">
        <v>1753</v>
      </c>
      <c r="C505" s="308"/>
      <c r="D505" s="308"/>
      <c r="E505" s="308"/>
      <c r="F505" s="308"/>
      <c r="G505" s="308"/>
    </row>
    <row r="506">
      <c r="B506" s="308"/>
      <c r="C506" s="308"/>
      <c r="D506" s="308"/>
      <c r="E506" s="308"/>
      <c r="F506" s="308"/>
      <c r="G506" s="308"/>
    </row>
    <row r="507">
      <c r="B507" s="72" t="s">
        <v>1428</v>
      </c>
      <c r="C507" s="308"/>
      <c r="D507" s="308"/>
      <c r="E507" s="308"/>
      <c r="F507" s="308"/>
      <c r="G507" s="308"/>
    </row>
    <row r="508">
      <c r="B508" s="308"/>
      <c r="C508" s="308"/>
      <c r="D508" s="308"/>
      <c r="E508" s="308"/>
      <c r="F508" s="308"/>
      <c r="G508" s="308"/>
    </row>
    <row r="509">
      <c r="B509" s="72" t="s">
        <v>1754</v>
      </c>
      <c r="C509" s="308"/>
      <c r="D509" s="308"/>
      <c r="E509" s="308"/>
      <c r="F509" s="308"/>
      <c r="G509" s="308"/>
    </row>
    <row r="510">
      <c r="B510" s="72" t="s">
        <v>1723</v>
      </c>
      <c r="C510" s="308"/>
      <c r="D510" s="308"/>
      <c r="E510" s="308"/>
      <c r="F510" s="308"/>
      <c r="G510" s="308"/>
    </row>
    <row r="511">
      <c r="B511" s="308"/>
      <c r="C511" s="308"/>
      <c r="D511" s="308"/>
      <c r="E511" s="308"/>
      <c r="F511" s="308"/>
      <c r="G511" s="308"/>
    </row>
    <row r="512">
      <c r="B512" s="72" t="s">
        <v>1756</v>
      </c>
      <c r="C512" s="308"/>
      <c r="D512" s="308"/>
      <c r="E512" s="308"/>
      <c r="F512" s="308"/>
      <c r="G512" s="308"/>
    </row>
    <row r="513">
      <c r="B513" s="72" t="s">
        <v>1757</v>
      </c>
      <c r="C513" s="308"/>
      <c r="D513" s="308"/>
      <c r="E513" s="308"/>
      <c r="F513" s="308"/>
      <c r="G513" s="308"/>
    </row>
    <row r="514">
      <c r="B514" s="72" t="s">
        <v>1758</v>
      </c>
      <c r="C514" s="308"/>
      <c r="D514" s="308"/>
      <c r="E514" s="308"/>
      <c r="F514" s="308"/>
      <c r="G514" s="308"/>
    </row>
    <row r="515">
      <c r="B515" s="72" t="s">
        <v>1759</v>
      </c>
      <c r="C515" s="308"/>
      <c r="D515" s="308"/>
      <c r="E515" s="308"/>
      <c r="F515" s="308"/>
      <c r="G515" s="308"/>
    </row>
    <row r="516">
      <c r="B516" s="72" t="s">
        <v>1760</v>
      </c>
      <c r="C516" s="308"/>
      <c r="D516" s="308"/>
      <c r="E516" s="308"/>
      <c r="F516" s="308"/>
      <c r="G516" s="308"/>
    </row>
    <row r="517">
      <c r="B517" s="72" t="s">
        <v>1761</v>
      </c>
      <c r="C517" s="308"/>
      <c r="D517" s="308"/>
      <c r="E517" s="308"/>
      <c r="F517" s="308"/>
      <c r="G517" s="308"/>
    </row>
    <row r="518">
      <c r="B518" s="308"/>
      <c r="C518" s="308"/>
      <c r="D518" s="308"/>
      <c r="E518" s="308"/>
      <c r="F518" s="308"/>
      <c r="G518" s="308"/>
    </row>
    <row r="519">
      <c r="B519" s="72" t="s">
        <v>1762</v>
      </c>
      <c r="C519" s="308"/>
      <c r="D519" s="308"/>
      <c r="E519" s="308"/>
      <c r="F519" s="308"/>
      <c r="G519" s="308"/>
    </row>
    <row r="520">
      <c r="B520" s="72" t="s">
        <v>1764</v>
      </c>
      <c r="C520" s="308"/>
      <c r="D520" s="308"/>
      <c r="E520" s="308"/>
      <c r="F520" s="308"/>
      <c r="G520" s="308"/>
    </row>
    <row r="521">
      <c r="B521" s="72" t="s">
        <v>1765</v>
      </c>
      <c r="C521" s="308"/>
      <c r="D521" s="308"/>
      <c r="E521" s="308"/>
      <c r="F521" s="308"/>
      <c r="G521" s="308"/>
    </row>
    <row r="522">
      <c r="B522" s="308"/>
      <c r="C522" s="308"/>
      <c r="D522" s="308"/>
      <c r="E522" s="308"/>
      <c r="F522" s="308"/>
      <c r="G522" s="308"/>
    </row>
    <row r="523">
      <c r="B523" s="72" t="s">
        <v>1766</v>
      </c>
      <c r="C523" s="308"/>
      <c r="D523" s="308"/>
      <c r="E523" s="308"/>
      <c r="F523" s="308"/>
      <c r="G523" s="308"/>
    </row>
    <row r="524">
      <c r="B524" s="308"/>
      <c r="C524" s="308"/>
      <c r="D524" s="308"/>
      <c r="E524" s="308"/>
      <c r="F524" s="308"/>
      <c r="G524" s="308"/>
    </row>
    <row r="525">
      <c r="B525" s="72" t="s">
        <v>1589</v>
      </c>
      <c r="C525" s="308"/>
      <c r="D525" s="308"/>
      <c r="E525" s="308"/>
      <c r="F525" s="308"/>
      <c r="G525" s="308"/>
    </row>
    <row r="526">
      <c r="B526" s="72" t="s">
        <v>1767</v>
      </c>
      <c r="C526" s="308"/>
      <c r="D526" s="308"/>
      <c r="E526" s="308"/>
      <c r="F526" s="308"/>
      <c r="G526" s="308"/>
    </row>
    <row r="527">
      <c r="B527" s="72" t="s">
        <v>1768</v>
      </c>
      <c r="C527" s="308"/>
      <c r="D527" s="308"/>
      <c r="E527" s="308"/>
      <c r="F527" s="308"/>
      <c r="G527" s="308"/>
    </row>
    <row r="528">
      <c r="B528" s="72" t="s">
        <v>1711</v>
      </c>
      <c r="C528" s="308"/>
      <c r="D528" s="308"/>
      <c r="E528" s="308"/>
      <c r="F528" s="308"/>
      <c r="G528" s="308"/>
    </row>
    <row r="529">
      <c r="B529" s="72" t="s">
        <v>1769</v>
      </c>
      <c r="C529" s="308"/>
      <c r="D529" s="308"/>
      <c r="E529" s="308"/>
      <c r="F529" s="308"/>
      <c r="G529" s="308"/>
    </row>
    <row r="530">
      <c r="B530" s="72" t="s">
        <v>1770</v>
      </c>
      <c r="C530" s="308"/>
      <c r="D530" s="308"/>
      <c r="E530" s="308"/>
      <c r="F530" s="308"/>
      <c r="G530" s="308"/>
    </row>
    <row r="531">
      <c r="B531" s="72" t="s">
        <v>1771</v>
      </c>
      <c r="C531" s="308"/>
      <c r="D531" s="308"/>
      <c r="E531" s="308"/>
      <c r="F531" s="308"/>
      <c r="G531" s="308"/>
    </row>
    <row r="532">
      <c r="B532" s="72" t="s">
        <v>1772</v>
      </c>
      <c r="C532" s="308"/>
      <c r="D532" s="308"/>
      <c r="E532" s="308"/>
      <c r="F532" s="308"/>
      <c r="G532" s="308"/>
    </row>
    <row r="533">
      <c r="B533" s="72" t="s">
        <v>1773</v>
      </c>
      <c r="C533" s="308"/>
      <c r="D533" s="308"/>
      <c r="E533" s="308"/>
      <c r="F533" s="308"/>
      <c r="G533" s="308"/>
    </row>
    <row r="534">
      <c r="B534" s="72" t="s">
        <v>1774</v>
      </c>
      <c r="C534" s="308"/>
      <c r="D534" s="308"/>
      <c r="E534" s="308"/>
      <c r="F534" s="308"/>
      <c r="G534" s="308"/>
    </row>
    <row r="535">
      <c r="B535" s="72" t="s">
        <v>1775</v>
      </c>
      <c r="C535" s="308"/>
      <c r="D535" s="308"/>
      <c r="E535" s="308"/>
      <c r="F535" s="308"/>
      <c r="G535" s="308"/>
    </row>
    <row r="536">
      <c r="B536" s="72" t="s">
        <v>1776</v>
      </c>
      <c r="C536" s="308"/>
      <c r="D536" s="308"/>
      <c r="E536" s="308"/>
      <c r="F536" s="308"/>
      <c r="G536" s="308"/>
    </row>
    <row r="537">
      <c r="B537" s="72" t="s">
        <v>1777</v>
      </c>
      <c r="C537" s="308"/>
      <c r="D537" s="308"/>
      <c r="E537" s="308"/>
      <c r="F537" s="308"/>
      <c r="G537" s="308"/>
    </row>
    <row r="538">
      <c r="B538" s="308"/>
      <c r="C538" s="308"/>
      <c r="D538" s="308"/>
      <c r="E538" s="308"/>
      <c r="F538" s="308"/>
      <c r="G538" s="308"/>
    </row>
    <row r="539">
      <c r="B539" s="72" t="s">
        <v>1778</v>
      </c>
      <c r="C539" s="308"/>
      <c r="D539" s="308"/>
      <c r="E539" s="308"/>
      <c r="F539" s="308"/>
      <c r="G539" s="308"/>
    </row>
    <row r="540">
      <c r="B540" s="308"/>
      <c r="C540" s="308"/>
      <c r="D540" s="308"/>
      <c r="E540" s="308"/>
      <c r="F540" s="308"/>
      <c r="G540" s="308"/>
    </row>
    <row r="541">
      <c r="B541" s="72" t="s">
        <v>1779</v>
      </c>
      <c r="C541" s="308"/>
      <c r="D541" s="308"/>
      <c r="E541" s="308"/>
      <c r="F541" s="308"/>
      <c r="G541" s="308"/>
    </row>
    <row r="542">
      <c r="B542" s="308"/>
      <c r="C542" s="308"/>
      <c r="D542" s="308"/>
      <c r="E542" s="308"/>
      <c r="F542" s="308"/>
      <c r="G542" s="308"/>
    </row>
    <row r="543">
      <c r="B543" s="72" t="s">
        <v>1502</v>
      </c>
      <c r="C543" s="308"/>
      <c r="D543" s="308"/>
      <c r="E543" s="308"/>
      <c r="F543" s="308"/>
      <c r="G543" s="308"/>
    </row>
    <row r="544">
      <c r="B544" s="308"/>
      <c r="C544" s="308"/>
      <c r="D544" s="308"/>
      <c r="E544" s="308"/>
      <c r="F544" s="308"/>
      <c r="G544" s="308"/>
    </row>
    <row r="545">
      <c r="B545" s="72" t="s">
        <v>1780</v>
      </c>
      <c r="C545" s="308"/>
      <c r="D545" s="308"/>
      <c r="E545" s="308"/>
      <c r="F545" s="308"/>
      <c r="G545" s="308"/>
    </row>
    <row r="546">
      <c r="B546" s="308"/>
      <c r="C546" s="308"/>
      <c r="D546" s="308"/>
      <c r="E546" s="308"/>
      <c r="F546" s="308"/>
      <c r="G546" s="308"/>
    </row>
    <row r="547">
      <c r="B547" s="72" t="s">
        <v>1781</v>
      </c>
      <c r="C547" s="308"/>
      <c r="D547" s="308"/>
      <c r="E547" s="308"/>
      <c r="F547" s="308"/>
      <c r="G547" s="308"/>
    </row>
    <row r="548">
      <c r="B548" s="308"/>
      <c r="C548" s="308"/>
      <c r="D548" s="308"/>
      <c r="E548" s="308"/>
      <c r="F548" s="308"/>
      <c r="G548" s="308"/>
    </row>
    <row r="549">
      <c r="B549" s="72" t="s">
        <v>1476</v>
      </c>
      <c r="C549" s="308"/>
      <c r="D549" s="308"/>
      <c r="E549" s="308"/>
      <c r="F549" s="308"/>
      <c r="G549" s="308"/>
    </row>
    <row r="550">
      <c r="B550" s="308"/>
      <c r="C550" s="308"/>
      <c r="D550" s="308"/>
      <c r="E550" s="308"/>
      <c r="F550" s="308"/>
      <c r="G550" s="308"/>
    </row>
    <row r="551">
      <c r="B551" s="72" t="s">
        <v>1782</v>
      </c>
      <c r="C551" s="308"/>
      <c r="D551" s="308"/>
      <c r="E551" s="308"/>
      <c r="F551" s="308"/>
      <c r="G551" s="308"/>
    </row>
    <row r="552">
      <c r="B552" s="72" t="s">
        <v>1783</v>
      </c>
      <c r="C552" s="308"/>
      <c r="D552" s="308"/>
      <c r="E552" s="308"/>
      <c r="F552" s="308"/>
      <c r="G552" s="308"/>
    </row>
    <row r="553">
      <c r="B553" s="308"/>
      <c r="C553" s="308"/>
      <c r="D553" s="308"/>
      <c r="E553" s="308"/>
      <c r="F553" s="308"/>
      <c r="G553" s="308"/>
    </row>
    <row r="554">
      <c r="B554" s="72" t="s">
        <v>1784</v>
      </c>
      <c r="C554" s="308"/>
      <c r="D554" s="308"/>
      <c r="E554" s="308"/>
      <c r="F554" s="308"/>
      <c r="G554" s="308"/>
    </row>
    <row r="555">
      <c r="B555" s="72" t="s">
        <v>1486</v>
      </c>
      <c r="C555" s="308"/>
      <c r="D555" s="308"/>
      <c r="E555" s="308"/>
      <c r="F555" s="308"/>
      <c r="G555" s="308"/>
    </row>
    <row r="556">
      <c r="B556" s="72" t="s">
        <v>1785</v>
      </c>
      <c r="C556" s="308"/>
      <c r="D556" s="308"/>
      <c r="E556" s="308"/>
      <c r="F556" s="308"/>
      <c r="G556" s="308"/>
    </row>
    <row r="557">
      <c r="B557" s="72" t="s">
        <v>1786</v>
      </c>
      <c r="C557" s="308"/>
      <c r="D557" s="308"/>
      <c r="E557" s="308"/>
      <c r="F557" s="308"/>
      <c r="G557" s="308"/>
    </row>
    <row r="558">
      <c r="B558" s="72" t="s">
        <v>1787</v>
      </c>
      <c r="C558" s="308"/>
      <c r="D558" s="308"/>
      <c r="E558" s="308"/>
      <c r="F558" s="308"/>
      <c r="G558" s="308"/>
    </row>
    <row r="559">
      <c r="B559" s="308"/>
      <c r="C559" s="308"/>
      <c r="D559" s="308"/>
      <c r="E559" s="308"/>
      <c r="F559" s="308"/>
      <c r="G559" s="308"/>
    </row>
    <row r="560">
      <c r="B560" s="72" t="s">
        <v>1788</v>
      </c>
      <c r="C560" s="308"/>
      <c r="D560" s="308"/>
      <c r="E560" s="308"/>
      <c r="F560" s="308"/>
      <c r="G560" s="308"/>
    </row>
    <row r="561">
      <c r="B561" s="308"/>
      <c r="C561" s="308"/>
      <c r="D561" s="308"/>
      <c r="E561" s="308"/>
      <c r="F561" s="308"/>
      <c r="G561" s="308"/>
    </row>
    <row r="562">
      <c r="B562" s="72" t="s">
        <v>1789</v>
      </c>
      <c r="C562" s="308"/>
      <c r="D562" s="308"/>
      <c r="E562" s="308"/>
      <c r="F562" s="308"/>
      <c r="G562" s="308"/>
    </row>
    <row r="563">
      <c r="B563" s="308"/>
      <c r="C563" s="308"/>
      <c r="D563" s="308"/>
      <c r="E563" s="308"/>
      <c r="F563" s="308"/>
      <c r="G563" s="308"/>
    </row>
    <row r="564">
      <c r="B564" s="72" t="s">
        <v>1790</v>
      </c>
      <c r="C564" s="308"/>
      <c r="D564" s="308"/>
      <c r="E564" s="308"/>
      <c r="F564" s="308"/>
      <c r="G564" s="308"/>
    </row>
    <row r="565">
      <c r="B565" s="72" t="s">
        <v>1791</v>
      </c>
      <c r="C565" s="308"/>
      <c r="D565" s="308"/>
      <c r="E565" s="308"/>
      <c r="F565" s="308"/>
      <c r="G565" s="308"/>
    </row>
    <row r="566">
      <c r="B566" s="72" t="s">
        <v>1589</v>
      </c>
      <c r="C566" s="308"/>
      <c r="D566" s="308"/>
      <c r="E566" s="308"/>
      <c r="F566" s="308"/>
      <c r="G566" s="308"/>
    </row>
    <row r="567">
      <c r="B567" s="72" t="s">
        <v>1792</v>
      </c>
      <c r="C567" s="308"/>
      <c r="D567" s="308"/>
      <c r="E567" s="308"/>
      <c r="F567" s="308"/>
      <c r="G567" s="308"/>
    </row>
    <row r="568">
      <c r="B568" s="72" t="s">
        <v>1793</v>
      </c>
      <c r="C568" s="308"/>
      <c r="D568" s="308"/>
      <c r="E568" s="308"/>
      <c r="F568" s="308"/>
      <c r="G568" s="308"/>
    </row>
    <row r="569">
      <c r="B569" s="72" t="s">
        <v>1794</v>
      </c>
      <c r="C569" s="308"/>
      <c r="D569" s="308"/>
      <c r="E569" s="308"/>
      <c r="F569" s="308"/>
      <c r="G569" s="308"/>
    </row>
    <row r="570">
      <c r="B570" s="72" t="s">
        <v>1795</v>
      </c>
      <c r="C570" s="308"/>
      <c r="D570" s="308"/>
      <c r="E570" s="308"/>
      <c r="F570" s="308"/>
      <c r="G570" s="308"/>
    </row>
    <row r="571">
      <c r="B571" s="72" t="s">
        <v>1796</v>
      </c>
      <c r="C571" s="308"/>
      <c r="D571" s="308"/>
      <c r="E571" s="308"/>
      <c r="F571" s="308"/>
      <c r="G571" s="308"/>
    </row>
    <row r="572">
      <c r="B572" s="72" t="s">
        <v>1797</v>
      </c>
      <c r="C572" s="308"/>
      <c r="D572" s="308"/>
      <c r="E572" s="308"/>
      <c r="F572" s="308"/>
      <c r="G572" s="308"/>
    </row>
    <row r="573">
      <c r="B573" s="72" t="s">
        <v>1798</v>
      </c>
      <c r="C573" s="308"/>
      <c r="D573" s="308"/>
      <c r="E573" s="308"/>
      <c r="F573" s="308"/>
      <c r="G573" s="308"/>
    </row>
    <row r="574">
      <c r="B574" s="72" t="s">
        <v>1799</v>
      </c>
      <c r="C574" s="308"/>
      <c r="D574" s="308"/>
      <c r="E574" s="308"/>
      <c r="F574" s="308"/>
      <c r="G574" s="308"/>
    </row>
    <row r="575">
      <c r="B575" s="72" t="s">
        <v>1800</v>
      </c>
      <c r="C575" s="308"/>
      <c r="D575" s="308"/>
      <c r="E575" s="308"/>
      <c r="F575" s="308"/>
      <c r="G575" s="308"/>
    </row>
    <row r="576">
      <c r="B576" s="72" t="s">
        <v>1801</v>
      </c>
      <c r="C576" s="308"/>
      <c r="D576" s="308"/>
      <c r="E576" s="308"/>
      <c r="F576" s="308"/>
      <c r="G576" s="308"/>
    </row>
    <row r="577">
      <c r="B577" s="72" t="s">
        <v>1802</v>
      </c>
      <c r="C577" s="308"/>
      <c r="D577" s="308"/>
      <c r="E577" s="308"/>
      <c r="F577" s="308"/>
      <c r="G577" s="308"/>
    </row>
    <row r="578">
      <c r="B578" s="308"/>
      <c r="C578" s="308"/>
      <c r="D578" s="308"/>
      <c r="E578" s="308"/>
      <c r="F578" s="308"/>
      <c r="G578" s="308"/>
    </row>
    <row r="579">
      <c r="B579" s="72" t="s">
        <v>1502</v>
      </c>
      <c r="C579" s="308"/>
      <c r="D579" s="308"/>
      <c r="E579" s="308"/>
      <c r="F579" s="308"/>
      <c r="G579" s="308"/>
    </row>
    <row r="580">
      <c r="B580" s="308"/>
      <c r="C580" s="308"/>
      <c r="D580" s="308"/>
      <c r="E580" s="308"/>
      <c r="F580" s="308"/>
      <c r="G580" s="308"/>
    </row>
    <row r="581">
      <c r="B581" s="72" t="s">
        <v>1803</v>
      </c>
      <c r="C581" s="308"/>
      <c r="D581" s="308"/>
      <c r="E581" s="308"/>
      <c r="F581" s="308"/>
      <c r="G581" s="308"/>
    </row>
    <row r="582">
      <c r="B582" s="308"/>
      <c r="C582" s="308"/>
      <c r="D582" s="308"/>
      <c r="E582" s="308"/>
      <c r="F582" s="308"/>
      <c r="G582" s="308"/>
    </row>
    <row r="583">
      <c r="B583" s="72" t="s">
        <v>1804</v>
      </c>
      <c r="C583" s="308"/>
      <c r="D583" s="308"/>
      <c r="E583" s="308"/>
      <c r="F583" s="308"/>
      <c r="G583" s="308"/>
    </row>
    <row r="584">
      <c r="B584" s="308"/>
      <c r="C584" s="308"/>
      <c r="D584" s="308"/>
      <c r="E584" s="308"/>
      <c r="F584" s="308"/>
      <c r="G584" s="308"/>
    </row>
    <row r="585">
      <c r="B585" s="72" t="s">
        <v>1805</v>
      </c>
      <c r="C585" s="308"/>
      <c r="D585" s="308"/>
      <c r="E585" s="308"/>
      <c r="F585" s="308"/>
      <c r="G585" s="308"/>
    </row>
    <row r="586">
      <c r="B586" s="308"/>
      <c r="C586" s="308"/>
      <c r="D586" s="308"/>
      <c r="E586" s="308"/>
      <c r="F586" s="308"/>
      <c r="G586" s="308"/>
    </row>
    <row r="587">
      <c r="B587" s="312">
        <v>1185.0</v>
      </c>
      <c r="C587" s="308"/>
      <c r="D587" s="308"/>
      <c r="E587" s="308"/>
      <c r="F587" s="308"/>
      <c r="G587" s="308"/>
    </row>
    <row r="588">
      <c r="B588" s="308"/>
      <c r="C588" s="308"/>
      <c r="D588" s="308"/>
      <c r="E588" s="308"/>
      <c r="F588" s="308"/>
      <c r="G588" s="308"/>
    </row>
    <row r="589">
      <c r="B589" s="72" t="s">
        <v>1806</v>
      </c>
      <c r="C589" s="308"/>
      <c r="D589" s="308"/>
      <c r="E589" s="308"/>
      <c r="F589" s="308"/>
      <c r="G589" s="308"/>
    </row>
    <row r="590">
      <c r="B590" s="308"/>
      <c r="C590" s="308"/>
      <c r="D590" s="308"/>
      <c r="E590" s="308"/>
      <c r="F590" s="308"/>
      <c r="G590" s="308"/>
    </row>
    <row r="591">
      <c r="B591" s="312">
        <v>1274.0</v>
      </c>
      <c r="C591" s="308"/>
      <c r="D591" s="308"/>
      <c r="E591" s="308"/>
      <c r="F591" s="308"/>
      <c r="G591" s="308"/>
    </row>
    <row r="592">
      <c r="B592" s="308"/>
      <c r="C592" s="308"/>
      <c r="D592" s="308"/>
      <c r="E592" s="308"/>
      <c r="F592" s="308"/>
      <c r="G592" s="308"/>
    </row>
    <row r="593">
      <c r="B593" s="72" t="s">
        <v>1807</v>
      </c>
      <c r="C593" s="308"/>
      <c r="D593" s="308"/>
      <c r="E593" s="308"/>
      <c r="F593" s="308"/>
      <c r="G593" s="308"/>
    </row>
    <row r="594">
      <c r="B594" s="308"/>
      <c r="C594" s="308"/>
      <c r="D594" s="308"/>
      <c r="E594" s="308"/>
      <c r="F594" s="308"/>
      <c r="G594" s="308"/>
    </row>
    <row r="595">
      <c r="B595" s="72" t="s">
        <v>1476</v>
      </c>
      <c r="C595" s="308"/>
      <c r="D595" s="308"/>
      <c r="E595" s="308"/>
      <c r="F595" s="308"/>
      <c r="G595" s="308"/>
    </row>
    <row r="596">
      <c r="B596" s="308"/>
      <c r="C596" s="308"/>
      <c r="D596" s="308"/>
      <c r="E596" s="308"/>
      <c r="F596" s="308"/>
      <c r="G596" s="308"/>
    </row>
    <row r="597">
      <c r="B597" s="72" t="s">
        <v>1809</v>
      </c>
      <c r="C597" s="308"/>
      <c r="D597" s="308"/>
      <c r="E597" s="308"/>
      <c r="F597" s="308"/>
      <c r="G597" s="308"/>
    </row>
    <row r="598">
      <c r="B598" s="72" t="s">
        <v>1723</v>
      </c>
      <c r="C598" s="308"/>
      <c r="D598" s="308"/>
      <c r="E598" s="308"/>
      <c r="F598" s="308"/>
      <c r="G598" s="308"/>
    </row>
    <row r="599">
      <c r="B599" s="308"/>
      <c r="C599" s="308"/>
      <c r="D599" s="308"/>
      <c r="E599" s="308"/>
      <c r="F599" s="308"/>
      <c r="G599" s="308"/>
    </row>
    <row r="600">
      <c r="B600" s="72" t="s">
        <v>1810</v>
      </c>
      <c r="C600" s="308"/>
      <c r="D600" s="308"/>
      <c r="E600" s="308"/>
      <c r="F600" s="308"/>
      <c r="G600" s="308"/>
    </row>
    <row r="601">
      <c r="B601" s="72" t="s">
        <v>1811</v>
      </c>
      <c r="C601" s="308"/>
      <c r="D601" s="308"/>
      <c r="E601" s="308"/>
      <c r="F601" s="308"/>
      <c r="G601" s="308"/>
    </row>
    <row r="602">
      <c r="B602" s="72" t="s">
        <v>1812</v>
      </c>
      <c r="C602" s="308"/>
      <c r="D602" s="308"/>
      <c r="E602" s="308"/>
      <c r="F602" s="308"/>
      <c r="G602" s="308"/>
    </row>
    <row r="603">
      <c r="B603" s="72" t="s">
        <v>1814</v>
      </c>
      <c r="C603" s="308"/>
      <c r="D603" s="308"/>
      <c r="E603" s="308"/>
      <c r="F603" s="308"/>
      <c r="G603" s="308"/>
    </row>
    <row r="604">
      <c r="B604" s="72" t="s">
        <v>1815</v>
      </c>
      <c r="C604" s="308"/>
      <c r="D604" s="308"/>
      <c r="E604" s="308"/>
      <c r="F604" s="308"/>
      <c r="G604" s="308"/>
    </row>
    <row r="605">
      <c r="B605" s="308"/>
      <c r="C605" s="308"/>
      <c r="D605" s="308"/>
      <c r="E605" s="308"/>
      <c r="F605" s="308"/>
      <c r="G605" s="308"/>
    </row>
    <row r="606">
      <c r="B606" s="72" t="s">
        <v>1816</v>
      </c>
      <c r="C606" s="308"/>
      <c r="D606" s="308"/>
      <c r="E606" s="308"/>
      <c r="F606" s="308"/>
      <c r="G606" s="308"/>
    </row>
    <row r="607">
      <c r="B607" s="72" t="s">
        <v>1817</v>
      </c>
      <c r="C607" s="308"/>
      <c r="D607" s="308"/>
      <c r="E607" s="308"/>
      <c r="F607" s="308"/>
      <c r="G607" s="308"/>
    </row>
    <row r="608">
      <c r="B608" s="72" t="s">
        <v>1818</v>
      </c>
      <c r="C608" s="308"/>
      <c r="D608" s="308"/>
      <c r="E608" s="308"/>
      <c r="F608" s="308"/>
      <c r="G608" s="308"/>
    </row>
    <row r="609">
      <c r="B609" s="308"/>
      <c r="C609" s="308"/>
      <c r="D609" s="308"/>
      <c r="E609" s="308"/>
      <c r="F609" s="308"/>
      <c r="G609" s="308"/>
    </row>
    <row r="610">
      <c r="B610" s="72" t="s">
        <v>1819</v>
      </c>
      <c r="C610" s="308"/>
      <c r="D610" s="308"/>
      <c r="E610" s="308"/>
      <c r="F610" s="308"/>
      <c r="G610" s="308"/>
    </row>
    <row r="611">
      <c r="B611" s="308"/>
      <c r="C611" s="308"/>
      <c r="D611" s="308"/>
      <c r="E611" s="308"/>
      <c r="F611" s="308"/>
      <c r="G611" s="308"/>
    </row>
    <row r="612">
      <c r="B612" s="72" t="s">
        <v>1820</v>
      </c>
      <c r="C612" s="308"/>
      <c r="D612" s="308"/>
      <c r="E612" s="308"/>
      <c r="F612" s="308"/>
      <c r="G612" s="308"/>
    </row>
    <row r="613">
      <c r="B613" s="308"/>
      <c r="C613" s="308"/>
      <c r="D613" s="308"/>
      <c r="E613" s="308"/>
      <c r="F613" s="308"/>
      <c r="G613" s="308"/>
    </row>
    <row r="614">
      <c r="B614" s="72" t="s">
        <v>1821</v>
      </c>
      <c r="C614" s="308"/>
      <c r="D614" s="308"/>
      <c r="E614" s="308"/>
      <c r="F614" s="308"/>
      <c r="G614" s="308"/>
    </row>
    <row r="615">
      <c r="B615" s="72" t="s">
        <v>1589</v>
      </c>
      <c r="C615" s="308"/>
      <c r="D615" s="308"/>
      <c r="E615" s="308"/>
      <c r="F615" s="308"/>
      <c r="G615" s="308"/>
    </row>
    <row r="616">
      <c r="B616" s="310" t="s">
        <v>1047</v>
      </c>
      <c r="C616" s="310" t="s">
        <v>1663</v>
      </c>
      <c r="D616" s="308"/>
      <c r="E616" s="308"/>
      <c r="F616" s="308"/>
      <c r="G616" s="308"/>
    </row>
    <row r="617">
      <c r="B617" s="72" t="s">
        <v>1822</v>
      </c>
      <c r="C617" s="72" t="s">
        <v>1823</v>
      </c>
      <c r="D617" s="308"/>
      <c r="E617" s="308"/>
      <c r="F617" s="308"/>
      <c r="G617" s="308"/>
    </row>
    <row r="618">
      <c r="B618" s="72" t="s">
        <v>1824</v>
      </c>
      <c r="C618" s="72" t="s">
        <v>1825</v>
      </c>
      <c r="D618" s="308"/>
      <c r="E618" s="308"/>
      <c r="F618" s="308"/>
      <c r="G618" s="308"/>
    </row>
    <row r="619">
      <c r="B619" s="72" t="s">
        <v>1826</v>
      </c>
      <c r="C619" s="72" t="s">
        <v>1248</v>
      </c>
      <c r="D619" s="308"/>
      <c r="E619" s="308"/>
      <c r="F619" s="308"/>
      <c r="G619" s="308"/>
    </row>
    <row r="620">
      <c r="B620" s="72" t="s">
        <v>1827</v>
      </c>
      <c r="C620" s="72" t="s">
        <v>1828</v>
      </c>
      <c r="D620" s="308"/>
      <c r="E620" s="308"/>
      <c r="F620" s="308"/>
      <c r="G620" s="308"/>
    </row>
    <row r="621">
      <c r="B621" s="72" t="s">
        <v>1829</v>
      </c>
      <c r="C621" s="72" t="s">
        <v>1094</v>
      </c>
      <c r="D621" s="308"/>
      <c r="E621" s="308"/>
      <c r="F621" s="308"/>
      <c r="G621" s="308"/>
    </row>
    <row r="622">
      <c r="B622" s="72" t="s">
        <v>1830</v>
      </c>
      <c r="C622" s="72" t="s">
        <v>1831</v>
      </c>
      <c r="D622" s="308"/>
      <c r="E622" s="308"/>
      <c r="F622" s="308"/>
      <c r="G622" s="308"/>
    </row>
    <row r="623">
      <c r="B623" s="72" t="s">
        <v>1832</v>
      </c>
      <c r="C623" s="72" t="s">
        <v>1674</v>
      </c>
      <c r="D623" s="308"/>
      <c r="E623" s="308"/>
      <c r="F623" s="308"/>
      <c r="G623" s="308"/>
    </row>
    <row r="624">
      <c r="B624" s="72" t="s">
        <v>1833</v>
      </c>
      <c r="C624" s="72" t="s">
        <v>1634</v>
      </c>
      <c r="D624" s="308"/>
      <c r="E624" s="308"/>
      <c r="F624" s="308"/>
      <c r="G624" s="308"/>
    </row>
    <row r="625">
      <c r="B625" s="72" t="s">
        <v>1834</v>
      </c>
      <c r="C625" s="72" t="s">
        <v>1835</v>
      </c>
      <c r="D625" s="308"/>
      <c r="E625" s="308"/>
      <c r="F625" s="308"/>
      <c r="G625" s="308"/>
    </row>
    <row r="626">
      <c r="B626" s="72" t="s">
        <v>1836</v>
      </c>
      <c r="C626" s="72" t="s">
        <v>1837</v>
      </c>
      <c r="D626" s="308"/>
      <c r="E626" s="308"/>
      <c r="F626" s="308"/>
      <c r="G626" s="308"/>
    </row>
    <row r="627">
      <c r="B627" s="72" t="s">
        <v>1476</v>
      </c>
      <c r="C627" s="308"/>
      <c r="D627" s="308"/>
      <c r="E627" s="308"/>
      <c r="F627" s="308"/>
      <c r="G627" s="308"/>
    </row>
    <row r="628">
      <c r="B628" s="308"/>
      <c r="C628" s="308"/>
      <c r="D628" s="308"/>
      <c r="E628" s="308"/>
      <c r="F628" s="308"/>
      <c r="G628" s="308"/>
    </row>
    <row r="629">
      <c r="B629" s="72" t="s">
        <v>1426</v>
      </c>
      <c r="C629" s="308"/>
      <c r="D629" s="308"/>
      <c r="E629" s="308"/>
      <c r="F629" s="308"/>
      <c r="G629" s="308"/>
    </row>
    <row r="630">
      <c r="B630" s="308"/>
      <c r="C630" s="308"/>
      <c r="D630" s="308"/>
      <c r="E630" s="308"/>
      <c r="F630" s="308"/>
      <c r="G630" s="308"/>
    </row>
    <row r="631">
      <c r="B631" s="72" t="s">
        <v>1838</v>
      </c>
      <c r="C631" s="308"/>
      <c r="D631" s="308"/>
      <c r="E631" s="308"/>
      <c r="F631" s="308"/>
      <c r="G631" s="308"/>
    </row>
    <row r="632">
      <c r="B632" s="308"/>
      <c r="C632" s="308"/>
      <c r="D632" s="308"/>
      <c r="E632" s="308"/>
      <c r="F632" s="308"/>
      <c r="G632" s="308"/>
    </row>
    <row r="633">
      <c r="B633" s="72" t="s">
        <v>1428</v>
      </c>
      <c r="C633" s="308"/>
      <c r="D633" s="308"/>
      <c r="E633" s="308"/>
      <c r="F633" s="308"/>
      <c r="G633" s="308"/>
    </row>
    <row r="634">
      <c r="B634" s="308"/>
      <c r="C634" s="308"/>
      <c r="D634" s="308"/>
      <c r="E634" s="308"/>
      <c r="F634" s="308"/>
      <c r="G634" s="308"/>
    </row>
    <row r="635">
      <c r="B635" s="72" t="s">
        <v>1839</v>
      </c>
      <c r="C635" s="308"/>
      <c r="D635" s="308"/>
      <c r="E635" s="308"/>
      <c r="F635" s="308"/>
      <c r="G635" s="308"/>
    </row>
    <row r="636">
      <c r="B636" s="72" t="s">
        <v>1723</v>
      </c>
      <c r="C636" s="308"/>
      <c r="D636" s="308"/>
      <c r="E636" s="308"/>
      <c r="F636" s="308"/>
      <c r="G636" s="308"/>
    </row>
    <row r="637">
      <c r="B637" s="308"/>
      <c r="C637" s="308"/>
      <c r="D637" s="308"/>
      <c r="E637" s="308"/>
      <c r="F637" s="308"/>
      <c r="G637" s="308"/>
    </row>
    <row r="638">
      <c r="B638" s="72" t="s">
        <v>1840</v>
      </c>
      <c r="C638" s="308"/>
      <c r="D638" s="308"/>
      <c r="E638" s="308"/>
      <c r="F638" s="308"/>
      <c r="G638" s="308"/>
    </row>
    <row r="639">
      <c r="B639" s="72" t="s">
        <v>1842</v>
      </c>
      <c r="C639" s="308"/>
      <c r="D639" s="308"/>
      <c r="E639" s="308"/>
      <c r="F639" s="308"/>
      <c r="G639" s="308"/>
    </row>
    <row r="640">
      <c r="B640" s="72" t="s">
        <v>1702</v>
      </c>
      <c r="C640" s="308"/>
      <c r="D640" s="308"/>
      <c r="E640" s="308"/>
      <c r="F640" s="308"/>
      <c r="G640" s="308"/>
    </row>
    <row r="641">
      <c r="B641" s="72" t="s">
        <v>1653</v>
      </c>
      <c r="C641" s="308"/>
      <c r="D641" s="308"/>
      <c r="E641" s="308"/>
      <c r="F641" s="308"/>
      <c r="G641" s="308"/>
    </row>
    <row r="642">
      <c r="B642" s="72" t="s">
        <v>1843</v>
      </c>
      <c r="C642" s="308"/>
      <c r="D642" s="308"/>
      <c r="E642" s="308"/>
      <c r="F642" s="308"/>
      <c r="G642" s="308"/>
    </row>
    <row r="643">
      <c r="B643" s="72" t="s">
        <v>1844</v>
      </c>
      <c r="C643" s="308"/>
      <c r="D643" s="308"/>
      <c r="E643" s="308"/>
      <c r="F643" s="308"/>
      <c r="G643" s="308"/>
    </row>
    <row r="644">
      <c r="B644" s="308"/>
      <c r="C644" s="308"/>
      <c r="D644" s="308"/>
      <c r="E644" s="308"/>
      <c r="F644" s="308"/>
      <c r="G644" s="308"/>
    </row>
    <row r="645">
      <c r="B645" s="72" t="s">
        <v>1845</v>
      </c>
      <c r="C645" s="308"/>
      <c r="D645" s="308"/>
      <c r="E645" s="308"/>
      <c r="F645" s="308"/>
      <c r="G645" s="308"/>
    </row>
    <row r="646">
      <c r="B646" s="308"/>
      <c r="C646" s="308"/>
      <c r="D646" s="308"/>
      <c r="E646" s="308"/>
      <c r="F646" s="308"/>
      <c r="G646" s="308"/>
    </row>
    <row r="647">
      <c r="B647" s="72" t="s">
        <v>1846</v>
      </c>
      <c r="C647" s="308"/>
      <c r="D647" s="308"/>
      <c r="E647" s="308"/>
      <c r="F647" s="308"/>
      <c r="G647" s="308"/>
    </row>
    <row r="648">
      <c r="B648" s="308"/>
      <c r="C648" s="308"/>
      <c r="D648" s="308"/>
      <c r="E648" s="308"/>
      <c r="F648" s="308"/>
      <c r="G648" s="308"/>
    </row>
    <row r="649">
      <c r="B649" s="72" t="s">
        <v>1848</v>
      </c>
      <c r="C649" s="308"/>
      <c r="D649" s="308"/>
      <c r="E649" s="308"/>
      <c r="F649" s="308"/>
      <c r="G649" s="308"/>
    </row>
    <row r="650">
      <c r="B650" s="308"/>
      <c r="C650" s="308"/>
      <c r="D650" s="308"/>
      <c r="E650" s="308"/>
      <c r="F650" s="308"/>
      <c r="G650" s="308"/>
    </row>
    <row r="651">
      <c r="B651" s="72" t="s">
        <v>1849</v>
      </c>
      <c r="C651" s="308"/>
      <c r="D651" s="308"/>
      <c r="E651" s="308"/>
      <c r="F651" s="308"/>
      <c r="G651" s="308"/>
    </row>
    <row r="652">
      <c r="B652" s="308"/>
      <c r="C652" s="308"/>
      <c r="D652" s="308"/>
      <c r="E652" s="308"/>
      <c r="F652" s="308"/>
      <c r="G652" s="308"/>
    </row>
    <row r="653">
      <c r="B653" s="72" t="s">
        <v>1850</v>
      </c>
      <c r="C653" s="308"/>
      <c r="D653" s="308"/>
      <c r="E653" s="308"/>
      <c r="F653" s="308"/>
      <c r="G653" s="308"/>
    </row>
    <row r="654">
      <c r="B654" s="308"/>
      <c r="C654" s="308"/>
      <c r="D654" s="308"/>
      <c r="E654" s="308"/>
      <c r="F654" s="308"/>
      <c r="G654" s="308"/>
    </row>
    <row r="655">
      <c r="B655" s="72" t="s">
        <v>1851</v>
      </c>
      <c r="C655" s="308"/>
      <c r="D655" s="308"/>
      <c r="E655" s="308"/>
      <c r="F655" s="308"/>
      <c r="G655" s="308"/>
    </row>
    <row r="656">
      <c r="B656" s="308"/>
      <c r="C656" s="308"/>
      <c r="D656" s="308"/>
      <c r="E656" s="308"/>
      <c r="F656" s="308"/>
      <c r="G656" s="308"/>
    </row>
    <row r="657">
      <c r="B657" s="72" t="s">
        <v>1852</v>
      </c>
      <c r="C657" s="308"/>
      <c r="D657" s="308"/>
      <c r="E657" s="308"/>
      <c r="F657" s="308"/>
      <c r="G657" s="308"/>
    </row>
    <row r="658">
      <c r="B658" s="308"/>
      <c r="C658" s="308"/>
      <c r="D658" s="308"/>
      <c r="E658" s="308"/>
      <c r="F658" s="308"/>
      <c r="G658" s="308"/>
    </row>
    <row r="659">
      <c r="B659" s="72" t="s">
        <v>1853</v>
      </c>
      <c r="C659" s="308"/>
      <c r="D659" s="308"/>
      <c r="E659" s="308"/>
      <c r="F659" s="308"/>
      <c r="G659" s="308"/>
    </row>
    <row r="660">
      <c r="B660" s="308"/>
      <c r="C660" s="308"/>
      <c r="D660" s="308"/>
      <c r="E660" s="308"/>
      <c r="F660" s="308"/>
      <c r="G660" s="308"/>
    </row>
    <row r="661">
      <c r="B661" s="72" t="s">
        <v>1854</v>
      </c>
      <c r="C661" s="308"/>
      <c r="D661" s="308"/>
      <c r="E661" s="308"/>
      <c r="F661" s="308"/>
      <c r="G661" s="308"/>
    </row>
    <row r="662">
      <c r="B662" s="308"/>
      <c r="C662" s="308"/>
      <c r="D662" s="308"/>
      <c r="E662" s="308"/>
      <c r="F662" s="308"/>
      <c r="G662" s="308"/>
    </row>
    <row r="663">
      <c r="B663" s="72" t="s">
        <v>1855</v>
      </c>
      <c r="C663" s="308"/>
      <c r="D663" s="308"/>
      <c r="E663" s="308"/>
      <c r="F663" s="308"/>
      <c r="G663" s="308"/>
    </row>
    <row r="664">
      <c r="B664" s="308"/>
      <c r="C664" s="308"/>
      <c r="D664" s="308"/>
      <c r="E664" s="308"/>
      <c r="F664" s="308"/>
      <c r="G664" s="308"/>
    </row>
    <row r="665">
      <c r="B665" s="72" t="s">
        <v>1852</v>
      </c>
      <c r="C665" s="308"/>
      <c r="D665" s="308"/>
      <c r="E665" s="308"/>
      <c r="F665" s="308"/>
      <c r="G665" s="308"/>
    </row>
    <row r="666">
      <c r="B666" s="308"/>
      <c r="C666" s="308"/>
      <c r="D666" s="308"/>
      <c r="E666" s="308"/>
      <c r="F666" s="308"/>
      <c r="G666" s="308"/>
    </row>
    <row r="667">
      <c r="B667" s="72" t="s">
        <v>1856</v>
      </c>
      <c r="C667" s="308"/>
      <c r="D667" s="308"/>
      <c r="E667" s="308"/>
      <c r="F667" s="308"/>
      <c r="G667" s="308"/>
    </row>
    <row r="668">
      <c r="B668" s="308"/>
      <c r="C668" s="308"/>
      <c r="D668" s="308"/>
      <c r="E668" s="308"/>
      <c r="F668" s="308"/>
      <c r="G668" s="308"/>
    </row>
    <row r="669">
      <c r="B669" s="72" t="s">
        <v>1857</v>
      </c>
      <c r="C669" s="308"/>
      <c r="D669" s="308"/>
      <c r="E669" s="308"/>
      <c r="F669" s="308"/>
      <c r="G669" s="308"/>
    </row>
    <row r="670">
      <c r="B670" s="308"/>
      <c r="C670" s="308"/>
      <c r="D670" s="308"/>
      <c r="E670" s="308"/>
      <c r="F670" s="308"/>
      <c r="G670" s="308"/>
    </row>
    <row r="671">
      <c r="B671" s="72" t="s">
        <v>1858</v>
      </c>
      <c r="C671" s="308"/>
      <c r="D671" s="308"/>
      <c r="E671" s="308"/>
      <c r="F671" s="308"/>
      <c r="G671" s="308"/>
    </row>
    <row r="672">
      <c r="B672" s="308"/>
      <c r="C672" s="308"/>
      <c r="D672" s="308"/>
      <c r="E672" s="308"/>
      <c r="F672" s="308"/>
      <c r="G672" s="308"/>
    </row>
    <row r="673">
      <c r="B673" s="72" t="s">
        <v>1852</v>
      </c>
      <c r="C673" s="308"/>
      <c r="D673" s="308"/>
      <c r="E673" s="308"/>
      <c r="F673" s="308"/>
      <c r="G673" s="308"/>
    </row>
    <row r="674">
      <c r="B674" s="308"/>
      <c r="C674" s="308"/>
      <c r="D674" s="308"/>
      <c r="E674" s="308"/>
      <c r="F674" s="308"/>
      <c r="G674" s="308"/>
    </row>
    <row r="675">
      <c r="B675" s="72" t="s">
        <v>1859</v>
      </c>
      <c r="C675" s="308"/>
      <c r="D675" s="308"/>
      <c r="E675" s="308"/>
      <c r="F675" s="308"/>
      <c r="G675" s="308"/>
    </row>
    <row r="676">
      <c r="B676" s="308"/>
      <c r="C676" s="308"/>
      <c r="D676" s="308"/>
      <c r="E676" s="308"/>
      <c r="F676" s="308"/>
      <c r="G676" s="308"/>
    </row>
    <row r="677">
      <c r="B677" s="72" t="s">
        <v>1860</v>
      </c>
      <c r="C677" s="308"/>
      <c r="D677" s="308"/>
      <c r="E677" s="308"/>
      <c r="F677" s="308"/>
      <c r="G677" s="308"/>
    </row>
    <row r="678">
      <c r="B678" s="308"/>
      <c r="C678" s="308"/>
      <c r="D678" s="308"/>
      <c r="E678" s="308"/>
      <c r="F678" s="308"/>
      <c r="G678" s="308"/>
    </row>
    <row r="679">
      <c r="B679" s="72" t="s">
        <v>1861</v>
      </c>
      <c r="C679" s="308"/>
      <c r="D679" s="308"/>
      <c r="E679" s="308"/>
      <c r="F679" s="308"/>
      <c r="G679" s="308"/>
    </row>
    <row r="680">
      <c r="B680" s="308"/>
      <c r="C680" s="308"/>
      <c r="D680" s="308"/>
      <c r="E680" s="308"/>
      <c r="F680" s="308"/>
      <c r="G680" s="308"/>
    </row>
    <row r="681">
      <c r="B681" s="72" t="s">
        <v>1862</v>
      </c>
      <c r="C681" s="308"/>
      <c r="D681" s="308"/>
      <c r="E681" s="308"/>
      <c r="F681" s="308"/>
      <c r="G681" s="308"/>
    </row>
    <row r="682">
      <c r="B682" s="308"/>
      <c r="C682" s="308"/>
      <c r="D682" s="308"/>
      <c r="E682" s="308"/>
      <c r="F682" s="308"/>
      <c r="G682" s="308"/>
    </row>
    <row r="683">
      <c r="B683" s="310" t="s">
        <v>132</v>
      </c>
      <c r="C683" s="310" t="s">
        <v>1053</v>
      </c>
      <c r="D683" s="310" t="s">
        <v>1078</v>
      </c>
      <c r="E683" s="310" t="s">
        <v>1279</v>
      </c>
      <c r="F683" s="308"/>
      <c r="G683" s="308"/>
    </row>
    <row r="684">
      <c r="B684" s="72" t="s">
        <v>140</v>
      </c>
      <c r="C684" s="72" t="s">
        <v>9</v>
      </c>
      <c r="D684" s="72" t="s">
        <v>1248</v>
      </c>
      <c r="E684" s="72" t="s">
        <v>264</v>
      </c>
      <c r="F684" s="308"/>
      <c r="G684" s="308"/>
    </row>
    <row r="685">
      <c r="B685" s="72" t="s">
        <v>167</v>
      </c>
      <c r="C685" s="72" t="s">
        <v>1453</v>
      </c>
      <c r="D685" s="72" t="s">
        <v>1449</v>
      </c>
      <c r="E685" s="72" t="s">
        <v>1451</v>
      </c>
      <c r="F685" s="308"/>
      <c r="G685" s="308"/>
    </row>
    <row r="686">
      <c r="B686" s="72" t="s">
        <v>1863</v>
      </c>
      <c r="C686" s="72" t="s">
        <v>1864</v>
      </c>
      <c r="D686" s="72" t="s">
        <v>1865</v>
      </c>
      <c r="E686" s="72" t="s">
        <v>1545</v>
      </c>
      <c r="F686" s="308"/>
      <c r="G686" s="308"/>
    </row>
    <row r="687">
      <c r="B687" s="72" t="s">
        <v>1343</v>
      </c>
      <c r="C687" s="72" t="s">
        <v>1866</v>
      </c>
      <c r="D687" s="72" t="s">
        <v>1867</v>
      </c>
      <c r="E687" s="72" t="s">
        <v>1595</v>
      </c>
      <c r="F687" s="308"/>
      <c r="G687" s="308"/>
    </row>
    <row r="688">
      <c r="B688" s="72" t="s">
        <v>1547</v>
      </c>
      <c r="C688" s="72" t="s">
        <v>1868</v>
      </c>
      <c r="D688" s="72" t="s">
        <v>1869</v>
      </c>
      <c r="E688" s="72" t="s">
        <v>1870</v>
      </c>
      <c r="F688" s="308"/>
      <c r="G688" s="308"/>
    </row>
    <row r="689">
      <c r="B689" s="72" t="s">
        <v>1871</v>
      </c>
      <c r="C689" s="72" t="s">
        <v>1872</v>
      </c>
      <c r="D689" s="72" t="s">
        <v>1873</v>
      </c>
      <c r="E689" s="72" t="s">
        <v>1874</v>
      </c>
      <c r="F689" s="308"/>
      <c r="G689" s="308"/>
    </row>
    <row r="690">
      <c r="B690" s="72" t="s">
        <v>1345</v>
      </c>
      <c r="C690" s="72" t="s">
        <v>1876</v>
      </c>
      <c r="D690" s="72" t="s">
        <v>1877</v>
      </c>
      <c r="E690" s="72" t="s">
        <v>1878</v>
      </c>
      <c r="F690" s="308"/>
      <c r="G690" s="308"/>
    </row>
    <row r="691">
      <c r="B691" s="72" t="s">
        <v>1879</v>
      </c>
      <c r="C691" s="72" t="s">
        <v>1224</v>
      </c>
      <c r="D691" s="72" t="s">
        <v>381</v>
      </c>
      <c r="E691" s="72" t="s">
        <v>1738</v>
      </c>
      <c r="F691" s="308"/>
      <c r="G691" s="308"/>
    </row>
    <row r="692">
      <c r="B692" s="72" t="s">
        <v>1881</v>
      </c>
      <c r="C692" s="72" t="s">
        <v>1882</v>
      </c>
      <c r="D692" s="72" t="s">
        <v>1883</v>
      </c>
      <c r="E692" s="72" t="s">
        <v>1605</v>
      </c>
      <c r="F692" s="308"/>
      <c r="G692" s="308"/>
    </row>
    <row r="693">
      <c r="B693" s="72" t="s">
        <v>1884</v>
      </c>
      <c r="C693" s="72" t="s">
        <v>1885</v>
      </c>
      <c r="D693" s="72" t="s">
        <v>1886</v>
      </c>
      <c r="E693" s="72" t="s">
        <v>1887</v>
      </c>
      <c r="F693" s="308"/>
      <c r="G693" s="308"/>
    </row>
    <row r="694">
      <c r="B694" s="72" t="s">
        <v>1888</v>
      </c>
      <c r="C694" s="72" t="s">
        <v>1889</v>
      </c>
      <c r="D694" s="72" t="s">
        <v>1890</v>
      </c>
      <c r="E694" s="72" t="s">
        <v>1891</v>
      </c>
      <c r="F694" s="308"/>
      <c r="G694" s="308"/>
    </row>
    <row r="695">
      <c r="B695" s="308"/>
      <c r="C695" s="308"/>
      <c r="D695" s="308"/>
      <c r="E695" s="308"/>
      <c r="F695" s="308"/>
      <c r="G695" s="308"/>
    </row>
    <row r="696">
      <c r="B696" s="72" t="s">
        <v>1892</v>
      </c>
      <c r="C696" s="308"/>
      <c r="D696" s="308"/>
      <c r="E696" s="308"/>
      <c r="F696" s="308"/>
      <c r="G696" s="308"/>
    </row>
    <row r="697">
      <c r="B697" s="308"/>
      <c r="C697" s="308"/>
      <c r="D697" s="308"/>
      <c r="E697" s="308"/>
      <c r="F697" s="308"/>
      <c r="G697" s="308"/>
    </row>
    <row r="698">
      <c r="B698" s="72" t="s">
        <v>1893</v>
      </c>
      <c r="C698" s="308"/>
      <c r="D698" s="308"/>
      <c r="E698" s="308"/>
      <c r="F698" s="308"/>
      <c r="G698" s="308"/>
    </row>
    <row r="699">
      <c r="B699" s="308"/>
      <c r="C699" s="308"/>
      <c r="D699" s="308"/>
      <c r="E699" s="308"/>
      <c r="F699" s="308"/>
      <c r="G699" s="308"/>
    </row>
    <row r="700">
      <c r="B700" s="72" t="s">
        <v>1894</v>
      </c>
      <c r="C700" s="308"/>
      <c r="D700" s="308"/>
      <c r="E700" s="308"/>
      <c r="F700" s="308"/>
      <c r="G700" s="308"/>
    </row>
    <row r="701">
      <c r="B701" s="308"/>
      <c r="C701" s="308"/>
      <c r="D701" s="308"/>
      <c r="E701" s="308"/>
      <c r="F701" s="308"/>
      <c r="G701" s="308"/>
    </row>
    <row r="702">
      <c r="B702" s="72" t="s">
        <v>1895</v>
      </c>
      <c r="C702" s="308"/>
      <c r="D702" s="308"/>
      <c r="E702" s="308"/>
      <c r="F702" s="308"/>
      <c r="G702" s="308"/>
    </row>
    <row r="703">
      <c r="B703" s="308"/>
      <c r="C703" s="308"/>
      <c r="D703" s="308"/>
      <c r="E703" s="308"/>
      <c r="F703" s="308"/>
      <c r="G703" s="308"/>
    </row>
    <row r="704">
      <c r="B704" s="72" t="s">
        <v>1896</v>
      </c>
      <c r="C704" s="308"/>
      <c r="D704" s="308"/>
      <c r="E704" s="308"/>
      <c r="F704" s="308"/>
      <c r="G704" s="308"/>
    </row>
    <row r="705">
      <c r="B705" s="308"/>
      <c r="C705" s="308"/>
      <c r="D705" s="308"/>
      <c r="E705" s="308"/>
      <c r="F705" s="308"/>
      <c r="G705" s="308"/>
    </row>
    <row r="706">
      <c r="B706" s="72" t="s">
        <v>1684</v>
      </c>
      <c r="C706" s="308"/>
      <c r="D706" s="308"/>
      <c r="E706" s="308"/>
      <c r="F706" s="308"/>
      <c r="G706" s="308"/>
    </row>
    <row r="707">
      <c r="B707" s="308"/>
      <c r="C707" s="308"/>
      <c r="D707" s="308"/>
      <c r="E707" s="308"/>
      <c r="F707" s="308"/>
      <c r="G707" s="308"/>
    </row>
    <row r="708">
      <c r="B708" s="72" t="s">
        <v>1897</v>
      </c>
      <c r="C708" s="308"/>
      <c r="D708" s="308"/>
      <c r="E708" s="308"/>
      <c r="F708" s="308"/>
      <c r="G708" s="308"/>
    </row>
    <row r="709">
      <c r="B709" s="308"/>
      <c r="C709" s="308"/>
      <c r="D709" s="308"/>
      <c r="E709" s="308"/>
      <c r="F709" s="308"/>
      <c r="G709" s="308"/>
    </row>
    <row r="710">
      <c r="B710" s="72" t="s">
        <v>1898</v>
      </c>
      <c r="C710" s="308"/>
      <c r="D710" s="308"/>
      <c r="E710" s="308"/>
      <c r="F710" s="308"/>
      <c r="G710" s="308"/>
    </row>
    <row r="711">
      <c r="B711" s="308"/>
      <c r="C711" s="308"/>
      <c r="D711" s="308"/>
      <c r="E711" s="308"/>
      <c r="F711" s="308"/>
      <c r="G711" s="308"/>
    </row>
    <row r="712">
      <c r="B712" s="72" t="s">
        <v>1899</v>
      </c>
      <c r="C712" s="308"/>
      <c r="D712" s="308"/>
      <c r="E712" s="308"/>
      <c r="F712" s="308"/>
      <c r="G712" s="308"/>
    </row>
    <row r="713">
      <c r="B713" s="308"/>
      <c r="C713" s="308"/>
      <c r="D713" s="308"/>
      <c r="E713" s="308"/>
      <c r="F713" s="308"/>
      <c r="G713" s="308"/>
    </row>
    <row r="714">
      <c r="B714" s="72" t="s">
        <v>1900</v>
      </c>
      <c r="C714" s="308"/>
      <c r="D714" s="308"/>
      <c r="E714" s="308"/>
      <c r="F714" s="308"/>
      <c r="G714" s="308"/>
    </row>
    <row r="715">
      <c r="B715" s="310" t="s">
        <v>132</v>
      </c>
      <c r="C715" s="310" t="s">
        <v>1901</v>
      </c>
      <c r="D715" s="308"/>
      <c r="E715" s="308"/>
      <c r="F715" s="308"/>
      <c r="G715" s="308"/>
    </row>
    <row r="716">
      <c r="B716" s="72" t="s">
        <v>140</v>
      </c>
      <c r="C716" s="72" t="s">
        <v>1902</v>
      </c>
      <c r="D716" s="308"/>
      <c r="E716" s="308"/>
      <c r="F716" s="308"/>
      <c r="G716" s="308"/>
    </row>
    <row r="717">
      <c r="B717" s="72" t="s">
        <v>167</v>
      </c>
      <c r="C717" s="72" t="s">
        <v>1903</v>
      </c>
      <c r="D717" s="308"/>
      <c r="E717" s="308"/>
      <c r="F717" s="308"/>
      <c r="G717" s="308"/>
    </row>
    <row r="718">
      <c r="B718" s="72" t="s">
        <v>1863</v>
      </c>
      <c r="C718" s="72" t="s">
        <v>1904</v>
      </c>
      <c r="D718" s="308"/>
      <c r="E718" s="308"/>
      <c r="F718" s="308"/>
      <c r="G718" s="308"/>
    </row>
    <row r="719">
      <c r="B719" s="72" t="s">
        <v>1343</v>
      </c>
      <c r="C719" s="72" t="s">
        <v>1905</v>
      </c>
      <c r="D719" s="308"/>
      <c r="E719" s="308"/>
      <c r="F719" s="308"/>
      <c r="G719" s="308"/>
    </row>
    <row r="720">
      <c r="B720" s="72" t="s">
        <v>1547</v>
      </c>
      <c r="C720" s="72" t="s">
        <v>1907</v>
      </c>
      <c r="D720" s="308"/>
      <c r="E720" s="308"/>
      <c r="F720" s="308"/>
      <c r="G720" s="308"/>
    </row>
    <row r="721">
      <c r="B721" s="72" t="s">
        <v>1871</v>
      </c>
      <c r="C721" s="72" t="s">
        <v>1908</v>
      </c>
      <c r="D721" s="308"/>
      <c r="E721" s="308"/>
      <c r="F721" s="308"/>
      <c r="G721" s="308"/>
    </row>
    <row r="722">
      <c r="B722" s="72" t="s">
        <v>1345</v>
      </c>
      <c r="C722" s="72" t="s">
        <v>1910</v>
      </c>
      <c r="D722" s="308"/>
      <c r="E722" s="308"/>
      <c r="F722" s="308"/>
      <c r="G722" s="308"/>
    </row>
    <row r="723">
      <c r="B723" s="72" t="s">
        <v>1879</v>
      </c>
      <c r="C723" s="72" t="s">
        <v>1911</v>
      </c>
      <c r="D723" s="308"/>
      <c r="E723" s="308"/>
      <c r="F723" s="308"/>
      <c r="G723" s="308"/>
    </row>
    <row r="724">
      <c r="B724" s="72" t="s">
        <v>1881</v>
      </c>
      <c r="C724" s="72" t="s">
        <v>1912</v>
      </c>
      <c r="D724" s="308"/>
      <c r="E724" s="308"/>
      <c r="F724" s="308"/>
      <c r="G724" s="308"/>
    </row>
    <row r="725">
      <c r="B725" s="72" t="s">
        <v>1884</v>
      </c>
      <c r="C725" s="72" t="s">
        <v>1913</v>
      </c>
      <c r="D725" s="308"/>
      <c r="E725" s="308"/>
      <c r="F725" s="308"/>
      <c r="G725" s="308"/>
    </row>
    <row r="726">
      <c r="B726" s="72" t="s">
        <v>1888</v>
      </c>
      <c r="C726" s="72" t="s">
        <v>1914</v>
      </c>
      <c r="D726" s="308"/>
      <c r="E726" s="308"/>
      <c r="F726" s="308"/>
      <c r="G726" s="308"/>
    </row>
    <row r="727">
      <c r="B727" s="308"/>
      <c r="C727" s="308"/>
      <c r="D727" s="308"/>
      <c r="E727" s="308"/>
      <c r="F727" s="308"/>
      <c r="G727" s="308"/>
    </row>
    <row r="728">
      <c r="B728" s="72" t="s">
        <v>1915</v>
      </c>
      <c r="C728" s="308"/>
      <c r="D728" s="308"/>
      <c r="E728" s="308"/>
      <c r="F728" s="308"/>
      <c r="G728" s="308"/>
    </row>
    <row r="729">
      <c r="B729" s="308"/>
      <c r="C729" s="308"/>
      <c r="D729" s="308"/>
      <c r="E729" s="308"/>
      <c r="F729" s="308"/>
      <c r="G729" s="308"/>
    </row>
    <row r="730">
      <c r="B730" s="72" t="s">
        <v>1916</v>
      </c>
      <c r="C730" s="308"/>
      <c r="D730" s="308"/>
      <c r="E730" s="308"/>
      <c r="F730" s="308"/>
      <c r="G730" s="308"/>
    </row>
    <row r="731">
      <c r="B731" s="308"/>
      <c r="C731" s="308"/>
      <c r="D731" s="308"/>
      <c r="E731" s="308"/>
      <c r="F731" s="308"/>
      <c r="G731" s="308"/>
    </row>
    <row r="732">
      <c r="B732" s="72" t="s">
        <v>1917</v>
      </c>
      <c r="C732" s="308"/>
      <c r="D732" s="308"/>
      <c r="E732" s="308"/>
      <c r="F732" s="308"/>
      <c r="G732" s="308"/>
    </row>
    <row r="733">
      <c r="B733" s="308"/>
      <c r="C733" s="308"/>
      <c r="D733" s="308"/>
      <c r="E733" s="308"/>
      <c r="F733" s="308"/>
      <c r="G733" s="308"/>
    </row>
    <row r="734">
      <c r="B734" s="72" t="s">
        <v>1918</v>
      </c>
      <c r="C734" s="308"/>
      <c r="D734" s="308"/>
      <c r="E734" s="308"/>
      <c r="F734" s="308"/>
      <c r="G734" s="308"/>
    </row>
    <row r="735">
      <c r="B735" s="308"/>
      <c r="C735" s="308"/>
      <c r="D735" s="308"/>
      <c r="E735" s="308"/>
      <c r="F735" s="308"/>
      <c r="G735" s="308"/>
    </row>
    <row r="736">
      <c r="B736" s="72" t="s">
        <v>1502</v>
      </c>
      <c r="C736" s="308"/>
      <c r="D736" s="308"/>
      <c r="E736" s="308"/>
      <c r="F736" s="308"/>
      <c r="G736" s="308"/>
    </row>
    <row r="737">
      <c r="B737" s="308"/>
      <c r="C737" s="308"/>
      <c r="D737" s="308"/>
      <c r="E737" s="308"/>
      <c r="F737" s="308"/>
      <c r="G737" s="308"/>
    </row>
    <row r="738">
      <c r="B738" s="72" t="s">
        <v>140</v>
      </c>
      <c r="C738" s="308"/>
      <c r="D738" s="308"/>
      <c r="E738" s="308"/>
      <c r="F738" s="308"/>
      <c r="G738" s="308"/>
    </row>
    <row r="739">
      <c r="B739" s="308"/>
      <c r="C739" s="308"/>
      <c r="D739" s="308"/>
      <c r="E739" s="308"/>
      <c r="F739" s="308"/>
      <c r="G739" s="308"/>
    </row>
    <row r="740">
      <c r="B740" s="72" t="s">
        <v>1919</v>
      </c>
      <c r="C740" s="308"/>
      <c r="D740" s="308"/>
      <c r="E740" s="308"/>
      <c r="F740" s="308"/>
      <c r="G740" s="308"/>
    </row>
    <row r="741">
      <c r="B741" s="308"/>
      <c r="C741" s="308"/>
      <c r="D741" s="308"/>
      <c r="E741" s="308"/>
      <c r="F741" s="308"/>
      <c r="G741" s="308"/>
    </row>
    <row r="742">
      <c r="B742" s="72" t="s">
        <v>1863</v>
      </c>
      <c r="C742" s="308"/>
      <c r="D742" s="308"/>
      <c r="E742" s="308"/>
      <c r="F742" s="308"/>
      <c r="G742" s="308"/>
    </row>
    <row r="743">
      <c r="B743" s="308"/>
      <c r="C743" s="308"/>
      <c r="D743" s="308"/>
      <c r="E743" s="308"/>
      <c r="F743" s="308"/>
      <c r="G743" s="308"/>
    </row>
    <row r="744">
      <c r="B744" s="72" t="s">
        <v>1920</v>
      </c>
      <c r="C744" s="308"/>
      <c r="D744" s="308"/>
      <c r="E744" s="308"/>
      <c r="F744" s="308"/>
      <c r="G744" s="308"/>
    </row>
    <row r="745">
      <c r="B745" s="308"/>
      <c r="C745" s="308"/>
      <c r="D745" s="308"/>
      <c r="E745" s="308"/>
      <c r="F745" s="308"/>
      <c r="G745" s="308"/>
    </row>
    <row r="746">
      <c r="B746" s="72" t="s">
        <v>1343</v>
      </c>
      <c r="C746" s="308"/>
      <c r="D746" s="308"/>
      <c r="E746" s="308"/>
      <c r="F746" s="308"/>
      <c r="G746" s="308"/>
    </row>
    <row r="747">
      <c r="B747" s="308"/>
      <c r="C747" s="308"/>
      <c r="D747" s="308"/>
      <c r="E747" s="308"/>
      <c r="F747" s="308"/>
      <c r="G747" s="308"/>
    </row>
    <row r="748">
      <c r="B748" s="72" t="s">
        <v>1921</v>
      </c>
      <c r="C748" s="308"/>
      <c r="D748" s="308"/>
      <c r="E748" s="308"/>
      <c r="F748" s="308"/>
      <c r="G748" s="308"/>
    </row>
    <row r="749">
      <c r="B749" s="308"/>
      <c r="C749" s="308"/>
      <c r="D749" s="308"/>
      <c r="E749" s="308"/>
      <c r="F749" s="308"/>
      <c r="G749" s="308"/>
    </row>
    <row r="750">
      <c r="B750" s="72" t="s">
        <v>1871</v>
      </c>
      <c r="C750" s="308"/>
      <c r="D750" s="308"/>
      <c r="E750" s="308"/>
      <c r="F750" s="308"/>
      <c r="G750" s="308"/>
    </row>
    <row r="751">
      <c r="B751" s="308"/>
      <c r="C751" s="308"/>
      <c r="D751" s="308"/>
      <c r="E751" s="308"/>
      <c r="F751" s="308"/>
      <c r="G751" s="308"/>
    </row>
    <row r="752">
      <c r="B752" s="72" t="s">
        <v>1922</v>
      </c>
      <c r="C752" s="308"/>
      <c r="D752" s="308"/>
      <c r="E752" s="308"/>
      <c r="F752" s="308"/>
      <c r="G752" s="308"/>
    </row>
    <row r="753">
      <c r="B753" s="308"/>
      <c r="C753" s="308"/>
      <c r="D753" s="308"/>
      <c r="E753" s="308"/>
      <c r="F753" s="308"/>
      <c r="G753" s="308"/>
    </row>
    <row r="754">
      <c r="B754" s="72" t="s">
        <v>167</v>
      </c>
      <c r="C754" s="308"/>
      <c r="D754" s="308"/>
      <c r="E754" s="308"/>
      <c r="F754" s="308"/>
      <c r="G754" s="308"/>
    </row>
    <row r="755">
      <c r="B755" s="308"/>
      <c r="C755" s="308"/>
      <c r="D755" s="308"/>
      <c r="E755" s="308"/>
      <c r="F755" s="308"/>
      <c r="G755" s="308"/>
    </row>
    <row r="756">
      <c r="B756" s="72" t="s">
        <v>1923</v>
      </c>
      <c r="C756" s="308"/>
      <c r="D756" s="308"/>
      <c r="E756" s="308"/>
      <c r="F756" s="308"/>
      <c r="G756" s="308"/>
    </row>
    <row r="757">
      <c r="B757" s="308"/>
      <c r="C757" s="308"/>
      <c r="D757" s="308"/>
      <c r="E757" s="308"/>
      <c r="F757" s="308"/>
      <c r="G757" s="308"/>
    </row>
    <row r="758">
      <c r="B758" s="72" t="s">
        <v>1924</v>
      </c>
      <c r="C758" s="308"/>
      <c r="D758" s="308"/>
      <c r="E758" s="308"/>
      <c r="F758" s="308"/>
      <c r="G758" s="308"/>
    </row>
    <row r="759">
      <c r="B759" s="308"/>
      <c r="C759" s="308"/>
      <c r="D759" s="308"/>
      <c r="E759" s="308"/>
      <c r="F759" s="308"/>
      <c r="G759" s="308"/>
    </row>
    <row r="760">
      <c r="B760" s="72" t="s">
        <v>1926</v>
      </c>
      <c r="C760" s="308"/>
      <c r="D760" s="308"/>
      <c r="E760" s="308"/>
      <c r="F760" s="308"/>
      <c r="G760" s="308"/>
    </row>
    <row r="761">
      <c r="B761" s="310" t="s">
        <v>1928</v>
      </c>
      <c r="C761" s="310" t="s">
        <v>132</v>
      </c>
      <c r="D761" s="310" t="s">
        <v>1831</v>
      </c>
      <c r="E761" s="310" t="s">
        <v>1929</v>
      </c>
      <c r="F761" s="308"/>
      <c r="G761" s="308"/>
    </row>
    <row r="762">
      <c r="B762" s="72" t="s">
        <v>1930</v>
      </c>
      <c r="C762" s="72" t="s">
        <v>167</v>
      </c>
      <c r="D762" s="72" t="s">
        <v>1931</v>
      </c>
      <c r="E762" s="313">
        <v>46257.0</v>
      </c>
      <c r="F762" s="308"/>
      <c r="G762" s="308"/>
    </row>
    <row r="763">
      <c r="B763" s="72" t="s">
        <v>1932</v>
      </c>
      <c r="C763" s="72" t="s">
        <v>1871</v>
      </c>
      <c r="D763" s="72" t="s">
        <v>1933</v>
      </c>
      <c r="E763" s="313">
        <v>46259.0</v>
      </c>
      <c r="F763" s="308"/>
      <c r="G763" s="308"/>
    </row>
    <row r="764">
      <c r="B764" s="72" t="s">
        <v>1934</v>
      </c>
      <c r="C764" s="72" t="s">
        <v>1343</v>
      </c>
      <c r="D764" s="72" t="s">
        <v>1935</v>
      </c>
      <c r="E764" s="313">
        <v>46256.0</v>
      </c>
      <c r="F764" s="308"/>
      <c r="G764" s="308"/>
    </row>
    <row r="765">
      <c r="B765" s="72" t="s">
        <v>1936</v>
      </c>
      <c r="C765" s="72" t="s">
        <v>1863</v>
      </c>
      <c r="D765" s="72" t="s">
        <v>1937</v>
      </c>
      <c r="E765" s="313">
        <v>46262.0</v>
      </c>
      <c r="F765" s="308"/>
      <c r="G765" s="308"/>
    </row>
    <row r="766">
      <c r="B766" s="308"/>
      <c r="C766" s="308"/>
      <c r="D766" s="308"/>
      <c r="E766" s="308"/>
      <c r="F766" s="308"/>
      <c r="G766" s="308"/>
    </row>
    <row r="767">
      <c r="B767" s="72" t="s">
        <v>1938</v>
      </c>
      <c r="C767" s="308"/>
      <c r="D767" s="308"/>
      <c r="E767" s="308"/>
      <c r="F767" s="308"/>
      <c r="G767" s="308"/>
    </row>
    <row r="768">
      <c r="B768" s="308"/>
      <c r="C768" s="308"/>
      <c r="D768" s="308"/>
      <c r="E768" s="308"/>
      <c r="F768" s="308"/>
      <c r="G768" s="308"/>
    </row>
    <row r="769">
      <c r="B769" s="72" t="s">
        <v>1939</v>
      </c>
      <c r="C769" s="308"/>
      <c r="D769" s="308"/>
      <c r="E769" s="308"/>
      <c r="F769" s="308"/>
      <c r="G769" s="308"/>
    </row>
    <row r="770">
      <c r="B770" s="308"/>
      <c r="C770" s="308"/>
      <c r="D770" s="308"/>
      <c r="E770" s="308"/>
      <c r="F770" s="308"/>
      <c r="G770" s="308"/>
    </row>
    <row r="771">
      <c r="B771" s="72" t="s">
        <v>1940</v>
      </c>
      <c r="C771" s="308"/>
      <c r="D771" s="308"/>
      <c r="E771" s="308"/>
      <c r="F771" s="308"/>
      <c r="G771" s="308"/>
    </row>
    <row r="772">
      <c r="B772" s="308"/>
      <c r="C772" s="308"/>
      <c r="D772" s="308"/>
      <c r="E772" s="308"/>
      <c r="F772" s="308"/>
      <c r="G772" s="308"/>
    </row>
    <row r="773">
      <c r="B773" s="72" t="s">
        <v>1941</v>
      </c>
      <c r="C773" s="308"/>
      <c r="D773" s="308"/>
      <c r="E773" s="308"/>
      <c r="F773" s="308"/>
      <c r="G773" s="308"/>
    </row>
    <row r="774">
      <c r="B774" s="308"/>
      <c r="C774" s="308"/>
      <c r="D774" s="308"/>
      <c r="E774" s="308"/>
      <c r="F774" s="308"/>
      <c r="G774" s="308"/>
    </row>
    <row r="775">
      <c r="B775" s="72" t="s">
        <v>1942</v>
      </c>
      <c r="C775" s="308"/>
      <c r="D775" s="308"/>
      <c r="E775" s="308"/>
      <c r="F775" s="308"/>
      <c r="G775" s="308"/>
    </row>
    <row r="776">
      <c r="B776" s="308"/>
      <c r="C776" s="308"/>
      <c r="D776" s="308"/>
      <c r="E776" s="308"/>
      <c r="F776" s="308"/>
      <c r="G776" s="308"/>
    </row>
    <row r="777">
      <c r="B777" s="72" t="s">
        <v>1943</v>
      </c>
      <c r="C777" s="308"/>
      <c r="D777" s="308"/>
      <c r="E777" s="308"/>
      <c r="F777" s="308"/>
      <c r="G777" s="308"/>
    </row>
    <row r="778">
      <c r="B778" s="308"/>
      <c r="C778" s="308"/>
      <c r="D778" s="308"/>
      <c r="E778" s="308"/>
      <c r="F778" s="308"/>
      <c r="G778" s="308"/>
    </row>
    <row r="779">
      <c r="B779" s="72" t="s">
        <v>1944</v>
      </c>
      <c r="C779" s="308"/>
      <c r="D779" s="308"/>
      <c r="E779" s="308"/>
      <c r="F779" s="308"/>
      <c r="G779" s="308"/>
    </row>
    <row r="780">
      <c r="B780" s="308"/>
      <c r="C780" s="308"/>
      <c r="D780" s="308"/>
      <c r="E780" s="308"/>
      <c r="F780" s="308"/>
      <c r="G780" s="308"/>
    </row>
    <row r="781">
      <c r="B781" s="72" t="s">
        <v>4</v>
      </c>
      <c r="C781" s="308"/>
      <c r="D781" s="308"/>
      <c r="E781" s="308"/>
      <c r="F781" s="308"/>
      <c r="G781" s="308"/>
    </row>
    <row r="782">
      <c r="B782" s="308"/>
      <c r="C782" s="308"/>
      <c r="D782" s="308"/>
      <c r="E782" s="308"/>
      <c r="F782" s="308"/>
      <c r="G782" s="308"/>
    </row>
    <row r="783">
      <c r="B783" s="72" t="s">
        <v>1946</v>
      </c>
      <c r="C783" s="308"/>
      <c r="D783" s="308"/>
      <c r="E783" s="308"/>
      <c r="F783" s="308"/>
      <c r="G783" s="308"/>
    </row>
    <row r="784">
      <c r="B784" s="308"/>
      <c r="C784" s="308"/>
      <c r="D784" s="308"/>
      <c r="E784" s="308"/>
      <c r="F784" s="308"/>
      <c r="G784" s="308"/>
    </row>
    <row r="785">
      <c r="B785" s="72" t="s">
        <v>1948</v>
      </c>
      <c r="C785" s="308"/>
      <c r="D785" s="308"/>
      <c r="E785" s="308"/>
      <c r="F785" s="308"/>
      <c r="G785" s="308"/>
    </row>
    <row r="786">
      <c r="B786" s="308"/>
      <c r="C786" s="308"/>
      <c r="D786" s="308"/>
      <c r="E786" s="308"/>
      <c r="F786" s="308"/>
      <c r="G786" s="308"/>
    </row>
    <row r="787">
      <c r="B787" s="72" t="s">
        <v>1949</v>
      </c>
      <c r="C787" s="308"/>
      <c r="D787" s="308"/>
      <c r="E787" s="308"/>
      <c r="F787" s="308"/>
      <c r="G787" s="308"/>
    </row>
    <row r="788">
      <c r="B788" s="308"/>
      <c r="C788" s="308"/>
      <c r="D788" s="308"/>
      <c r="E788" s="308"/>
      <c r="F788" s="308"/>
      <c r="G788" s="308"/>
    </row>
    <row r="789">
      <c r="B789" s="72" t="s">
        <v>1950</v>
      </c>
      <c r="C789" s="308"/>
      <c r="D789" s="308"/>
      <c r="E789" s="308"/>
      <c r="F789" s="308"/>
      <c r="G789" s="308"/>
    </row>
    <row r="790">
      <c r="B790" s="308"/>
      <c r="C790" s="308"/>
      <c r="D790" s="308"/>
      <c r="E790" s="308"/>
      <c r="F790" s="308"/>
      <c r="G790" s="308"/>
    </row>
    <row r="791">
      <c r="B791" s="72" t="s">
        <v>1951</v>
      </c>
      <c r="C791" s="308"/>
      <c r="D791" s="308"/>
      <c r="E791" s="308"/>
      <c r="F791" s="308"/>
      <c r="G791" s="308"/>
    </row>
    <row r="792">
      <c r="B792" s="308"/>
      <c r="C792" s="308"/>
      <c r="D792" s="308"/>
      <c r="E792" s="308"/>
      <c r="F792" s="308"/>
      <c r="G792" s="308"/>
    </row>
    <row r="793">
      <c r="B793" s="72" t="s">
        <v>1952</v>
      </c>
      <c r="C793" s="308"/>
      <c r="D793" s="308"/>
      <c r="E793" s="308"/>
      <c r="F793" s="308"/>
      <c r="G793" s="308"/>
    </row>
    <row r="794">
      <c r="B794" s="308"/>
      <c r="C794" s="308"/>
      <c r="D794" s="308"/>
      <c r="E794" s="308"/>
      <c r="F794" s="308"/>
      <c r="G794" s="308"/>
    </row>
    <row r="795">
      <c r="B795" s="72" t="s">
        <v>1953</v>
      </c>
      <c r="C795" s="308"/>
      <c r="D795" s="308"/>
      <c r="E795" s="308"/>
      <c r="F795" s="308"/>
      <c r="G795" s="308"/>
    </row>
    <row r="796">
      <c r="B796" s="308"/>
      <c r="C796" s="308"/>
      <c r="D796" s="308"/>
      <c r="E796" s="308"/>
      <c r="F796" s="308"/>
      <c r="G796" s="308"/>
    </row>
    <row r="797">
      <c r="B797" s="72" t="s">
        <v>1954</v>
      </c>
      <c r="C797" s="308"/>
      <c r="D797" s="308"/>
      <c r="E797" s="308"/>
      <c r="F797" s="308"/>
      <c r="G797" s="308"/>
    </row>
    <row r="798">
      <c r="B798" s="308"/>
      <c r="C798" s="308"/>
      <c r="D798" s="308"/>
      <c r="E798" s="308"/>
      <c r="F798" s="308"/>
      <c r="G798" s="308"/>
    </row>
    <row r="799">
      <c r="B799" s="72" t="s">
        <v>1955</v>
      </c>
      <c r="C799" s="308"/>
      <c r="D799" s="308"/>
      <c r="E799" s="308"/>
      <c r="F799" s="308"/>
      <c r="G799" s="308"/>
    </row>
    <row r="800">
      <c r="B800" s="308"/>
      <c r="C800" s="308"/>
      <c r="D800" s="308"/>
      <c r="E800" s="308"/>
      <c r="F800" s="308"/>
      <c r="G800" s="308"/>
    </row>
    <row r="801">
      <c r="B801" s="72" t="s">
        <v>1956</v>
      </c>
      <c r="C801" s="308"/>
      <c r="D801" s="308"/>
      <c r="E801" s="308"/>
      <c r="F801" s="308"/>
      <c r="G801" s="308"/>
    </row>
    <row r="802">
      <c r="B802" s="308"/>
      <c r="C802" s="308"/>
      <c r="D802" s="308"/>
      <c r="E802" s="308"/>
      <c r="F802" s="308"/>
      <c r="G802" s="308"/>
    </row>
    <row r="803">
      <c r="B803" s="72" t="s">
        <v>1957</v>
      </c>
      <c r="C803" s="308"/>
      <c r="D803" s="308"/>
      <c r="E803" s="308"/>
      <c r="F803" s="308"/>
      <c r="G803" s="308"/>
    </row>
    <row r="804">
      <c r="B804" s="308"/>
      <c r="C804" s="308"/>
      <c r="D804" s="308"/>
      <c r="E804" s="308"/>
      <c r="F804" s="308"/>
      <c r="G804" s="308"/>
    </row>
    <row r="805">
      <c r="B805" s="72" t="s">
        <v>1958</v>
      </c>
      <c r="C805" s="308"/>
      <c r="D805" s="308"/>
      <c r="E805" s="308"/>
      <c r="F805" s="308"/>
      <c r="G805" s="308"/>
    </row>
    <row r="806">
      <c r="B806" s="308"/>
      <c r="C806" s="308"/>
      <c r="D806" s="308"/>
      <c r="E806" s="308"/>
      <c r="F806" s="308"/>
      <c r="G806" s="308"/>
    </row>
    <row r="807">
      <c r="B807" s="72" t="s">
        <v>1959</v>
      </c>
      <c r="C807" s="308"/>
      <c r="D807" s="308"/>
      <c r="E807" s="308"/>
      <c r="F807" s="308"/>
      <c r="G807" s="308"/>
    </row>
    <row r="808">
      <c r="B808" s="308"/>
      <c r="C808" s="308"/>
      <c r="D808" s="308"/>
      <c r="E808" s="308"/>
      <c r="F808" s="308"/>
      <c r="G808" s="308"/>
    </row>
    <row r="809">
      <c r="B809" s="72" t="s">
        <v>1502</v>
      </c>
      <c r="C809" s="308"/>
      <c r="D809" s="308"/>
      <c r="E809" s="308"/>
      <c r="F809" s="308"/>
      <c r="G809" s="308"/>
    </row>
    <row r="810">
      <c r="B810" s="308"/>
      <c r="C810" s="308"/>
      <c r="D810" s="308"/>
      <c r="E810" s="308"/>
      <c r="F810" s="308"/>
      <c r="G810" s="308"/>
    </row>
    <row r="811">
      <c r="B811" s="72" t="s">
        <v>140</v>
      </c>
      <c r="C811" s="308"/>
      <c r="D811" s="308"/>
      <c r="E811" s="308"/>
      <c r="F811" s="308"/>
      <c r="G811" s="308"/>
    </row>
    <row r="812">
      <c r="B812" s="308"/>
      <c r="C812" s="308"/>
      <c r="D812" s="308"/>
      <c r="E812" s="308"/>
      <c r="F812" s="308"/>
      <c r="G812" s="308"/>
    </row>
    <row r="813">
      <c r="B813" s="72" t="s">
        <v>1962</v>
      </c>
      <c r="C813" s="308"/>
      <c r="D813" s="308"/>
      <c r="E813" s="308"/>
      <c r="F813" s="308"/>
      <c r="G813" s="308"/>
    </row>
    <row r="814">
      <c r="B814" s="72" t="s">
        <v>1963</v>
      </c>
      <c r="C814" s="308"/>
      <c r="D814" s="308"/>
      <c r="E814" s="308"/>
      <c r="F814" s="308"/>
      <c r="G814" s="308"/>
    </row>
    <row r="815">
      <c r="B815" s="72" t="s">
        <v>1964</v>
      </c>
      <c r="C815" s="308"/>
      <c r="D815" s="308"/>
      <c r="E815" s="308"/>
      <c r="F815" s="308"/>
      <c r="G815" s="308"/>
    </row>
    <row r="816">
      <c r="B816" s="72" t="s">
        <v>1965</v>
      </c>
      <c r="C816" s="308"/>
      <c r="D816" s="308"/>
      <c r="E816" s="308"/>
      <c r="F816" s="308"/>
      <c r="G816" s="308"/>
    </row>
    <row r="817">
      <c r="B817" s="72" t="s">
        <v>1966</v>
      </c>
      <c r="C817" s="308"/>
      <c r="D817" s="308"/>
      <c r="E817" s="308"/>
      <c r="F817" s="308"/>
      <c r="G817" s="308"/>
    </row>
    <row r="818">
      <c r="B818" s="72" t="s">
        <v>1967</v>
      </c>
      <c r="C818" s="308"/>
      <c r="D818" s="308"/>
      <c r="E818" s="308"/>
      <c r="F818" s="308"/>
      <c r="G818" s="308"/>
    </row>
    <row r="819">
      <c r="B819" s="72" t="s">
        <v>1968</v>
      </c>
      <c r="C819" s="308"/>
      <c r="D819" s="308"/>
      <c r="E819" s="308"/>
      <c r="F819" s="308"/>
      <c r="G819" s="308"/>
    </row>
    <row r="820">
      <c r="B820" s="72" t="s">
        <v>1969</v>
      </c>
      <c r="C820" s="308"/>
      <c r="D820" s="308"/>
      <c r="E820" s="308"/>
      <c r="F820" s="308"/>
      <c r="G820" s="308"/>
    </row>
    <row r="821">
      <c r="B821" s="308"/>
      <c r="C821" s="308"/>
      <c r="D821" s="308"/>
      <c r="E821" s="308"/>
      <c r="F821" s="308"/>
      <c r="G821" s="308"/>
    </row>
    <row r="822">
      <c r="B822" s="72" t="s">
        <v>1970</v>
      </c>
      <c r="C822" s="308"/>
      <c r="D822" s="308"/>
      <c r="E822" s="308"/>
      <c r="F822" s="308"/>
      <c r="G822" s="308"/>
    </row>
    <row r="823">
      <c r="B823" s="308"/>
      <c r="C823" s="308"/>
      <c r="D823" s="308"/>
      <c r="E823" s="308"/>
      <c r="F823" s="308"/>
      <c r="G823" s="308"/>
    </row>
    <row r="824">
      <c r="B824" s="72" t="s">
        <v>1971</v>
      </c>
      <c r="C824" s="308"/>
      <c r="D824" s="308"/>
      <c r="E824" s="308"/>
      <c r="F824" s="308"/>
      <c r="G824" s="308"/>
    </row>
    <row r="825">
      <c r="B825" s="308"/>
      <c r="C825" s="308"/>
      <c r="D825" s="308"/>
      <c r="E825" s="308"/>
      <c r="F825" s="308"/>
      <c r="G825" s="308"/>
    </row>
    <row r="826">
      <c r="B826" s="72" t="s">
        <v>1972</v>
      </c>
      <c r="C826" s="308"/>
      <c r="D826" s="308"/>
      <c r="E826" s="308"/>
      <c r="F826" s="308"/>
      <c r="G826" s="308"/>
    </row>
    <row r="827">
      <c r="B827" s="308"/>
      <c r="C827" s="308"/>
      <c r="D827" s="308"/>
      <c r="E827" s="308"/>
      <c r="F827" s="308"/>
      <c r="G827" s="308"/>
    </row>
    <row r="828">
      <c r="B828" s="72" t="s">
        <v>1973</v>
      </c>
      <c r="C828" s="308"/>
      <c r="D828" s="308"/>
      <c r="E828" s="308"/>
      <c r="F828" s="308"/>
      <c r="G828" s="308"/>
    </row>
    <row r="829">
      <c r="B829" s="308"/>
      <c r="C829" s="308"/>
      <c r="D829" s="308"/>
      <c r="E829" s="308"/>
      <c r="F829" s="308"/>
      <c r="G829" s="308"/>
    </row>
    <row r="830">
      <c r="B830" s="72" t="s">
        <v>1974</v>
      </c>
      <c r="C830" s="308"/>
      <c r="D830" s="308"/>
      <c r="E830" s="308"/>
      <c r="F830" s="308"/>
      <c r="G830" s="308"/>
    </row>
    <row r="831">
      <c r="B831" s="308"/>
      <c r="C831" s="308"/>
      <c r="D831" s="308"/>
      <c r="E831" s="308"/>
      <c r="F831" s="308"/>
      <c r="G831" s="308"/>
    </row>
    <row r="832">
      <c r="B832" s="72" t="s">
        <v>140</v>
      </c>
      <c r="C832" s="308"/>
      <c r="D832" s="308"/>
      <c r="E832" s="308"/>
      <c r="F832" s="308"/>
      <c r="G832" s="308"/>
    </row>
    <row r="833">
      <c r="B833" s="308"/>
      <c r="C833" s="308"/>
      <c r="D833" s="308"/>
      <c r="E833" s="308"/>
      <c r="F833" s="308"/>
      <c r="G833" s="308"/>
    </row>
    <row r="834">
      <c r="B834" s="72" t="s">
        <v>1975</v>
      </c>
      <c r="C834" s="308"/>
      <c r="D834" s="308"/>
      <c r="E834" s="308"/>
      <c r="F834" s="308"/>
      <c r="G834" s="308"/>
    </row>
    <row r="835">
      <c r="B835" s="308"/>
      <c r="C835" s="308"/>
      <c r="D835" s="308"/>
      <c r="E835" s="308"/>
      <c r="F835" s="308"/>
      <c r="G835" s="308"/>
    </row>
    <row r="836">
      <c r="B836" s="72" t="s">
        <v>167</v>
      </c>
      <c r="C836" s="308"/>
      <c r="D836" s="308"/>
      <c r="E836" s="308"/>
      <c r="F836" s="308"/>
      <c r="G836" s="308"/>
    </row>
    <row r="837">
      <c r="B837" s="308"/>
      <c r="C837" s="308"/>
      <c r="D837" s="308"/>
      <c r="E837" s="308"/>
      <c r="F837" s="308"/>
      <c r="G837" s="308"/>
    </row>
    <row r="838">
      <c r="B838" s="72" t="s">
        <v>1976</v>
      </c>
      <c r="C838" s="308"/>
      <c r="D838" s="308"/>
      <c r="E838" s="308"/>
      <c r="F838" s="308"/>
      <c r="G838" s="308"/>
    </row>
    <row r="839">
      <c r="B839" s="308"/>
      <c r="C839" s="308"/>
      <c r="D839" s="308"/>
      <c r="E839" s="308"/>
      <c r="F839" s="308"/>
      <c r="G839" s="308"/>
    </row>
    <row r="840">
      <c r="B840" s="72" t="s">
        <v>1863</v>
      </c>
      <c r="C840" s="308"/>
      <c r="D840" s="308"/>
      <c r="E840" s="308"/>
      <c r="F840" s="308"/>
      <c r="G840" s="308"/>
    </row>
    <row r="841">
      <c r="B841" s="308"/>
      <c r="C841" s="308"/>
      <c r="D841" s="308"/>
      <c r="E841" s="308"/>
      <c r="F841" s="308"/>
      <c r="G841" s="308"/>
    </row>
    <row r="842">
      <c r="B842" s="72" t="s">
        <v>1977</v>
      </c>
      <c r="C842" s="308"/>
      <c r="D842" s="308"/>
      <c r="E842" s="308"/>
      <c r="F842" s="308"/>
      <c r="G842" s="308"/>
    </row>
    <row r="843">
      <c r="B843" s="308"/>
      <c r="C843" s="308"/>
      <c r="D843" s="308"/>
      <c r="E843" s="308"/>
      <c r="F843" s="308"/>
      <c r="G843" s="308"/>
    </row>
    <row r="844">
      <c r="B844" s="72" t="s">
        <v>1343</v>
      </c>
      <c r="C844" s="308"/>
      <c r="D844" s="308"/>
      <c r="E844" s="308"/>
      <c r="F844" s="308"/>
      <c r="G844" s="308"/>
    </row>
    <row r="845">
      <c r="B845" s="308"/>
      <c r="C845" s="308"/>
      <c r="D845" s="308"/>
      <c r="E845" s="308"/>
      <c r="F845" s="308"/>
      <c r="G845" s="308"/>
    </row>
    <row r="846">
      <c r="B846" s="72" t="s">
        <v>1980</v>
      </c>
      <c r="C846" s="308"/>
      <c r="D846" s="308"/>
      <c r="E846" s="308"/>
      <c r="F846" s="308"/>
      <c r="G846" s="308"/>
    </row>
    <row r="847">
      <c r="B847" s="308"/>
      <c r="C847" s="308"/>
      <c r="D847" s="308"/>
      <c r="E847" s="308"/>
      <c r="F847" s="308"/>
      <c r="G847" s="308"/>
    </row>
    <row r="848">
      <c r="B848" s="72" t="s">
        <v>1547</v>
      </c>
      <c r="C848" s="308"/>
      <c r="D848" s="308"/>
      <c r="E848" s="308"/>
      <c r="F848" s="308"/>
      <c r="G848" s="308"/>
    </row>
    <row r="849">
      <c r="B849" s="308"/>
      <c r="C849" s="308"/>
      <c r="D849" s="308"/>
      <c r="E849" s="308"/>
      <c r="F849" s="308"/>
      <c r="G849" s="308"/>
    </row>
    <row r="850">
      <c r="B850" s="72" t="s">
        <v>1981</v>
      </c>
      <c r="C850" s="308"/>
      <c r="D850" s="308"/>
      <c r="E850" s="308"/>
      <c r="F850" s="308"/>
      <c r="G850" s="308"/>
    </row>
    <row r="851">
      <c r="B851" s="308"/>
      <c r="C851" s="308"/>
      <c r="D851" s="308"/>
      <c r="E851" s="308"/>
      <c r="F851" s="308"/>
      <c r="G851" s="308"/>
    </row>
    <row r="852">
      <c r="B852" s="72" t="s">
        <v>1982</v>
      </c>
      <c r="C852" s="308"/>
      <c r="D852" s="308"/>
      <c r="E852" s="308"/>
      <c r="F852" s="308"/>
      <c r="G852" s="308"/>
    </row>
    <row r="853">
      <c r="B853" s="308"/>
      <c r="C853" s="308"/>
      <c r="D853" s="308"/>
      <c r="E853" s="308"/>
      <c r="F853" s="308"/>
      <c r="G853" s="308"/>
    </row>
    <row r="854">
      <c r="B854" s="72" t="s">
        <v>1871</v>
      </c>
      <c r="C854" s="308"/>
      <c r="D854" s="308"/>
      <c r="E854" s="308"/>
      <c r="F854" s="308"/>
      <c r="G854" s="308"/>
    </row>
    <row r="855">
      <c r="B855" s="308"/>
      <c r="C855" s="308"/>
      <c r="D855" s="308"/>
      <c r="E855" s="308"/>
      <c r="F855" s="308"/>
      <c r="G855" s="308"/>
    </row>
    <row r="856">
      <c r="B856" s="72" t="s">
        <v>1983</v>
      </c>
      <c r="C856" s="308"/>
      <c r="D856" s="308"/>
      <c r="E856" s="308"/>
      <c r="F856" s="308"/>
      <c r="G856" s="308"/>
    </row>
    <row r="857">
      <c r="B857" s="308"/>
      <c r="C857" s="308"/>
      <c r="D857" s="308"/>
      <c r="E857" s="308"/>
      <c r="F857" s="308"/>
      <c r="G857" s="308"/>
    </row>
    <row r="858">
      <c r="B858" s="72" t="s">
        <v>1345</v>
      </c>
      <c r="C858" s="308"/>
      <c r="D858" s="308"/>
      <c r="E858" s="308"/>
      <c r="F858" s="308"/>
      <c r="G858" s="308"/>
    </row>
    <row r="859">
      <c r="B859" s="308"/>
      <c r="C859" s="308"/>
      <c r="D859" s="308"/>
      <c r="E859" s="308"/>
      <c r="F859" s="308"/>
      <c r="G859" s="308"/>
    </row>
    <row r="860">
      <c r="B860" s="72" t="s">
        <v>1984</v>
      </c>
      <c r="C860" s="308"/>
      <c r="D860" s="308"/>
      <c r="E860" s="308"/>
      <c r="F860" s="308"/>
      <c r="G860" s="308"/>
    </row>
    <row r="861">
      <c r="B861" s="308"/>
      <c r="C861" s="308"/>
      <c r="D861" s="308"/>
      <c r="E861" s="308"/>
      <c r="F861" s="308"/>
      <c r="G861" s="308"/>
    </row>
    <row r="862">
      <c r="B862" s="72" t="s">
        <v>1879</v>
      </c>
      <c r="C862" s="308"/>
      <c r="D862" s="308"/>
      <c r="E862" s="308"/>
      <c r="F862" s="308"/>
      <c r="G862" s="308"/>
    </row>
    <row r="863">
      <c r="B863" s="308"/>
      <c r="C863" s="308"/>
      <c r="D863" s="308"/>
      <c r="E863" s="308"/>
      <c r="F863" s="308"/>
      <c r="G863" s="308"/>
    </row>
    <row r="864">
      <c r="B864" s="72" t="s">
        <v>1985</v>
      </c>
      <c r="C864" s="308"/>
      <c r="D864" s="308"/>
      <c r="E864" s="308"/>
      <c r="F864" s="308"/>
      <c r="G864" s="308"/>
    </row>
    <row r="865">
      <c r="B865" s="308"/>
      <c r="C865" s="308"/>
      <c r="D865" s="308"/>
      <c r="E865" s="308"/>
      <c r="F865" s="308"/>
      <c r="G865" s="308"/>
    </row>
    <row r="866">
      <c r="B866" s="72" t="s">
        <v>1881</v>
      </c>
      <c r="C866" s="308"/>
      <c r="D866" s="308"/>
      <c r="E866" s="308"/>
      <c r="F866" s="308"/>
      <c r="G866" s="308"/>
    </row>
    <row r="867">
      <c r="B867" s="308"/>
      <c r="C867" s="308"/>
      <c r="D867" s="308"/>
      <c r="E867" s="308"/>
      <c r="F867" s="308"/>
      <c r="G867" s="308"/>
    </row>
    <row r="868">
      <c r="B868" s="72" t="s">
        <v>1986</v>
      </c>
      <c r="C868" s="308"/>
      <c r="D868" s="308"/>
      <c r="E868" s="308"/>
      <c r="F868" s="308"/>
      <c r="G868" s="308"/>
    </row>
    <row r="869">
      <c r="B869" s="308"/>
      <c r="C869" s="308"/>
      <c r="D869" s="308"/>
      <c r="E869" s="308"/>
      <c r="F869" s="308"/>
      <c r="G869" s="308"/>
    </row>
    <row r="870">
      <c r="B870" s="72" t="s">
        <v>1884</v>
      </c>
      <c r="C870" s="308"/>
      <c r="D870" s="308"/>
      <c r="E870" s="308"/>
      <c r="F870" s="308"/>
      <c r="G870" s="308"/>
    </row>
    <row r="871">
      <c r="B871" s="308"/>
      <c r="C871" s="308"/>
      <c r="D871" s="308"/>
      <c r="E871" s="308"/>
      <c r="F871" s="308"/>
      <c r="G871" s="308"/>
    </row>
    <row r="872">
      <c r="B872" s="72" t="s">
        <v>1987</v>
      </c>
      <c r="C872" s="308"/>
      <c r="D872" s="308"/>
      <c r="E872" s="308"/>
      <c r="F872" s="308"/>
      <c r="G872" s="308"/>
    </row>
    <row r="873">
      <c r="B873" s="308"/>
      <c r="C873" s="308"/>
      <c r="D873" s="308"/>
      <c r="E873" s="308"/>
      <c r="F873" s="308"/>
      <c r="G873" s="308"/>
    </row>
    <row r="874">
      <c r="B874" s="72" t="s">
        <v>1888</v>
      </c>
      <c r="C874" s="308"/>
      <c r="D874" s="308"/>
      <c r="E874" s="308"/>
      <c r="F874" s="308"/>
      <c r="G874" s="308"/>
    </row>
    <row r="875">
      <c r="B875" s="308"/>
      <c r="C875" s="308"/>
      <c r="D875" s="308"/>
      <c r="E875" s="308"/>
      <c r="F875" s="308"/>
      <c r="G875" s="308"/>
    </row>
    <row r="876">
      <c r="B876" s="72" t="s">
        <v>1989</v>
      </c>
      <c r="C876" s="308"/>
      <c r="D876" s="308"/>
      <c r="E876" s="308"/>
      <c r="F876" s="308"/>
      <c r="G876" s="308"/>
    </row>
    <row r="877">
      <c r="B877" s="308"/>
      <c r="C877" s="308"/>
      <c r="D877" s="308"/>
      <c r="E877" s="308"/>
      <c r="F877" s="308"/>
      <c r="G877" s="308"/>
    </row>
    <row r="878">
      <c r="B878" s="72" t="s">
        <v>1991</v>
      </c>
      <c r="C878" s="308"/>
      <c r="D878" s="308"/>
      <c r="E878" s="308"/>
      <c r="F878" s="308"/>
      <c r="G878" s="308"/>
    </row>
    <row r="879">
      <c r="B879" s="308"/>
      <c r="C879" s="308"/>
      <c r="D879" s="308"/>
      <c r="E879" s="308"/>
      <c r="F879" s="308"/>
      <c r="G879" s="308"/>
    </row>
    <row r="880">
      <c r="B880" s="72" t="s">
        <v>1992</v>
      </c>
      <c r="C880" s="308"/>
      <c r="D880" s="308"/>
      <c r="E880" s="308"/>
      <c r="F880" s="308"/>
      <c r="G880" s="308"/>
    </row>
    <row r="881">
      <c r="B881" s="308"/>
      <c r="C881" s="308"/>
      <c r="D881" s="308"/>
      <c r="E881" s="308"/>
      <c r="F881" s="308"/>
      <c r="G881" s="308"/>
    </row>
    <row r="882">
      <c r="B882" s="72" t="s">
        <v>1993</v>
      </c>
      <c r="C882" s="308"/>
      <c r="D882" s="308"/>
      <c r="E882" s="308"/>
      <c r="F882" s="308"/>
      <c r="G882" s="308"/>
    </row>
    <row r="883">
      <c r="B883" s="308"/>
      <c r="C883" s="308"/>
      <c r="D883" s="308"/>
      <c r="E883" s="308"/>
      <c r="F883" s="308"/>
      <c r="G883" s="308"/>
    </row>
    <row r="884">
      <c r="B884" s="72" t="s">
        <v>1888</v>
      </c>
      <c r="C884" s="308"/>
      <c r="D884" s="308"/>
      <c r="E884" s="308"/>
      <c r="F884" s="308"/>
      <c r="G884" s="308"/>
    </row>
    <row r="885">
      <c r="B885" s="308"/>
      <c r="C885" s="308"/>
      <c r="D885" s="308"/>
      <c r="E885" s="308"/>
      <c r="F885" s="308"/>
      <c r="G885" s="308"/>
    </row>
    <row r="886">
      <c r="B886" s="72" t="s">
        <v>1331</v>
      </c>
      <c r="C886" s="308"/>
      <c r="D886" s="308"/>
      <c r="E886" s="308"/>
      <c r="F886" s="308"/>
      <c r="G886" s="308"/>
    </row>
    <row r="887">
      <c r="B887" s="308"/>
      <c r="C887" s="308"/>
      <c r="D887" s="308"/>
      <c r="E887" s="308"/>
      <c r="F887" s="308"/>
      <c r="G887" s="308"/>
    </row>
    <row r="888">
      <c r="B888" s="72" t="s">
        <v>1994</v>
      </c>
      <c r="C888" s="308"/>
      <c r="D888" s="308"/>
      <c r="E888" s="308"/>
      <c r="F888" s="308"/>
      <c r="G888" s="308"/>
    </row>
    <row r="889">
      <c r="B889" s="308"/>
      <c r="C889" s="308"/>
      <c r="D889" s="308"/>
      <c r="E889" s="308"/>
      <c r="F889" s="308"/>
      <c r="G889" s="308"/>
    </row>
    <row r="890">
      <c r="B890" s="72" t="s">
        <v>1995</v>
      </c>
      <c r="C890" s="308"/>
      <c r="D890" s="308"/>
      <c r="E890" s="308"/>
      <c r="F890" s="308"/>
      <c r="G890" s="308"/>
    </row>
    <row r="891">
      <c r="B891" s="308"/>
      <c r="C891" s="308"/>
      <c r="D891" s="308"/>
      <c r="E891" s="308"/>
      <c r="F891" s="308"/>
      <c r="G891" s="308"/>
    </row>
    <row r="892">
      <c r="B892" s="72" t="s">
        <v>1331</v>
      </c>
      <c r="C892" s="308"/>
      <c r="D892" s="308"/>
      <c r="E892" s="308"/>
      <c r="F892" s="308"/>
      <c r="G892" s="308"/>
    </row>
    <row r="893">
      <c r="B893" s="308"/>
      <c r="C893" s="308"/>
      <c r="D893" s="308"/>
      <c r="E893" s="308"/>
      <c r="F893" s="308"/>
      <c r="G893" s="308"/>
    </row>
    <row r="894">
      <c r="B894" s="72" t="s">
        <v>1996</v>
      </c>
      <c r="C894" s="308"/>
      <c r="D894" s="308"/>
      <c r="E894" s="308"/>
      <c r="F894" s="308"/>
      <c r="G894" s="308"/>
    </row>
    <row r="895">
      <c r="B895" s="308"/>
      <c r="C895" s="308"/>
      <c r="D895" s="308"/>
      <c r="E895" s="308"/>
      <c r="F895" s="308"/>
      <c r="G895" s="308"/>
    </row>
    <row r="896">
      <c r="B896" s="72" t="s">
        <v>167</v>
      </c>
      <c r="C896" s="308"/>
      <c r="D896" s="308"/>
      <c r="E896" s="308"/>
      <c r="F896" s="308"/>
      <c r="G896" s="308"/>
    </row>
    <row r="897">
      <c r="B897" s="308"/>
      <c r="C897" s="308"/>
      <c r="D897" s="308"/>
      <c r="E897" s="308"/>
      <c r="F897" s="308"/>
      <c r="G897" s="308"/>
    </row>
    <row r="898">
      <c r="B898" s="72" t="s">
        <v>1331</v>
      </c>
      <c r="C898" s="308"/>
      <c r="D898" s="308"/>
      <c r="E898" s="308"/>
      <c r="F898" s="308"/>
      <c r="G898" s="308"/>
    </row>
    <row r="899">
      <c r="B899" s="308"/>
      <c r="C899" s="308"/>
      <c r="D899" s="308"/>
      <c r="E899" s="308"/>
      <c r="F899" s="308"/>
      <c r="G899" s="308"/>
    </row>
    <row r="900">
      <c r="B900" s="72" t="s">
        <v>1997</v>
      </c>
      <c r="C900" s="308"/>
      <c r="D900" s="308"/>
      <c r="E900" s="308"/>
      <c r="F900" s="308"/>
      <c r="G900" s="308"/>
    </row>
    <row r="901">
      <c r="B901" s="308"/>
      <c r="C901" s="308"/>
      <c r="D901" s="308"/>
      <c r="E901" s="308"/>
      <c r="F901" s="308"/>
      <c r="G901" s="308"/>
    </row>
    <row r="902">
      <c r="B902" s="72" t="s">
        <v>140</v>
      </c>
      <c r="C902" s="308"/>
      <c r="D902" s="308"/>
      <c r="E902" s="308"/>
      <c r="F902" s="308"/>
      <c r="G902" s="308"/>
    </row>
    <row r="903">
      <c r="B903" s="308"/>
      <c r="C903" s="308"/>
      <c r="D903" s="308"/>
      <c r="E903" s="308"/>
      <c r="F903" s="308"/>
      <c r="G903" s="308"/>
    </row>
    <row r="904">
      <c r="B904" s="72" t="s">
        <v>1331</v>
      </c>
      <c r="C904" s="308"/>
      <c r="D904" s="308"/>
      <c r="E904" s="308"/>
      <c r="F904" s="308"/>
      <c r="G904" s="308"/>
    </row>
    <row r="905">
      <c r="B905" s="308"/>
      <c r="C905" s="308"/>
      <c r="D905" s="308"/>
      <c r="E905" s="308"/>
      <c r="F905" s="308"/>
      <c r="G905" s="308"/>
    </row>
    <row r="906">
      <c r="B906" s="72" t="s">
        <v>1998</v>
      </c>
      <c r="C906" s="308"/>
      <c r="D906" s="308"/>
      <c r="E906" s="308"/>
      <c r="F906" s="308"/>
      <c r="G906" s="308"/>
    </row>
    <row r="907">
      <c r="B907" s="308"/>
      <c r="C907" s="308"/>
      <c r="D907" s="308"/>
      <c r="E907" s="308"/>
      <c r="F907" s="308"/>
      <c r="G907" s="308"/>
    </row>
    <row r="908">
      <c r="B908" s="72" t="s">
        <v>1863</v>
      </c>
      <c r="C908" s="308"/>
      <c r="D908" s="308"/>
      <c r="E908" s="308"/>
      <c r="F908" s="308"/>
      <c r="G908" s="308"/>
    </row>
    <row r="909">
      <c r="B909" s="308"/>
      <c r="C909" s="308"/>
      <c r="D909" s="308"/>
      <c r="E909" s="308"/>
      <c r="F909" s="308"/>
      <c r="G909" s="308"/>
    </row>
    <row r="910">
      <c r="B910" s="72" t="s">
        <v>1331</v>
      </c>
      <c r="C910" s="308"/>
      <c r="D910" s="308"/>
      <c r="E910" s="308"/>
      <c r="F910" s="308"/>
      <c r="G910" s="308"/>
    </row>
    <row r="911">
      <c r="B911" s="308"/>
      <c r="C911" s="308"/>
      <c r="D911" s="308"/>
      <c r="E911" s="308"/>
      <c r="F911" s="308"/>
      <c r="G911" s="308"/>
    </row>
    <row r="912">
      <c r="B912" s="72" t="s">
        <v>2000</v>
      </c>
      <c r="C912" s="308"/>
      <c r="D912" s="308"/>
      <c r="E912" s="308"/>
      <c r="F912" s="308"/>
      <c r="G912" s="308"/>
    </row>
    <row r="913">
      <c r="B913" s="308"/>
      <c r="C913" s="308"/>
      <c r="D913" s="308"/>
      <c r="E913" s="308"/>
      <c r="F913" s="308"/>
      <c r="G913" s="308"/>
    </row>
    <row r="914">
      <c r="B914" s="72" t="s">
        <v>1547</v>
      </c>
      <c r="C914" s="308"/>
      <c r="D914" s="308"/>
      <c r="E914" s="308"/>
      <c r="F914" s="308"/>
      <c r="G914" s="308"/>
    </row>
    <row r="915">
      <c r="B915" s="308"/>
      <c r="C915" s="308"/>
      <c r="D915" s="308"/>
      <c r="E915" s="308"/>
      <c r="F915" s="308"/>
      <c r="G915" s="308"/>
    </row>
    <row r="916">
      <c r="B916" s="72" t="s">
        <v>1331</v>
      </c>
      <c r="C916" s="308"/>
      <c r="D916" s="308"/>
      <c r="E916" s="308"/>
      <c r="F916" s="308"/>
      <c r="G916" s="308"/>
    </row>
    <row r="917">
      <c r="B917" s="308"/>
      <c r="C917" s="308"/>
      <c r="D917" s="308"/>
      <c r="E917" s="308"/>
      <c r="F917" s="308"/>
      <c r="G917" s="308"/>
    </row>
    <row r="918">
      <c r="B918" s="72" t="s">
        <v>2002</v>
      </c>
      <c r="C918" s="308"/>
      <c r="D918" s="308"/>
      <c r="E918" s="308"/>
      <c r="F918" s="308"/>
      <c r="G918" s="308"/>
    </row>
    <row r="919">
      <c r="B919" s="308"/>
      <c r="C919" s="308"/>
      <c r="D919" s="308"/>
      <c r="E919" s="308"/>
      <c r="F919" s="308"/>
      <c r="G919" s="308"/>
    </row>
    <row r="920">
      <c r="B920" s="72" t="s">
        <v>1343</v>
      </c>
      <c r="C920" s="308"/>
      <c r="D920" s="308"/>
      <c r="E920" s="308"/>
      <c r="F920" s="308"/>
      <c r="G920" s="308"/>
    </row>
    <row r="921">
      <c r="B921" s="308"/>
      <c r="C921" s="308"/>
      <c r="D921" s="308"/>
      <c r="E921" s="308"/>
      <c r="F921" s="308"/>
      <c r="G921" s="308"/>
    </row>
    <row r="922">
      <c r="B922" s="72" t="s">
        <v>1331</v>
      </c>
      <c r="C922" s="308"/>
      <c r="D922" s="308"/>
      <c r="E922" s="308"/>
      <c r="F922" s="308"/>
      <c r="G922" s="308"/>
    </row>
    <row r="923">
      <c r="B923" s="308"/>
      <c r="C923" s="308"/>
      <c r="D923" s="308"/>
      <c r="E923" s="308"/>
      <c r="F923" s="308"/>
      <c r="G923" s="308"/>
    </row>
    <row r="924">
      <c r="B924" s="72" t="s">
        <v>2003</v>
      </c>
      <c r="C924" s="308"/>
      <c r="D924" s="308"/>
      <c r="E924" s="308"/>
      <c r="F924" s="308"/>
      <c r="G924" s="308"/>
    </row>
    <row r="925">
      <c r="B925" s="308"/>
      <c r="C925" s="308"/>
      <c r="D925" s="308"/>
      <c r="E925" s="308"/>
      <c r="F925" s="308"/>
      <c r="G925" s="308"/>
    </row>
    <row r="926">
      <c r="B926" s="72" t="s">
        <v>1345</v>
      </c>
      <c r="C926" s="308"/>
      <c r="D926" s="308"/>
      <c r="E926" s="308"/>
      <c r="F926" s="308"/>
      <c r="G926" s="308"/>
    </row>
    <row r="927">
      <c r="B927" s="308"/>
      <c r="C927" s="308"/>
      <c r="D927" s="308"/>
      <c r="E927" s="308"/>
      <c r="F927" s="308"/>
      <c r="G927" s="308"/>
    </row>
    <row r="928">
      <c r="B928" s="72" t="s">
        <v>1331</v>
      </c>
      <c r="C928" s="308"/>
      <c r="D928" s="308"/>
      <c r="E928" s="308"/>
      <c r="F928" s="308"/>
      <c r="G928" s="308"/>
    </row>
    <row r="929">
      <c r="B929" s="308"/>
      <c r="C929" s="308"/>
      <c r="D929" s="308"/>
      <c r="E929" s="308"/>
      <c r="F929" s="308"/>
      <c r="G929" s="308"/>
    </row>
    <row r="930">
      <c r="B930" s="72" t="s">
        <v>2004</v>
      </c>
      <c r="C930" s="308"/>
      <c r="D930" s="308"/>
      <c r="E930" s="308"/>
      <c r="F930" s="308"/>
      <c r="G930" s="308"/>
    </row>
    <row r="931">
      <c r="B931" s="308"/>
      <c r="C931" s="308"/>
      <c r="D931" s="308"/>
      <c r="E931" s="308"/>
      <c r="F931" s="308"/>
      <c r="G931" s="308"/>
    </row>
    <row r="932">
      <c r="B932" s="72" t="s">
        <v>2005</v>
      </c>
      <c r="C932" s="308"/>
      <c r="D932" s="308"/>
      <c r="E932" s="308"/>
      <c r="F932" s="308"/>
      <c r="G932" s="308"/>
    </row>
    <row r="933">
      <c r="B933" s="308"/>
      <c r="C933" s="308"/>
      <c r="D933" s="308"/>
      <c r="E933" s="308"/>
      <c r="F933" s="308"/>
      <c r="G933" s="308"/>
    </row>
    <row r="934">
      <c r="B934" s="72" t="s">
        <v>2006</v>
      </c>
      <c r="C934" s="308"/>
      <c r="D934" s="308"/>
      <c r="E934" s="308"/>
      <c r="F934" s="308"/>
      <c r="G934" s="308"/>
    </row>
    <row r="935">
      <c r="B935" s="308"/>
      <c r="C935" s="308"/>
      <c r="D935" s="308"/>
      <c r="E935" s="308"/>
      <c r="F935" s="308"/>
      <c r="G935" s="308"/>
    </row>
    <row r="936">
      <c r="B936" s="72" t="s">
        <v>2007</v>
      </c>
      <c r="C936" s="308"/>
      <c r="D936" s="308"/>
      <c r="E936" s="308"/>
      <c r="F936" s="308"/>
      <c r="G936" s="308"/>
    </row>
    <row r="937">
      <c r="B937" s="308"/>
      <c r="C937" s="308"/>
      <c r="D937" s="308"/>
      <c r="E937" s="308"/>
      <c r="F937" s="308"/>
      <c r="G937" s="308"/>
    </row>
    <row r="938">
      <c r="B938" s="72" t="s">
        <v>2008</v>
      </c>
      <c r="C938" s="308"/>
      <c r="D938" s="308"/>
      <c r="E938" s="308"/>
      <c r="F938" s="308"/>
      <c r="G938" s="308"/>
    </row>
    <row r="939">
      <c r="B939" s="308"/>
      <c r="C939" s="308"/>
      <c r="D939" s="308"/>
      <c r="E939" s="308"/>
      <c r="F939" s="308"/>
      <c r="G939" s="308"/>
    </row>
    <row r="940">
      <c r="B940" s="72" t="s">
        <v>2009</v>
      </c>
      <c r="C940" s="308"/>
      <c r="D940" s="308"/>
      <c r="E940" s="308"/>
      <c r="F940" s="308"/>
      <c r="G940" s="308"/>
    </row>
    <row r="941">
      <c r="B941" s="308"/>
      <c r="C941" s="308"/>
      <c r="D941" s="308"/>
      <c r="E941" s="308"/>
      <c r="F941" s="308"/>
      <c r="G941" s="308"/>
    </row>
    <row r="942">
      <c r="B942" s="72" t="s">
        <v>2010</v>
      </c>
      <c r="C942" s="308"/>
      <c r="D942" s="308"/>
      <c r="E942" s="308"/>
      <c r="F942" s="308"/>
      <c r="G942" s="308"/>
    </row>
    <row r="943">
      <c r="B943" s="308"/>
      <c r="C943" s="308"/>
      <c r="D943" s="308"/>
      <c r="E943" s="308"/>
      <c r="F943" s="308"/>
      <c r="G943" s="308"/>
    </row>
    <row r="944">
      <c r="B944" s="72" t="s">
        <v>2011</v>
      </c>
      <c r="C944" s="308"/>
      <c r="D944" s="308"/>
      <c r="E944" s="308"/>
      <c r="F944" s="308"/>
      <c r="G944" s="308"/>
    </row>
    <row r="945">
      <c r="B945" s="308"/>
      <c r="C945" s="308"/>
      <c r="D945" s="308"/>
      <c r="E945" s="308"/>
      <c r="F945" s="308"/>
      <c r="G945" s="308"/>
    </row>
    <row r="946">
      <c r="B946" s="72" t="s">
        <v>2012</v>
      </c>
      <c r="C946" s="308"/>
      <c r="D946" s="308"/>
      <c r="E946" s="308"/>
      <c r="F946" s="308"/>
      <c r="G946" s="308"/>
    </row>
  </sheetData>
  <drawing r:id="rId1"/>
</worksheet>
</file>